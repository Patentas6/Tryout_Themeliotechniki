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Piles\C+ Studio Khaldoon and Omar\"/>
    </mc:Choice>
  </mc:AlternateContent>
  <xr:revisionPtr revIDLastSave="0" documentId="13_ncr:1_{34089085-F173-46C8-B258-C538FB4419E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Οικονομική Προσφορά" sheetId="1" r:id="rId1"/>
    <sheet name="Τεχνικοί Υπολογισμοί" sheetId="2" r:id="rId2"/>
    <sheet name="Τιμές &amp; Έλεγχος" sheetId="3" r:id="rId3"/>
  </sheets>
  <definedNames>
    <definedName name="N_b2_breaking_note">'Τεχνικοί Υπολογισμοί'!$G$61</definedName>
    <definedName name="N_b2_breaking_price">'Τεχνικοί Υπολογισμοί'!$E$61</definedName>
    <definedName name="N_b2_breaking_qty">'Τεχνικοί Υπολογισμοί'!$D$61</definedName>
    <definedName name="N_b2_breaking_total">'Τεχνικοί Υπολογισμοί'!$F$61</definedName>
    <definedName name="N_b2_conc_note">'Τεχνικοί Υπολογισμοί'!$G$55</definedName>
    <definedName name="N_b2_conc_price">'Τεχνικοί Υπολογισμοί'!$E$55</definedName>
    <definedName name="N_b2_conc_qty">'Τεχνικοί Υπολογισμοί'!$D$55</definedName>
    <definedName name="N_b2_conc_total">'Τεχνικοί Υπολογισμοί'!$F$55</definedName>
    <definedName name="N_b2_drill_800_note">'Τεχνικοί Υπολογισμοί'!$G$54</definedName>
    <definedName name="N_b2_drill_800_price">'Τεχνικοί Υπολογισμοί'!$E$54</definedName>
    <definedName name="N_b2_drill_800_qty">'Τεχνικοί Υπολογισμοί'!$D$54</definedName>
    <definedName name="N_b2_drill_800_total">'Τεχνικοί Υπολογισμοί'!$F$54</definedName>
    <definedName name="N_b2_grand_total">'Τεχνικοί Υπολογισμοί'!$F$62</definedName>
    <definedName name="N_b2_grand_total_note">'Τεχνικοί Υπολογισμοί'!$G$62</definedName>
    <definedName name="N_b2_mob_note">'Τεχνικοί Υπολογισμοί'!$G$53</definedName>
    <definedName name="N_b2_mob_price">'Τεχνικοί Υπολογισμοί'!$E$53</definedName>
    <definedName name="N_b2_mob_qty">'Τεχνικοί Υπολογισμοί'!$D$53</definedName>
    <definedName name="N_b2_mob_total">'Τεχνικοί Υπολογισμοί'!$F$53</definedName>
    <definedName name="N_b2_sleeve_note">'Τεχνικοί Υπολογισμοί'!$G$60</definedName>
    <definedName name="N_b2_sleeve_price">'Τεχνικοί Υπολογισμοί'!$E$60</definedName>
    <definedName name="N_b2_sleeve_qty">'Τεχνικοί Υπολογισμοί'!$D$60</definedName>
    <definedName name="N_b2_sleeve_total">'Τεχνικοί Υπολογισμοί'!$F$60</definedName>
    <definedName name="N_b2_steel_head_note">'Τεχνικοί Υπολογισμοί'!$G$58</definedName>
    <definedName name="N_b2_steel_head_price">'Τεχνικοί Υπολογισμοί'!$E$58</definedName>
    <definedName name="N_b2_steel_head_qty">'Τεχνικοί Υπολογισμοί'!$D$58</definedName>
    <definedName name="N_b2_steel_head_total">'Τεχνικοί Υπολογισμοί'!$F$58</definedName>
    <definedName name="N_b2_steel_note">'Τεχνικοί Υπολογισμοί'!$G$59</definedName>
    <definedName name="N_b2_steel_price">'Τεχνικοί Υπολογισμοί'!$E$59</definedName>
    <definedName name="N_b2_steel_qty">'Τεχνικοί Υπολογισμοί'!$D$59</definedName>
    <definedName name="N_b2_steel_spiral_note">'Τεχνικοί Υπολογισμοί'!$G$57</definedName>
    <definedName name="N_b2_steel_spiral_price">'Τεχνικοί Υπολογισμοί'!$E$57</definedName>
    <definedName name="N_b2_steel_spiral_qty">'Τεχνικοί Υπολογισμοί'!$D$57</definedName>
    <definedName name="N_b2_steel_spiral_total">'Τεχνικοί Υπολογισμοί'!$F$57</definedName>
    <definedName name="N_b2_steel_total">'Τεχνικοί Υπολογισμοί'!$F$59</definedName>
    <definedName name="N_b2_steel_vert_note">'Τεχνικοί Υπολογισμοί'!$G$56</definedName>
    <definedName name="N_b2_steel_vert_price">'Τεχνικοί Υπολογισμοί'!$E$56</definedName>
    <definedName name="N_b2_steel_vert_qty">'Τεχνικοί Υπολογισμοί'!$D$56</definedName>
    <definedName name="N_b2_steel_vert_total">'Τεχνικοί Υπολογισμοί'!$F$56</definedName>
    <definedName name="N_c_barlen">'Τεχνικοί Υπολογισμοί'!$D$68</definedName>
    <definedName name="N_c_density">'Τεχνικοί Υπολογισμοί'!$D$67</definedName>
    <definedName name="N_c_lap">'Τεχνικοί Υπολογισμοί'!$D$69</definedName>
    <definedName name="N_c_loss">'Τεχνικοί Υπολογισμοί'!$D$66</definedName>
    <definedName name="N_c_overc">'Τεχνικοί Υπολογισμοί'!$D$70</definedName>
    <definedName name="N_c_pi">'Τεχνικοί Υπολογισμοί'!$D$71</definedName>
    <definedName name="N_c_starter_off">'Τεχνικοί Υπολογισμοί'!$D$72</definedName>
    <definedName name="N_c_top_bend">'Τεχνικοί Υπολογισμοί'!$D$73</definedName>
    <definedName name="N_conc_class">'Τεχνικοί Υπολογισμοί'!$D$18</definedName>
    <definedName name="N_cover_mm">'Τεχνικοί Υπολογισμοί'!$D$19</definedName>
    <definedName name="N_dist_km">'Τιμές &amp; Έλεγχος'!$D$6</definedName>
    <definedName name="N_extra_zones">'Τεχνικοί Υπολογισμοί'!$D$9</definedName>
    <definedName name="N_g0_bottom_bend">'Τεχνικοί Υπολογισμοί'!$D$32</definedName>
    <definedName name="N_g0_breaking">'Τεχνικοί Υπολογισμοί'!$D$98</definedName>
    <definedName name="N_g0_count">'Τεχνικοί Υπολογισμοί'!$D$23</definedName>
    <definedName name="N_g0_cutoff">'Τεχνικοί Υπολογισμοί'!$D$26</definedName>
    <definedName name="N_g0_D_cage">'Τεχνικοί Υπολογισμοί'!$D$83</definedName>
    <definedName name="N_g0_D_mm">'Τεχνικοί Υπολογισμοί'!$D$24</definedName>
    <definedName name="N_g0_dh">'Τεχνικοί Υπολογισμοί'!$D$77</definedName>
    <definedName name="N_g0_end_zone">'Τεχνικοί Υπολογισμοί'!$D$36</definedName>
    <definedName name="N_g0_extra_len">'Τεχνικοί Υπολογισμοί'!$D$41</definedName>
    <definedName name="N_g0_extra_n">'Τεχνικοί Υπολογισμοί'!$D$39</definedName>
    <definedName name="N_g0_extra_y">'Τεχνικοί Υπολογισμοί'!$D$40</definedName>
    <definedName name="N_g0_h_overc">'Τεχνικοί Υπολογισμοί'!$D$78</definedName>
    <definedName name="N_g0_head_links">'Τεχνικοί Υπολογισμοί'!$D$38</definedName>
    <definedName name="N_g0_L_bar">'Τεχνικοί Υπολογισμοί'!$D$87</definedName>
    <definedName name="N_g0_L_base">'Τεχνικοί Υπολογισμοί'!$D$85</definedName>
    <definedName name="N_g0_L_conc">'Τεχνικοί Υπολογισμοί'!$D$81</definedName>
    <definedName name="N_g0_L_drill">'Τεχνικοί Υπολογισμοί'!$D$79</definedName>
    <definedName name="N_g0_L_pile">'Τεχνικοί Υπολογισμοί'!$D$25</definedName>
    <definedName name="N_g0_lap_len">'Τεχνικοί Υπολογισμοί'!$D$33</definedName>
    <definedName name="N_g0_n_head">'Τεχνικοί Υπολογισμοί'!$D$93</definedName>
    <definedName name="N_g0_n_laps">'Τεχνικοί Υπολογισμοί'!$D$86</definedName>
    <definedName name="N_g0_n_turns">'Τεχνικοί Υπολογισμοί'!$D$90</definedName>
    <definedName name="N_g0_n_vert">'Τεχνικοί Υπολογισμοί'!$D$28</definedName>
    <definedName name="N_g0_P_cage">'Τεχνικοί Υπολογισμοί'!$D$84</definedName>
    <definedName name="N_g0_raft">'Τεχνικοί Υπολογισμοί'!$D$27</definedName>
    <definedName name="N_g0_s_end">'Τεχνικοί Υπολογισμοί'!$D$35</definedName>
    <definedName name="N_g0_s_mid">'Τεχνικοί Υπολογισμοί'!$D$37</definedName>
    <definedName name="N_g0_sleeves">'Τεχνικοί Υπολογισμοί'!$D$97</definedName>
    <definedName name="N_g0_starter">'Τεχνικοί Υπολογισμοί'!$D$30</definedName>
    <definedName name="N_g0_top_bend">'Τεχνικοί Υπολογισμοί'!$D$31</definedName>
    <definedName name="N_g0_V_conc">'Τεχνικοί Υπολογισμοί'!$D$82</definedName>
    <definedName name="N_g0_V_exc">'Τεχνικοί Υπολογισμοί'!$D$80</definedName>
    <definedName name="N_g0_W_extra">'Τεχνικοί Υπολογισμοί'!$D$95</definedName>
    <definedName name="N_g0_W_head">'Τεχνικοί Υπολογισμοί'!$D$94</definedName>
    <definedName name="N_g0_W_spiral">'Τεχνικοί Υπολογισμοί'!$D$92</definedName>
    <definedName name="N_g0_W_total">'Τεχνικοί Υπολογισμοί'!$D$96</definedName>
    <definedName name="N_g0_W_vert">'Τεχνικοί Υπολογισμοί'!$D$89</definedName>
    <definedName name="N_g0_y_spiral">'Τεχνικοί Υπολογισμοί'!$D$34</definedName>
    <definedName name="N_g0_y_vert">'Τεχνικοί Υπολογισμοί'!$D$29</definedName>
    <definedName name="N_g1_bottom_bend">'Τεχνικοί Υπολογισμοί'!$E$32</definedName>
    <definedName name="N_g1_breaking">'Τεχνικοί Υπολογισμοί'!$E$98</definedName>
    <definedName name="N_g1_count">'Τεχνικοί Υπολογισμοί'!$E$23</definedName>
    <definedName name="N_g1_cutoff">'Τεχνικοί Υπολογισμοί'!$E$26</definedName>
    <definedName name="N_g1_D_cage">'Τεχνικοί Υπολογισμοί'!$E$83</definedName>
    <definedName name="N_g1_D_mm">'Τεχνικοί Υπολογισμοί'!$E$24</definedName>
    <definedName name="N_g1_dh">'Τεχνικοί Υπολογισμοί'!$E$77</definedName>
    <definedName name="N_g1_end_zone">'Τεχνικοί Υπολογισμοί'!$E$36</definedName>
    <definedName name="N_g1_extra_len">'Τεχνικοί Υπολογισμοί'!$E$41</definedName>
    <definedName name="N_g1_extra_n">'Τεχνικοί Υπολογισμοί'!$E$39</definedName>
    <definedName name="N_g1_extra_y">'Τεχνικοί Υπολογισμοί'!$E$40</definedName>
    <definedName name="N_g1_h_overc">'Τεχνικοί Υπολογισμοί'!$E$78</definedName>
    <definedName name="N_g1_head_links">'Τεχνικοί Υπολογισμοί'!$E$38</definedName>
    <definedName name="N_g1_L_bar">'Τεχνικοί Υπολογισμοί'!$E$87</definedName>
    <definedName name="N_g1_L_base">'Τεχνικοί Υπολογισμοί'!$E$85</definedName>
    <definedName name="N_g1_L_conc">'Τεχνικοί Υπολογισμοί'!$E$81</definedName>
    <definedName name="N_g1_L_drill">'Τεχνικοί Υπολογισμοί'!$E$79</definedName>
    <definedName name="N_g1_L_pile">'Τεχνικοί Υπολογισμοί'!$E$25</definedName>
    <definedName name="N_g1_lap_len">'Τεχνικοί Υπολογισμοί'!$E$33</definedName>
    <definedName name="N_g1_n_head">'Τεχνικοί Υπολογισμοί'!$E$93</definedName>
    <definedName name="N_g1_n_laps">'Τεχνικοί Υπολογισμοί'!$E$86</definedName>
    <definedName name="N_g1_n_turns">'Τεχνικοί Υπολογισμοί'!$E$90</definedName>
    <definedName name="N_g1_n_vert">'Τεχνικοί Υπολογισμοί'!$E$28</definedName>
    <definedName name="N_g1_P_cage">'Τεχνικοί Υπολογισμοί'!$E$84</definedName>
    <definedName name="N_g1_raft">'Τεχνικοί Υπολογισμοί'!$E$27</definedName>
    <definedName name="N_g1_s_end">'Τεχνικοί Υπολογισμοί'!$E$35</definedName>
    <definedName name="N_g1_s_mid">'Τεχνικοί Υπολογισμοί'!$E$37</definedName>
    <definedName name="N_g1_sleeves">'Τεχνικοί Υπολογισμοί'!$E$97</definedName>
    <definedName name="N_g1_starter">'Τεχνικοί Υπολογισμοί'!$E$30</definedName>
    <definedName name="N_g1_top_bend">'Τεχνικοί Υπολογισμοί'!$E$31</definedName>
    <definedName name="N_g1_V_conc">'Τεχνικοί Υπολογισμοί'!$E$82</definedName>
    <definedName name="N_g1_V_exc">'Τεχνικοί Υπολογισμοί'!$E$80</definedName>
    <definedName name="N_g1_W_extra">'Τεχνικοί Υπολογισμοί'!$E$95</definedName>
    <definedName name="N_g1_W_head">'Τεχνικοί Υπολογισμοί'!$E$94</definedName>
    <definedName name="N_g1_W_spiral">'Τεχνικοί Υπολογισμοί'!$E$92</definedName>
    <definedName name="N_g1_W_total">'Τεχνικοί Υπολογισμοί'!$E$96</definedName>
    <definedName name="N_g1_W_vert">'Τεχνικοί Υπολογισμοί'!$E$89</definedName>
    <definedName name="N_g1_y_spiral">'Τεχνικοί Υπολογισμοί'!$E$34</definedName>
    <definedName name="N_g1_y_vert">'Τεχνικοί Υπολογισμοί'!$E$29</definedName>
    <definedName name="N_grand_total">'Οικονομική Προσφορά'!$F$14</definedName>
    <definedName name="N_line_breaking_desc">'Οικονομική Προσφορά'!$B$13</definedName>
    <definedName name="N_line_breaking_price">'Οικονομική Προσφορά'!$E$13</definedName>
    <definedName name="N_line_breaking_qty">'Οικονομική Προσφορά'!$C$13</definedName>
    <definedName name="N_line_breaking_total">'Οικονομική Προσφορά'!$F$13</definedName>
    <definedName name="N_line_conc_desc">'Οικονομική Προσφορά'!$B$10</definedName>
    <definedName name="N_line_conc_price">'Οικονομική Προσφορά'!$E$10</definedName>
    <definedName name="N_line_conc_qty">'Οικονομική Προσφορά'!$C$10</definedName>
    <definedName name="N_line_conc_total">'Οικονομική Προσφορά'!$F$10</definedName>
    <definedName name="N_line_drill_800_desc">'Οικονομική Προσφορά'!$B$9</definedName>
    <definedName name="N_line_drill_800_price">'Οικονομική Προσφορά'!$E$9</definedName>
    <definedName name="N_line_drill_800_qty">'Οικονομική Προσφορά'!$C$9</definedName>
    <definedName name="N_line_drill_800_total">'Οικονομική Προσφορά'!$F$9</definedName>
    <definedName name="N_line_mob_desc">'Οικονομική Προσφορά'!$B$8</definedName>
    <definedName name="N_line_mob_price">'Οικονομική Προσφορά'!$E$8</definedName>
    <definedName name="N_line_mob_qty">'Οικονομική Προσφορά'!$C$8</definedName>
    <definedName name="N_line_mob_total">'Οικονομική Προσφορά'!$F$8</definedName>
    <definedName name="N_line_sleeve_desc">'Οικονομική Προσφορά'!$B$12</definedName>
    <definedName name="N_line_sleeve_price">'Οικονομική Προσφορά'!$E$12</definedName>
    <definedName name="N_line_sleeve_qty">'Οικονομική Προσφορά'!$C$12</definedName>
    <definedName name="N_line_sleeve_total">'Οικονομική Προσφορά'!$F$12</definedName>
    <definedName name="N_line_steel_desc">'Οικονομική Προσφορά'!$B$11</definedName>
    <definedName name="N_line_steel_price">'Οικονομική Προσφορά'!$E$11</definedName>
    <definedName name="N_line_steel_qty">'Οικονομική Προσφορά'!$C$11</definedName>
    <definedName name="N_line_steel_total">'Οικονομική Προσφορά'!$F$11</definedName>
    <definedName name="N_mob_per_pile">'Τεχνικοί Υπολογισμοί'!$D$15</definedName>
    <definedName name="N_mob_police">'Τιμές &amp; Έλεγχος'!$D$40</definedName>
    <definedName name="N_mob_total">'Τεχνικοί Υπολογισμοί'!$D$13</definedName>
    <definedName name="N_n_piles">'Τεχνικοί Υπολογισμοί'!$D$14</definedName>
    <definedName name="N_p_breaking">'Τιμές &amp; Έλεγχος'!$D$11</definedName>
    <definedName name="N_p_conc">'Τιμές &amp; Έλεγχος'!$D$21</definedName>
    <definedName name="N_p_conc_buy">'Τιμές &amp; Έλεγχος'!$D$15</definedName>
    <definedName name="N_p_conc_place">'Τιμές &amp; Έλεγχος'!$D$16</definedName>
    <definedName name="N_p_drill_800">'Τιμές &amp; Έλεγχος'!$D$9</definedName>
    <definedName name="N_p_mob_base">'Τιμές &amp; Έλεγχος'!$D$7</definedName>
    <definedName name="N_p_mob_extra">'Τιμές &amp; Έλεγχος'!$D$8</definedName>
    <definedName name="N_p_piles_per_setup">'Τιμές &amp; Έλεγχος'!$D$18</definedName>
    <definedName name="N_p_police_km">'Τιμές &amp; Έλεγχος'!$D$39</definedName>
    <definedName name="N_p_pump_per_m3">'Τιμές &amp; Έλεγχος'!$D$20</definedName>
    <definedName name="N_p_pump_setup">'Τιμές &amp; Έλεγχος'!$D$17</definedName>
    <definedName name="N_p_sleeve">'Τιμές &amp; Έλεγχος'!$D$35</definedName>
    <definedName name="N_p_steel">'Τιμές &amp; Έλεγχος'!$D$10</definedName>
    <definedName name="N_police_km">'Τιμές &amp; Έλεγχος'!$D$38</definedName>
    <definedName name="N_q_breaking">'Τεχνικοί Υπολογισμοί'!$D$49</definedName>
    <definedName name="N_q_breaking_n">'Τεχνικοί Υπολογισμοί'!$E$49</definedName>
    <definedName name="N_q_conc">'Τεχνικοί Υπολογισμοί'!$D$46</definedName>
    <definedName name="N_q_conc_n">'Τεχνικοί Υπολογισμοί'!$E$46</definedName>
    <definedName name="N_q_drill_800">'Τεχνικοί Υπολογισμοί'!$D$45</definedName>
    <definedName name="N_q_drill_800_n">'Τεχνικοί Υπολογισμοί'!$E$45</definedName>
    <definedName name="N_q_sleeve">'Τεχνικοί Υπολογισμοί'!$D$48</definedName>
    <definedName name="N_q_sleeve_n">'Τεχνικοί Υπολογισμοί'!$E$48</definedName>
    <definedName name="N_q_steel">'Τεχνικοί Υπολογισμοί'!$D$47</definedName>
    <definedName name="N_q_steel_n">'Τεχνικοί Υπολογισμοί'!$E$47</definedName>
    <definedName name="N_s1_note_1">'Οικονομική Προσφορά'!$A$17</definedName>
    <definedName name="N_s1_note_2">'Οικονομική Προσφορά'!$A$18</definedName>
    <definedName name="N_s1_note_3">'Οικονομική Προσφορά'!$A$19</definedName>
    <definedName name="N_s1_note_4">'Οικονομική Προσφορά'!$A$20</definedName>
    <definedName name="N_s1_note_5">'Οικονομική Προσφορά'!$A$21</definedName>
    <definedName name="N_s1_note_6">'Οικονομική Προσφορά'!$A$22</definedName>
    <definedName name="N_s1_note_7">'Οικονομική Προσφορά'!$A$23</definedName>
    <definedName name="N_s2_dist_km">'Τεχνικοί Υπολογισμοί'!$D$7</definedName>
    <definedName name="N_s2_mob_police">'Τεχνικοί Υπολογισμοί'!$D$12</definedName>
    <definedName name="N_s2_p_mob_base">'Τεχνικοί Υπολογισμοί'!$D$10</definedName>
    <definedName name="N_s2_p_mob_extra">'Τεχνικοί Υπολογισμοί'!$D$11</definedName>
    <definedName name="N_s3_grand_total">'Τιμές &amp; Έλεγχος'!$D$42</definedName>
    <definedName name="N_sl_base_cost">'Τιμές &amp; Έλεγχος'!$D$33</definedName>
    <definedName name="N_sl_billed_len">'Τιμές &amp; Έλεγχος'!$D$29</definedName>
    <definedName name="N_sl_labor">'Τιμές &amp; Έλεγχος'!$D$31</definedName>
    <definedName name="N_sl_markup">'Τιμές &amp; Έλεγχος'!$D$34</definedName>
    <definedName name="N_sl_mat_cost">'Τιμές &amp; Έλεγχος'!$D$30</definedName>
    <definedName name="N_sl_pipe_len">'Τιμές &amp; Έλεγχος'!$D$25</definedName>
    <definedName name="N_sl_pipe_price">'Τιμές &amp; Έλεγχος'!$D$26</definedName>
    <definedName name="N_sl_price_m">'Τιμές &amp; Έλεγχος'!$D$27</definedName>
    <definedName name="N_sl_req_len">'Τιμές &amp; Έλεγχος'!$D$28</definedName>
    <definedName name="N_sl_tape">'Τιμές &amp; Έλεγχος'!$D$32</definedName>
    <definedName name="N_t_breaking">'Τεχνικοί Υπολογισμοί'!$F$98</definedName>
    <definedName name="N_t_count">'Τεχνικοί Υπολογισμοί'!$F$23</definedName>
    <definedName name="N_t_L_drill">'Τεχνικοί Υπολογισμοί'!$F$79</definedName>
    <definedName name="N_t_sleeves">'Τεχνικοί Υπολογισμοί'!$F$97</definedName>
    <definedName name="N_t_V_conc">'Τεχνικοί Υπολογισμοί'!$F$82</definedName>
    <definedName name="N_t_V_exc">'Τεχνικοί Υπολογισμοί'!$F$80</definedName>
    <definedName name="N_t_W_extra">'Τεχνικοί Υπολογισμοί'!$F$95</definedName>
    <definedName name="N_t_W_head">'Τεχνικοί Υπολογισμοί'!$F$94</definedName>
    <definedName name="N_t_W_spiral">'Τεχνικοί Υπολογισμοί'!$F$92</definedName>
    <definedName name="N_t_W_total">'Τεχνικοί Υπολογισμοί'!$F$96</definedName>
    <definedName name="N_t_W_vert">'Τεχνικοί Υπολογισμοί'!$F$89</definedName>
    <definedName name="N_v_per_setup">'Τιμές &amp; Έλεγχος'!$D$19</definedName>
    <definedName name="N_wpl">'Τεχνικοί Υπολογισμοί'!$D$17</definedName>
    <definedName name="N_zone_km">'Τεχνικοί Υπολογισμοί'!$D$8</definedName>
    <definedName name="_xlnm.Print_Area" localSheetId="1">'Τεχνικοί Υπολογισμοί'!$A$52:$G$62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3" l="1"/>
  <c r="D38" i="3"/>
  <c r="D40" i="3" s="1"/>
  <c r="D28" i="3"/>
  <c r="D29" i="3" s="1"/>
  <c r="D27" i="3"/>
  <c r="E111" i="2"/>
  <c r="D111" i="2"/>
  <c r="E110" i="2"/>
  <c r="D110" i="2"/>
  <c r="E108" i="2"/>
  <c r="D108" i="2"/>
  <c r="D105" i="2"/>
  <c r="D104" i="2"/>
  <c r="D103" i="2"/>
  <c r="E93" i="2"/>
  <c r="D93" i="2"/>
  <c r="E90" i="2"/>
  <c r="D90" i="2"/>
  <c r="E85" i="2"/>
  <c r="D85" i="2"/>
  <c r="E83" i="2"/>
  <c r="D83" i="2"/>
  <c r="E77" i="2"/>
  <c r="D77" i="2"/>
  <c r="D71" i="2"/>
  <c r="E61" i="2"/>
  <c r="B60" i="2"/>
  <c r="E59" i="2"/>
  <c r="E58" i="2"/>
  <c r="E57" i="2"/>
  <c r="E56" i="2"/>
  <c r="B55" i="2"/>
  <c r="E54" i="2"/>
  <c r="B48" i="2"/>
  <c r="B46" i="2"/>
  <c r="E45" i="2"/>
  <c r="F23" i="2"/>
  <c r="D14" i="2"/>
  <c r="D11" i="2"/>
  <c r="D10" i="2"/>
  <c r="D9" i="2"/>
  <c r="D7" i="2"/>
  <c r="E13" i="1"/>
  <c r="B12" i="1"/>
  <c r="E11" i="1"/>
  <c r="B11" i="1"/>
  <c r="B10" i="1"/>
  <c r="E9" i="1"/>
  <c r="C8" i="1"/>
  <c r="E84" i="2" l="1"/>
  <c r="D84" i="2"/>
  <c r="E98" i="2"/>
  <c r="E97" i="2"/>
  <c r="E79" i="2"/>
  <c r="E80" i="2" s="1"/>
  <c r="E78" i="2"/>
  <c r="E81" i="2" s="1"/>
  <c r="E82" i="2" s="1"/>
  <c r="D98" i="2"/>
  <c r="D97" i="2"/>
  <c r="D79" i="2"/>
  <c r="D78" i="2"/>
  <c r="E91" i="2"/>
  <c r="D91" i="2"/>
  <c r="E88" i="2"/>
  <c r="D88" i="2"/>
  <c r="D12" i="2"/>
  <c r="D30" i="3"/>
  <c r="D33" i="3" s="1"/>
  <c r="F98" i="2"/>
  <c r="D49" i="2" s="1"/>
  <c r="E113" i="2"/>
  <c r="D113" i="2"/>
  <c r="D94" i="2"/>
  <c r="E112" i="2"/>
  <c r="D112" i="2"/>
  <c r="D92" i="2"/>
  <c r="F92" i="2" s="1"/>
  <c r="D57" i="2" s="1"/>
  <c r="F57" i="2" s="1"/>
  <c r="G57" i="2"/>
  <c r="E86" i="2"/>
  <c r="E87" i="2" s="1"/>
  <c r="E89" i="2" s="1"/>
  <c r="D86" i="2"/>
  <c r="D87" i="2" s="1"/>
  <c r="D89" i="2" s="1"/>
  <c r="F79" i="2"/>
  <c r="D80" i="2"/>
  <c r="F80" i="2" s="1"/>
  <c r="D45" i="2"/>
  <c r="D81" i="2"/>
  <c r="D82" i="2" s="1"/>
  <c r="F82" i="2" s="1"/>
  <c r="D46" i="2" s="1"/>
  <c r="E95" i="2"/>
  <c r="D95" i="2"/>
  <c r="F95" i="2" s="1"/>
  <c r="D102" i="2"/>
  <c r="D53" i="2"/>
  <c r="E49" i="2"/>
  <c r="E48" i="2"/>
  <c r="E47" i="2"/>
  <c r="E46" i="2"/>
  <c r="D13" i="2"/>
  <c r="E115" i="2"/>
  <c r="D115" i="2"/>
  <c r="D109" i="2"/>
  <c r="E109" i="2"/>
  <c r="E94" i="2"/>
  <c r="E92" i="2"/>
  <c r="F94" i="2" l="1"/>
  <c r="D58" i="2" s="1"/>
  <c r="F97" i="2"/>
  <c r="D48" i="2" s="1"/>
  <c r="E96" i="2"/>
  <c r="E12" i="1"/>
  <c r="E60" i="2"/>
  <c r="F49" i="2"/>
  <c r="D61" i="2"/>
  <c r="C13" i="1"/>
  <c r="F13" i="1" s="1"/>
  <c r="G13" i="1" s="1"/>
  <c r="G56" i="2"/>
  <c r="F89" i="2"/>
  <c r="D56" i="2" s="1"/>
  <c r="F56" i="2" s="1"/>
  <c r="D96" i="2"/>
  <c r="F45" i="2"/>
  <c r="D54" i="2"/>
  <c r="C9" i="1"/>
  <c r="F9" i="1" s="1"/>
  <c r="G9" i="1" s="1"/>
  <c r="A19" i="1"/>
  <c r="F46" i="2"/>
  <c r="D55" i="2"/>
  <c r="D19" i="3"/>
  <c r="D20" i="3" s="1"/>
  <c r="C10" i="1"/>
  <c r="D15" i="2"/>
  <c r="E116" i="2"/>
  <c r="G53" i="2"/>
  <c r="G58" i="2" l="1"/>
  <c r="F58" i="2"/>
  <c r="C12" i="1"/>
  <c r="F48" i="2"/>
  <c r="D60" i="2"/>
  <c r="F12" i="1"/>
  <c r="E114" i="2"/>
  <c r="D114" i="2"/>
  <c r="F60" i="2"/>
  <c r="G60" i="2"/>
  <c r="G61" i="2"/>
  <c r="F61" i="2"/>
  <c r="F54" i="2"/>
  <c r="G54" i="2" s="1"/>
  <c r="D106" i="2"/>
  <c r="D21" i="3"/>
  <c r="E53" i="2"/>
  <c r="F53" i="2" s="1"/>
  <c r="E8" i="1"/>
  <c r="F96" i="2"/>
  <c r="D47" i="2" s="1"/>
  <c r="E10" i="1" l="1"/>
  <c r="E55" i="2"/>
  <c r="D116" i="2"/>
  <c r="A18" i="1"/>
  <c r="F8" i="1"/>
  <c r="C11" i="1"/>
  <c r="F11" i="1" s="1"/>
  <c r="D59" i="2"/>
  <c r="F47" i="2"/>
  <c r="G12" i="1"/>
  <c r="A22" i="1"/>
  <c r="E107" i="2" l="1"/>
  <c r="F10" i="1"/>
  <c r="D107" i="2"/>
  <c r="F55" i="2"/>
  <c r="G55" i="2" s="1"/>
  <c r="G8" i="1"/>
  <c r="A21" i="1"/>
  <c r="G11" i="1"/>
  <c r="F59" i="2"/>
  <c r="G59" i="2" s="1"/>
  <c r="F62" i="2" l="1"/>
  <c r="G62" i="2" s="1"/>
  <c r="G10" i="1"/>
  <c r="A20" i="1"/>
  <c r="F14" i="1"/>
  <c r="E42" i="3" l="1"/>
  <c r="D42" i="3"/>
  <c r="A17" i="1"/>
  <c r="G14" i="1"/>
</calcChain>
</file>

<file path=xl/sharedStrings.xml><?xml version="1.0" encoding="utf-8"?>
<sst xmlns="http://schemas.openxmlformats.org/spreadsheetml/2006/main" count="598" uniqueCount="425">
  <si>
    <t>ΘΕΜΕΛΙΟΤΕΧΝΙΚΗ ΛΤΔ — ΟΙΚΟΝΟΜΙΚΗ ΠΡΟΣΦΟΡΑ ΠΑΣΣΑΛΩΝ</t>
  </si>
  <si>
    <t>Έργο: ΠΟΛΥΚΑΤΟΙΚΙΑ KHALDOON AND OMAR (APARTMENT BUILDING) | Πελάτης: C+ Studio / LE. IR CY DEVELOPMENTS LTD (Khaldoon &amp; Omar) | Τοποθεσία: Λάρνακα (Μετακίνηση: 1.000€ Λεμεσός + 200€/10km + 8€/km Συνοδεία Αστυνομίας) | Τιμές από Φύλλο 3: «Τιμές &amp; Έλεγχος»</t>
  </si>
  <si>
    <t>Α/Α</t>
  </si>
  <si>
    <t>Περιγραφή Εργασίας / Υλικού</t>
  </si>
  <si>
    <t>Ποσότητα</t>
  </si>
  <si>
    <t>Μονάδα</t>
  </si>
  <si>
    <t>Τιμή Μονάδας (€)
[Από «Τιμές &amp; Έλεγχος»]</t>
  </si>
  <si>
    <t>Σύνολο (€)</t>
  </si>
  <si>
    <t>Μέσο Κόστος ανά Πάσσαλο (€)</t>
  </si>
  <si>
    <t>1</t>
  </si>
  <si>
    <t>Μετακινήσεις γεωτρύπανου &amp; Συνοδεία Αστυνομίας (επιμερισμός ανά πάσσαλο)</t>
  </si>
  <si>
    <t>πάσσαλο</t>
  </si>
  <si>
    <t>2</t>
  </si>
  <si>
    <t>Τρύπημα / διάτρηση πασσάλων Ø800mm (18 τεμ.)</t>
  </si>
  <si>
    <t>m</t>
  </si>
  <si>
    <t>3</t>
  </si>
  <si>
    <t>m³</t>
  </si>
  <si>
    <t>4</t>
  </si>
  <si>
    <t>kg</t>
  </si>
  <si>
    <t>5</t>
  </si>
  <si>
    <t>τεμ.</t>
  </si>
  <si>
    <t>6</t>
  </si>
  <si>
    <t>Κεφαλοκοπή πασσάλων / Pile Breaking</t>
  </si>
  <si>
    <t>ΓΕΝΙΚΟ ΣΥΝΟΛΟ ΠΡΟΣΦΟΡΑΣ (ΧΩΡΙΣ Φ.Π.Α.)</t>
  </si>
  <si>
    <t>ΟΡΟΙ, ΠΑΡΑΔΟΧΕΣ &amp; ΠΑΡΑΤΗΡΗΣΕΙΣ (100% ΔΥΝΑΜΙΚΕΣ ΣΗΜΕΙΩΣΕΙΣ — ΕΝΗΜΕΡΩΝΟΝΤΑΙ ΑΥΤΟΜΑΤΑ ΑΠΟ ΤΟ ΦΥΛΛΟ «Τιμές &amp; Έλεγχος»):</t>
  </si>
  <si>
    <t>7. Πληρωμή βάσει επιμετρήσεων πραγματικά εκτελεσθέντων μέτρων διάτρησης, κυβικών σκυροδέματος και κιλών οπλισμού. Όλες οι τιμές μονάδας ορίζονται στο Φύλλο 3 («Τιμές &amp; Έλεγχος») και ενημερώνουν αυτόματα όλα τα φύλλα και τις σημειώσεις.</t>
  </si>
  <si>
    <t>ΘΕΜΕΛΙΟΤΕΧΝΙΚΗ ΛΤΔ — ΤΕΧΝΙΚΟΙ ΥΠΟΛΟΓΙΣΜΟΙ ΔΙΑΤΡΗΤΩΝ ΠΑΣΣΑΛΩΝ</t>
  </si>
  <si>
    <t>Έργο: ΠΟΛΥΚΑΤΟΙΚΙΑ KHALDOON AND OMAR (APARTMENT BUILDING) | Πελάτης: C+ Studio / LE. IR CY DEVELOPMENTS LTD (Khaldoon &amp; Omar) | Μελέτη: X.S.N CIVIL ENGINEER L.L.C. (Xanthos Neofytou) — Project No. 2633 (07/2026) | Μηχανή v5.7 (Τιμές από Φύλλο 3: «Τιμές &amp; Έλεγχος»)</t>
  </si>
  <si>
    <t>1. ΔΕΔΟΜΕΝΑ ΣΧΕΔΙΟΥ &amp; ΥΨΟΜΕΤΡΑ</t>
  </si>
  <si>
    <t>Κωδ.</t>
  </si>
  <si>
    <t>Παράμετρος</t>
  </si>
  <si>
    <t>Τιμή</t>
  </si>
  <si>
    <t>Παρατηρήσεις / Προέλευση</t>
  </si>
  <si>
    <t>Τομέας 1 — Μετακινήσεις &amp; Συνοδεία Αστυνομίας (Τιμές από το Φύλλο 3: «Τιμές &amp; Έλεγχος»)</t>
  </si>
  <si>
    <t>1.1.1</t>
  </si>
  <si>
    <t>Χιλιόμετρα εκτός Λεμεσού (0 km αν το έργο είναι μέσα στη Λεμεσό)</t>
  </si>
  <si>
    <t>km</t>
  </si>
  <si>
    <t>Από Φύλλο 3 («Τιμές &amp; Έλεγχος» Τ.1)</t>
  </si>
  <si>
    <t>1.1.2</t>
  </si>
  <si>
    <t>Βήμα χιλιομετρικής χρέωσης εκτός Λεμεσού (ανά 10 km)</t>
  </si>
  <si>
    <t>Τιμοκατάλογος (γρ. 28)</t>
  </si>
  <si>
    <t>1.1.3</t>
  </si>
  <si>
    <t>Δεκάδες χιλιομέτρων εκτός Λεμεσού (ανά 10 km)</t>
  </si>
  <si>
    <t>ζώνες</t>
  </si>
  <si>
    <t>ROUNDUP(km εκτός Λεμεσού / 10, 0)</t>
  </si>
  <si>
    <t>1.1.4</t>
  </si>
  <si>
    <t>Μετακίνηση — βασική τιμή εντός Λεμεσού</t>
  </si>
  <si>
    <t>€</t>
  </si>
  <si>
    <t>Από Φύλλο 3 («Τιμές &amp; Έλεγχος» Τ.2 = 1.000,00 €)</t>
  </si>
  <si>
    <t>1.1.5</t>
  </si>
  <si>
    <t>Μετακίνηση — επιβάρυνση ανά 10 km εκτός Λεμεσού</t>
  </si>
  <si>
    <t>Από Φύλλο 3 («Τιμές &amp; Έλεγχος» Τ.3 = 200,00 €/10km)</t>
  </si>
  <si>
    <t>1.1.6</t>
  </si>
  <si>
    <t>Κόστος Συνοδείας Αστυνομίας (Χιλιόμετρα × 8,00 €/km)</t>
  </si>
  <si>
    <t>Από Φύλλο 3 («Τιμές &amp; Έλεγχος» Τ.Δ.3 = police_km × 8,00 €/km)</t>
  </si>
  <si>
    <t>1.1.7</t>
  </si>
  <si>
    <t>Συνολικό εφάπαξ ποσό μετακίνησης &amp; συνοδείας Αστυνομίας</t>
  </si>
  <si>
    <t>Βασική Λεμεσού (1.000€) + Δεκάδες km × 200€ + Συνοδεία Αστυνομίας</t>
  </si>
  <si>
    <t>1.1.8</t>
  </si>
  <si>
    <t>Συνολικό πλήθος πασσάλων έργου</t>
  </si>
  <si>
    <t>Άθροισμα ομάδων</t>
  </si>
  <si>
    <t>1.1.9</t>
  </si>
  <si>
    <t>Επιμερισμένη μετακίνηση ανά πάσσαλο</t>
  </si>
  <si>
    <t>Συνολική μετακίνηση ÷ Πάσσαλοι</t>
  </si>
  <si>
    <t>Τομέας 2 — Υψόμετρα &amp; Σκυρόδεμα (WPL κοινό για όλους, Cut-Off ανά πάσσαλο στον Τομέα 3)</t>
  </si>
  <si>
    <t>1.2.1</t>
  </si>
  <si>
    <t>Στάθμη πλατφόρμας γεωτρύπανου (WPL) — κοινή για όλους τους πασσάλους</t>
  </si>
  <si>
    <t>WPL = +0.00 m (βάσει email: «Τα Piles θα πρέπει να γίνουν μέχρι το +0.00» &amp; σχεδίου S4.2)</t>
  </si>
  <si>
    <t>1.2.2</t>
  </si>
  <si>
    <t>Κατηγορία σκυροδέματος</t>
  </si>
  <si>
    <t>-</t>
  </si>
  <si>
    <t>C40/50</t>
  </si>
  <si>
    <t>Από σχέδιο S4.2 («Concrete Strength : C40/50 MPa» &amp; πίνακας αναμονών C40/50)</t>
  </si>
  <si>
    <t>1.2.3</t>
  </si>
  <si>
    <t>Επικάλυψη οπλισμού (Cover)</t>
  </si>
  <si>
    <t>mm</t>
  </si>
  <si>
    <t>Από σχέδιο S4.2 («Cover - 75mm»)</t>
  </si>
  <si>
    <t>Τομέας 3 — Ομάδες πασσάλων &amp; κλωβός οπλισμού (μία στήλη ανά ομάδα)</t>
  </si>
  <si>
    <t>Ομάδα 1</t>
  </si>
  <si>
    <t>Ομάδα 2</t>
  </si>
  <si>
    <t>Παρατηρήσεις</t>
  </si>
  <si>
    <t>1.3.0</t>
  </si>
  <si>
    <t>Πάσσαλοι</t>
  </si>
  <si>
    <t>Ø800 (Cut-Off -3.475m)
P1–P6, P8–P18</t>
  </si>
  <si>
    <t>Ø800 (Cut-Off -4.375m)
P7 (Ανελκυστήρας)</t>
  </si>
  <si>
    <t>1.3.1</t>
  </si>
  <si>
    <t>Πλήθος πασσάλων ομάδας</t>
  </si>
  <si>
    <t>Από Κατάλογο Πασσάλων &amp; κάτοψη Χάραξης Πασσάλων (Φύλλο S4.1): P1–P18 = 18 τεμ.</t>
  </si>
  <si>
    <t>1.3.2</t>
  </si>
  <si>
    <t>Διάμετρος τρύπας πασσάλου</t>
  </si>
  <si>
    <t>Από Κατάλογο Πασσάλων S4.1 (800 mm) &amp; Λεπτομέρεια Πασσάλων S4.2 (PILE 800mm)</t>
  </si>
  <si>
    <t>1.3.3</t>
  </si>
  <si>
    <t>Ύψος σκυροδετημένου πασσάλου (κάτω από το Cut-Off)</t>
  </si>
  <si>
    <t>Ύψος σκυροδετημένου πασσάλου κάτω από το Cut-Off: 15.525 m (CAST HEIGHT στο S4.2) για όλους τους 18 πασσάλους (διόρθωση λάθους μελέτης στον P7 ώστε να παραμείνει ίδιο μέγεθος σκυροδετημένου πασσάλου)</t>
  </si>
  <si>
    <t>1.3.4</t>
  </si>
  <si>
    <t>Στάθμη αποκοπής κεφαλής πασσάλου (Cut-Off)</t>
  </si>
  <si>
    <t>Από Κατάλογο Πασσάλων S4.1: -3475 mm (-3.475 m) για P1–P6, P8–P18 και -4375 mm (-4.375 m, 90 cm βαθύτερα) για P7 (ανελκυστήρας)</t>
  </si>
  <si>
    <t>1.3.5</t>
  </si>
  <si>
    <t>Βάθος / Πάχος πεδιλόπλακας</t>
  </si>
  <si>
    <t>Από λεπτομέρειες θεμελίωσης S7.1: 0.85 m (-3.60 έως -2.75) στο υπόγειο και 0.70 m (-5.00 έως -4.30) στον ανελκυστήρα</t>
  </si>
  <si>
    <t>1.3.6</t>
  </si>
  <si>
    <t>Κάθετα σίδερα κλωβού — Πλήθος</t>
  </si>
  <si>
    <t>Από σχέδιο S4.2: «Vertical 16Y20» / «16nos Y20»</t>
  </si>
  <si>
    <t>1.3.7</t>
  </si>
  <si>
    <t>Κάθετα σίδερα κλωβού — Διάμετρος Φ</t>
  </si>
  <si>
    <t>Από σχέδιο S4.2: Y20 (20 mm) — καθορίζει και την τιμή του sleeve ανά μέγεθος σιδήρου Φ</t>
  </si>
  <si>
    <t>1.3.8</t>
  </si>
  <si>
    <t>Ύψος αναμονής / Starter (κενό σχεδίου → πεδιλόπλακα − 0.10m)</t>
  </si>
  <si>
    <t>Από σχέδιο S4.2: 100 cm (1.00 m) από Cut-Off Level έως Top of Steel</t>
  </si>
  <si>
    <t>1.3.9</t>
  </si>
  <si>
    <t>Γωνία πάνω (κενό σχεδίου → 0.50m)</t>
  </si>
  <si>
    <t>0.00 m — το σχέδιο S4.2 δείχνει ευθύγραμμες αναμονές χωρίς γωνία (επιβεβαίωση χρήστη)</t>
  </si>
  <si>
    <t>1.3.10</t>
  </si>
  <si>
    <t>Γωνία κάτω (στον πυθμένα)</t>
  </si>
  <si>
    <t>0.00 m — το σχέδιο S4.2 δείχνει ευθύγραμμη απόληξη στον πυθμένα χωρίς γωνία</t>
  </si>
  <si>
    <t>1.3.11</t>
  </si>
  <si>
    <t>Ύψος μάτισης (κενό σχεδίου → 50×Φ)</t>
  </si>
  <si>
    <t>Από σχέδιο S4.2: αναγράφεται ρητά 115 cm (1.15 m) στην τομή του πασσάλου (ο κανόνας 50Φ μπαίνει μόνο όταν δεν δίνεται στο σχέδιο)</t>
  </si>
  <si>
    <t>1.3.12</t>
  </si>
  <si>
    <t>Σούστα &amp; στεφάνια — Διάμετρος Φ</t>
  </si>
  <si>
    <t>Από σχέδιο S4.2: «Horizontal Y10/150» / «Y10 @ 150mm c/c»</t>
  </si>
  <si>
    <t>1.3.13</t>
  </si>
  <si>
    <t>Βήμα σούστας στα άκρα (πρώτα &amp; τελευταία μέτρα)</t>
  </si>
  <si>
    <t>150 mm (ενιαίο βήμα σούστας σε όλο το μήκος)</t>
  </si>
  <si>
    <t>1.3.14</t>
  </si>
  <si>
    <t>Μήκος ζώνης πύκνωσης άκρου (πάνω &amp; κάτω)</t>
  </si>
  <si>
    <t>0.00 m (δεν υπάρχουν διαφορετικές ζώνες πύκνωσης στο S4.2)</t>
  </si>
  <si>
    <t>1.3.15</t>
  </si>
  <si>
    <t>Βήμα σούστας (απόσταση μεταξύ σπειρών)</t>
  </si>
  <si>
    <t>Από σχέδιο S4.2: 150 mm («Y10 @ 150mm c/c»)</t>
  </si>
  <si>
    <t>1.3.16</t>
  </si>
  <si>
    <t>Στεφάνια αναμονής starter — ρητά από σχέδιο (κενό → υπολογισμός)</t>
  </si>
  <si>
    <t>—</t>
  </si>
  <si>
    <t>Κανόνας εταιρείας RULES_v5 §11.3: ROUNDUP(Starter / βήμα) = ROUNDUP(1000 / 150) = 7 τεμ. (χωρίς +1)</t>
  </si>
  <si>
    <t>1.3.17</t>
  </si>
  <si>
    <t>Πρόσθετος οπλισμός (U-bars κ.λπ.) — Πλήθος</t>
  </si>
  <si>
    <t>Δεν προβλέπεται πρόσθετος οπλισμός (U-bars κ.λπ.) στο S4.2</t>
  </si>
  <si>
    <t>1.3.18</t>
  </si>
  <si>
    <t>Πρόσθετος οπλισμός — Διάμετρος Φ</t>
  </si>
  <si>
    <t>1.3.19</t>
  </si>
  <si>
    <t>Πρόσθετος οπλισμός — Μήκος ανά βέργα</t>
  </si>
  <si>
    <t>2. ΤΕΛΙΚΕΣ ΠΟΣΟΤΗΤΕΣ ΓΙΑ ΤΗΝ ΟΙΚΟΝΟΜΙΚΗ ΠΡΟΣΦΟΡΑ</t>
  </si>
  <si>
    <t>Σύνολο Έργου</t>
  </si>
  <si>
    <t>Πλήθος Πασσάλων</t>
  </si>
  <si>
    <t>Μέση ανά Πάσσαλο</t>
  </si>
  <si>
    <t>Τροφοδοτεί</t>
  </si>
  <si>
    <t>2.1</t>
  </si>
  <si>
    <t>Τρέχοντα μέτρα διάτρησης Ø800mm</t>
  </si>
  <si>
    <t>Φύλλο 1</t>
  </si>
  <si>
    <t>2.2</t>
  </si>
  <si>
    <t>2.3</t>
  </si>
  <si>
    <t>Χάλυβας οπλισμού B500C (κάθετα σίδερα + σούστα + στεφάνια αναμονής)</t>
  </si>
  <si>
    <t>2.4</t>
  </si>
  <si>
    <t>2.5</t>
  </si>
  <si>
    <t>Κεφαλοκοπή πασσάλων (σπάσιμο κεφαλής)</t>
  </si>
  <si>
    <t>2Β. ΣΥΓΚΕΝΤΡΩΤΙΚΟΣ ΠΙΝΑΚΑΣ ΠΡΑΞΕΩΝ, ΠΟΣΟΤΗΤΩΝ &amp; ΤΙΜΩΝ (ΤΙΜΕΣ ΑΠΟ ΦΥΛΛΟ 3: «Τιμές &amp; Έλεγχος»)</t>
  </si>
  <si>
    <t>Πράξη / Εργασία (Εκσκαφή, Σκυρόδεμα, Οπλισμός κ.λπ.)</t>
  </si>
  <si>
    <t>Συνολική Ποσότητα</t>
  </si>
  <si>
    <t>Συνολικό Κόστος (€)</t>
  </si>
  <si>
    <t>Ανθρώπινη Επεξήγηση Πράξεων (Για Έλεγχο από Μηχανικό / Μάστρο — 100% Δυναμική)</t>
  </si>
  <si>
    <t>2Β.1</t>
  </si>
  <si>
    <t>2Β.2</t>
  </si>
  <si>
    <t>Εκσκαφή / Διάτρηση πασσάλων Ø800mm (18 τεμ.)</t>
  </si>
  <si>
    <t>2Β.3</t>
  </si>
  <si>
    <t>2Β.4α</t>
  </si>
  <si>
    <t xml:space="preserve">   ↳ Οπλισμός: Κάθετα σίδερα κλωβού</t>
  </si>
  <si>
    <t>2Β.4β</t>
  </si>
  <si>
    <t xml:space="preserve">   ↳ Οπλισμός: Σούστα σώματος πασσάλου (κάτω από το Cut-Off, με +1)</t>
  </si>
  <si>
    <t>2Β.4γ</t>
  </si>
  <si>
    <t xml:space="preserve">   ↳ Οπλισμός: Στεφάνια αναμονής starter (πάνω από το Cut-Off, χωρίς +1)</t>
  </si>
  <si>
    <t>2Β.4</t>
  </si>
  <si>
    <t>Χάλυβας οπλισμού B500C — ΣΥΝΟΛΟ ΚΛΩΒΟΥ (4α + 4β + 4γ)</t>
  </si>
  <si>
    <t>2Β.5</t>
  </si>
  <si>
    <t>2Β.6</t>
  </si>
  <si>
    <t>Κεφαλοκοπή πασσάλων (σπάσιμο κεφαλής / Pile Breaking)</t>
  </si>
  <si>
    <t>ΓΕΝΙΚΟ ΣΥΝΟΛΟ ΕΡΓΟΥ (ΑΘΡΟΙΣΜΑ ΚΥΡΙΩΝ ΠΡΑΞΕΩΝ 2Β.1 ΕΩΣ 2Β.6 — ΧΩΡΙΣ Φ.Π.Α.)</t>
  </si>
  <si>
    <t>3. ΣΤΑΘΕΡΕΣ ΤΕΧΝΙΚΕΣ ΠΑΡΑΔΟΧΕΣ (αριθμοί στη Στήλη D)</t>
  </si>
  <si>
    <t>Παραδοχή</t>
  </si>
  <si>
    <t>Προέλευση</t>
  </si>
  <si>
    <t>3.1</t>
  </si>
  <si>
    <t>Συντελεστής απώλειας σκυροδέματος</t>
  </si>
  <si>
    <t>%</t>
  </si>
  <si>
    <t>Τιμοκατάλογος (γρ. 27)</t>
  </si>
  <si>
    <t>3.2</t>
  </si>
  <si>
    <t>Πυκνότητα χάλυβα ρ (kg/m³)</t>
  </si>
  <si>
    <t>Τιμοκατάλογος (γρ. 26)</t>
  </si>
  <si>
    <t>3.3</t>
  </si>
  <si>
    <t>Μέγιστο εμπορικό μήκος βέργας</t>
  </si>
  <si>
    <t>Τιμοκατάλογος (γρ. 29)</t>
  </si>
  <si>
    <t>3.4</t>
  </si>
  <si>
    <t>Συντελεστής μάτισης (× Φ, αν δεν δίνεται στο σχέδιο)</t>
  </si>
  <si>
    <t>Τιμοκατάλογος (γρ. 30)</t>
  </si>
  <si>
    <t>3.5</t>
  </si>
  <si>
    <t>Μέγιστο ύψος υπερκάλυψης σκυροδέματος</t>
  </si>
  <si>
    <t>Τιμοκατάλογος (γρ. 31)</t>
  </si>
  <si>
    <t>3.6</t>
  </si>
  <si>
    <t>Μαθηματική σταθερά π</t>
  </si>
  <si>
    <t>PI()</t>
  </si>
  <si>
    <t>3.7</t>
  </si>
  <si>
    <t>Starter = βάθος πεδιλόπλακας − (αν δεν δίνεται starter)</t>
  </si>
  <si>
    <t>Κανόνας εταιρείας RULES_v5 §11.1</t>
  </si>
  <si>
    <t>3.8</t>
  </si>
  <si>
    <t>Γωνία πάνω (αν δεν δίνεται στο σχέδιο)</t>
  </si>
  <si>
    <t>Κανόνας εταιρείας RULES_v5 §11.2</t>
  </si>
  <si>
    <t>4. ΑΝΑΛΥΤΙΚΑ ΜΑΘΗΜΑΤΙΚΑ ΒΗΜΑ-ΒΗΜΑ (τιμές ανά πάσσαλο, σύνολο = Σ πλήθος × τιμή)</t>
  </si>
  <si>
    <t>Βήμα</t>
  </si>
  <si>
    <t>Υπολογισμός</t>
  </si>
  <si>
    <t>Ομάδα 1
Ø800 (Cut-Off -3.475m)</t>
  </si>
  <si>
    <t>Ομάδα 2
Ø800 (Cut-Off -4.375m)</t>
  </si>
  <si>
    <t>Τρόπος Υπολογισμού (Ανθρώπινα)</t>
  </si>
  <si>
    <t>Κενό τρύπημα (από πλατφόρμα μέχρι Cut-Off)</t>
  </si>
  <si>
    <t>Κενό τρύπημα = Στάθμη πλατφόρμας − Στάθμη αποκοπής (Cut-Off)</t>
  </si>
  <si>
    <t>Ύψος υπερκάλυψης κουγκριού (πάνω από το Cut-Off)</t>
  </si>
  <si>
    <t>Υπερκάλυψη κουγκριού = έως +2.00m πάνω από το Cut-Off (όταν υπάρχει κενό τρύπημα)</t>
  </si>
  <si>
    <t>Συνολικό βάθος τρυπήματος ανά πάσσαλο</t>
  </si>
  <si>
    <t>Συνολικό βάθος τρυπήματος = Ύψος σκυροδετημένου πασσάλου + Κενό τρύπημα</t>
  </si>
  <si>
    <t>Γεωμετρικός όγκος εκσκαφής τρύπας</t>
  </si>
  <si>
    <t>Όγκος εκσκαφής = Εμβαδόν τρύπας (π × Διάμετρος² / 4) × Συνολικό βάθος τρυπήματος</t>
  </si>
  <si>
    <t>Συνολικό ύψος σκυροδέτησης (με την υπερκάλυψη)</t>
  </si>
  <si>
    <t>Ύψος σκυροδέτησης = Ύψος σκυροδετημένου πασσάλου + Υπερκάλυψη κουγκριού</t>
  </si>
  <si>
    <t>Κυβικά σκυροδέματος ανά πάσσαλο (με +10% απώλεια)</t>
  </si>
  <si>
    <t>Κυβικά κουγκριού = Εμβαδόν τρύπας × Ύψος σκυροδέτησης × 1.10 (+10% απώλεια)</t>
  </si>
  <si>
    <t>7</t>
  </si>
  <si>
    <t>Διάμετρος στεφανιού κλωβού (έξω-έξω)</t>
  </si>
  <si>
    <t>Διάμετρος κλωβού = Διάμετρος τρύπας − (2 × Επικάλυψη Cover)</t>
  </si>
  <si>
    <t>8</t>
  </si>
  <si>
    <t>Περίμετρος στεφανιού κλωβού (μήκος 1 σπείρας)</t>
  </si>
  <si>
    <t>Περίμετρος στεφανιού = π (3.1416) × Διάμετρος στεφανιού κλωβού</t>
  </si>
  <si>
    <t>9</t>
  </si>
  <si>
    <t>Βασικό μήκος κάθετης βέργας (χωρίς μάτιση)</t>
  </si>
  <si>
    <t>Βασικό μήκος βέργας = Ύψος πασσάλου + Ύψος αναμονής starter + Γωνία πάνω + Γωνία κάτω</t>
  </si>
  <si>
    <t>10</t>
  </si>
  <si>
    <t>Αριθμός ματίσεων ανά κάθετη βέργα</t>
  </si>
  <si>
    <t>Αριθμός ματίσεων = 1 μάτιση για κάθε 12 μέτρα βέργας (όταν ξεπερνά τα 12.00m)</t>
  </si>
  <si>
    <t>11</t>
  </si>
  <si>
    <t>Συνολικό μήκος κάθετης βέργας (με τη μάτιση)</t>
  </si>
  <si>
    <t>Συνολικό μήκος βέργας = Βασικό μήκος βέργας + (Αριθμός ματίσεων × Ύψος μάτισης)</t>
  </si>
  <si>
    <t>12</t>
  </si>
  <si>
    <t>Βάρος ενός μέτρου κάθετης βέργας</t>
  </si>
  <si>
    <t>kg/m</t>
  </si>
  <si>
    <t>Βάρος μέτρου κάθετου σιδήρου = Εμβαδόν διατομής σιδήρου × 7,850 kg/m³</t>
  </si>
  <si>
    <t>13</t>
  </si>
  <si>
    <t>Βάρος κάθετων σιδήρων ανά πάσσαλο</t>
  </si>
  <si>
    <t>Βάρος κάθετων σιδήρων = Πλήθος κάθετων σιδήρων × Συνολικό μήκος βέργας × Βάρος μέτρου</t>
  </si>
  <si>
    <t>14</t>
  </si>
  <si>
    <t>Αριθμός σπειρών σούστας στο σώμα πασσάλου (κάτω από Cut-Off, με +1)</t>
  </si>
  <si>
    <t>Αριθμός σπειρών σούστας = ROUNDUP(Ύψος πασσάλου ÷ Βήμα σούστας) + 1 (κάτω από το Cut-Off μπαίνει +1)</t>
  </si>
  <si>
    <t>15</t>
  </si>
  <si>
    <t>Βάρος ενός μέτρου σιδήρου σούστας</t>
  </si>
  <si>
    <t>Βάρος μέτρου σούστας = Εμβαδόν διατομής σούστας × 7,850 kg/m³</t>
  </si>
  <si>
    <t>16</t>
  </si>
  <si>
    <t>Βάρος σούστας σώματος ανά πάσσαλο</t>
  </si>
  <si>
    <t>Βάρος σούστας σώματος = Αριθμός σπειρών × Περίμετρος στεφανιού × Βάρος μέτρου</t>
  </si>
  <si>
    <t>17</t>
  </si>
  <si>
    <t>Αριθμός στεφανιών στην αναμονή starter (πάνω από Cut-Off, χωρίς +1)</t>
  </si>
  <si>
    <t>Στεφάνια αναμονής starter = ROUNDUP(Ύψος αναμονής ÷ Βήμα) — χωρίς +1</t>
  </si>
  <si>
    <t>18</t>
  </si>
  <si>
    <t>Βάρος στεφανιών αναμονής starter ανά πάσσαλο</t>
  </si>
  <si>
    <t>Βάρος στεφανιών αναμονής = Αριθμός στεφανιών αναμονής × Περίμετρος στεφανιού × Βάρος μέτρου</t>
  </si>
  <si>
    <t>19</t>
  </si>
  <si>
    <t>Βάρος πρόσθετου οπλισμού (U-bars κ.λπ.) ανά πάσσαλο</t>
  </si>
  <si>
    <t>Βάρος πρόσθετου οπλισμού = Πλήθος × Μήκος βέργας × Βάρος μέτρου</t>
  </si>
  <si>
    <t>20</t>
  </si>
  <si>
    <t>Συνολικό βάρος σιδήρου κλωβού ανά πάσσαλο</t>
  </si>
  <si>
    <t>Συνολικό βάρος σιδήρου = Κάθετα σίδερα + Σούστα σώματος + Στεφάνια αναμονής + Πρόσθετος</t>
  </si>
  <si>
    <t>21</t>
  </si>
  <si>
    <t>Προστατευτικά sleeves αναμονών ανά πάσσαλο</t>
  </si>
  <si>
    <t>Sleeves ανά πάσσαλο = 1 τεμάχιο σε κάθε κάθετο σίδερο (κοστολόγηση στο Φύλλο 3 με ×1,30)</t>
  </si>
  <si>
    <t>22</t>
  </si>
  <si>
    <t>Κεφαλοκοπή (σπάσιμο κεφαλής) ανά πάσσαλο</t>
  </si>
  <si>
    <t>Κεφαλοκοπή ανά πάσσαλο = 1 τεμάχιο ανά πάσσαλο (όταν υπάρχει κενό τρύπημα)</t>
  </si>
  <si>
    <t>5. ΠΗΓΕΣ ΔΕΔΟΜΕΝΩΝ — ΑΠΟ ΠΟΥ ΠΡΟΗΛΘΕ ΚΑΘΕ ΣΤΟΙΧΕΙΟ (DRAWING AUDIT)</t>
  </si>
  <si>
    <t>Στοιχείο</t>
  </si>
  <si>
    <t>Κατάσταση</t>
  </si>
  <si>
    <t>Πηγή / Σημείο στο σχέδιο / Αιτιολόγηση</t>
  </si>
  <si>
    <t>Πλήθος πασσάλων έργου</t>
  </si>
  <si>
    <t>ΣΧΕΔΙΟ</t>
  </si>
  <si>
    <t>Φύλλο S4.1 («Χάραξη Πασσάλων» &amp; πίνακας «Κατάλογος Πασσάλων»): 17 τεμ. (P1–P6, P8–P18) + 1 τεμ. (P7)</t>
  </si>
  <si>
    <t>Φύλλο S4.1 (στήλη «Διατομή (mm)» = 800) &amp; Φύλλο S4.2 («PILE 800mm», διάσταση 80 cm)</t>
  </si>
  <si>
    <t>Στάθμη Πλατφόρμας Διάτρησης (WPL)</t>
  </si>
  <si>
    <t>ΧΡΗΣΤΗΣ</t>
  </si>
  <si>
    <t>Οδηγία email («Τα Piles θα πρέπει να γίνουν μέχρι το +0.00»), επιβεβαίωση χρήστη (Επιλογή Β) &amp; τομή S4.2 (+0.00)</t>
  </si>
  <si>
    <t>Στάθμες Αποκοπής (Cut-Off Level)</t>
  </si>
  <si>
    <t>Φύλλο S4.1 (στήλη «CUT OF LEVEL (mm)»: -3475 mm για P1–P6, P8–P18 και -4375 mm για P7 — 90 cm βαθύτερα στον ανελκυστήρα)</t>
  </si>
  <si>
    <t>Ύψος πασσάλου &amp; Συνολικό βάθος τρυπήματος (Διόρθωση P7)</t>
  </si>
  <si>
    <t>Φύλλο S4.2 («CAST HEIGHT = 15525 mm» = 15.525 m). Διόρθωση λάθους μελέτης στον P7 κατόπιν οδηγίας χρήστη: ο σκυροδετημένος πάσσαλος P7 μένει 15.525 m όπως οι υπόλοιποι 17 και τρυπιέται επιπλέον τη διαφορά των 0.90 m (15.525 + 4.375 = 19.90 m)</t>
  </si>
  <si>
    <t>Κατηγορία &amp; Τιμή Σκυροδέματος (Κουτάκια Φύλλου 3 — Στρογγυλοποιημένη στο Τ.Β.7 / D21)</t>
  </si>
  <si>
    <t>Κάθετα σίδερα κλωβού &amp; Τιμή Χάλυβα</t>
  </si>
  <si>
    <t>Ύψος αναμονής (Starter) &amp; Γωνίες (Πάνω / Κάτω)</t>
  </si>
  <si>
    <t>Ύψος μάτισης κάθετων σιδήρων</t>
  </si>
  <si>
    <t>Σούστα σώματος πασσάλου (κάτω από Cut-Off, με +1)</t>
  </si>
  <si>
    <t>ΚΑΝΟΝΑΣ</t>
  </si>
  <si>
    <t>Στεφάνια αναμονής starter (πάνω από Cut-Off, χωρίς +1)</t>
  </si>
  <si>
    <t>Τιμή Sleeve της συγκεκριμένης δουλειάς (με × 1,30 Overhead, Profit &amp; Damages)</t>
  </si>
  <si>
    <t>ΤΙΜΟΚΑΤΑΛΟΓΟΣ</t>
  </si>
  <si>
    <t>Τιμή Κεφαλοκοπής (Pile Breaking)</t>
  </si>
  <si>
    <t>Μετακινήσεις γεωτρύπανου &amp; Συνοδεία Αστυνομίας</t>
  </si>
  <si>
    <t>Κατάσταση: ΣΧΕΔΙΟ = γράφεται ρητά στο σχέδιο | ΜΕΤΡΗΣΗ = μετρήθηκε γραφικά από το σχέδιο | ΚΑΝΟΝΙΣΜΟΣ = Ευρωκώδικας | ΚΑΝΟΝΑΣ = κανόνας εταιρείας (RULES) | ΤΙΜΟΚΑΤΑΛΟΓΟΣ | ΧΡΗΣΤΗΣ = οδηγία χρήστη | ΠΑΡΑΔΟΧΗ = δεν δίνεται, απαιτεί επιβεβαίωση</t>
  </si>
  <si>
    <t>ΘΕΜΕΛΙΟΤΕΧΝΙΚΗ ΛΤΔ — ΚΕΝΤΡΙΚΟΣ ΠΙΝΑΚΑΣ ΤΙΜΩΝ &amp; ΕΛΕΓΧΟΥ ΕΡΓΟΥ (ΑΛΛΑΖΕΙΣ ΤΙΜΕΣ ΜΟΝΟ ΕΔΩ!)</t>
  </si>
  <si>
    <t>Όλες οι τιμές μονάδας και τα κουτάκια μετακινήσεων/σκυροδέματος/sleeve ορίζονται ΑΠΟΚΛΕΙΣΤΙΚΑ εδώ και ενημερώνουν αυτόματα όλα τα φύλλα και τις σημειώσεις!</t>
  </si>
  <si>
    <t>Α. ΚΥΡΙΕΣ ΤΙΜΕΣ ΜΟΝΑΔΑΣ &amp; ΜΕΤΑΚΙΝΗΣΕΙΣ (ΚΙΤΡΙΝΟ = ΑΛΛΑΖΕΙΣ ΕΔΩ)</t>
  </si>
  <si>
    <t>Περιγραφή Τιμής / Παραμέτρου</t>
  </si>
  <si>
    <t>Τιμή [ΑΛΛΑΖΕΙΣ ΕΔΩ]</t>
  </si>
  <si>
    <t>Πού Εφαρμόζεται</t>
  </si>
  <si>
    <t>Τ.1</t>
  </si>
  <si>
    <t>Απόσταση έργου εκτός Λεμεσού (Λάρνακα) — αλλάζει δυναμικά στο κελί Τ.1 του Φύλλου 3</t>
  </si>
  <si>
    <t>Υπολογίζει αυτόματα τις δεκάδες km (×200€) &amp; τη Συνοδεία Αστυνομίας (×8€/km)</t>
  </si>
  <si>
    <t>Τ.2</t>
  </si>
  <si>
    <t>Μετακίνηση γεωτρύπανου — Βασική τιμή (Μέσα στη Λεμεσό)</t>
  </si>
  <si>
    <t>Τιμοκατάλογος (γρ. 5)</t>
  </si>
  <si>
    <t>Φύλλο 1 (Γρ. 1) &amp; Φύλλο 2 (1.1.4 &amp; 2Β.1)</t>
  </si>
  <si>
    <t>Τ.3</t>
  </si>
  <si>
    <t>Μετακίνηση γεωτρύπανου — Επιβάρυνση ανά 10 km εκτός Λεμεσού (+200 €/10km)</t>
  </si>
  <si>
    <t>Τιμοκατάλογος (γρ. 6)</t>
  </si>
  <si>
    <t>Φύλλο 1 (Γρ. 1) &amp; Φύλλο 2 (1.1.5 &amp; 2Β.1)</t>
  </si>
  <si>
    <t>Τ.4.1</t>
  </si>
  <si>
    <t>Τρύπημα / Διάτρηση Πασσάλων Ø800mm</t>
  </si>
  <si>
    <t>Τιμοκατάλογος (γρ. 11)</t>
  </si>
  <si>
    <t>Φύλλο 1 (Γρ. 2) &amp; Φύλλο 2 (2Β.2) — €/m</t>
  </si>
  <si>
    <t>Τ.5</t>
  </si>
  <si>
    <t>Χάλυβας οπλισμού B500C (Κάθετα σίδερα &amp; Σούστα) — Τιμή κιλού</t>
  </si>
  <si>
    <t>Τιμοκατάλογος (γρ. 19)</t>
  </si>
  <si>
    <t>Φύλλο 1 (Γρ. 4) &amp; Φύλλο 2 (2Β.4, 4α, 4β, 4γ) — €/kg</t>
  </si>
  <si>
    <t>Τ.6</t>
  </si>
  <si>
    <t>Κεφαλοκοπή πασσάλων (Pile Breaking) — Τιμή τεμαχίου</t>
  </si>
  <si>
    <t>Τιμοκατάλογος (γρ. 23)</t>
  </si>
  <si>
    <t>Φύλλο 1 (Γρ. 6) &amp; Φύλλο 2 (2Β.6) — €/τεμ.</t>
  </si>
  <si>
    <t>Β. ΥΠΟΛΟΓΙΣΜΟΣ ΤΙΜΗΣ ΚΑΝΟΝΙΚΟΥ ΣΚΥΡΟΔΕΜΑΤΟΣ (C40/50) — ΚΟΥΤΑΚΙΑ ΜΗΧΑΝΙΚΟΥ</t>
  </si>
  <si>
    <t>Παράμετρος Κόστους Σκυροδέτησης</t>
  </si>
  <si>
    <t>Τιμή / Κουτάκι</t>
  </si>
  <si>
    <t>Προέλευση / Τύπος</t>
  </si>
  <si>
    <t>Επεξήγηση</t>
  </si>
  <si>
    <t>Τ.Β.1</t>
  </si>
  <si>
    <t>Τιμή αγοράς σκυροδέματος (C40/50) από προμηθευτή [ΚΟΥΤΑΚΙ ΜΗΧΑΝΙΚΟΥ]</t>
  </si>
  <si>
    <t>Κουτάκι Μηχανικού (Τιμή αγοράς κουγκριού)</t>
  </si>
  <si>
    <t>Συμπληρώνεται από τον μηχανικό ανάλογα με την προσφορά προμηθευτή (€/m³)</t>
  </si>
  <si>
    <t>Τ.Β.2</t>
  </si>
  <si>
    <t>Κόστος τοποθέτησης σκυροδέματος (σταθερό ανά κυβικό)</t>
  </si>
  <si>
    <t>Τιμοκατάλογος (γρ. 18)</t>
  </si>
  <si>
    <t>Σταθερή χρέωση τοποθέτησης = +15,00 €/m³ από τον Τιμοκατάλογο Εταιρείας</t>
  </si>
  <si>
    <t>Τ.Β.3</t>
  </si>
  <si>
    <t>Κόστος στησίματος αντλίας (πρέσας) ανά στήσιμο [ΚΟΥΤΑΚΙ ΜΗΧΑΝΙΚΟΥ]</t>
  </si>
  <si>
    <t>Κουτάκι Μηχανικού (Κόστος στησίματος αντλίας)</t>
  </si>
  <si>
    <t>Συμπληρώνεται από τον μηχανικό (€/στήσιμο αντλίας)</t>
  </si>
  <si>
    <t>Τ.Β.4</t>
  </si>
  <si>
    <t>Πόσες τρύπες (πασσάλους) θα κάνει η αντλία ανά στήσιμο [ΚΟΥΤΑΚΙ ΜΗΧΑΝΙΚΟΥ]</t>
  </si>
  <si>
    <t>τρύπες</t>
  </si>
  <si>
    <t>Κουτάκι Μηχανικού (Τρύπες/πασσάλους ανά στήσιμο αντλίας)</t>
  </si>
  <si>
    <t>Αριθμός πασσάλων που σκυροδετούνται σε 1 στήσιμο της αντλίας</t>
  </si>
  <si>
    <t>Τ.Β.5</t>
  </si>
  <si>
    <t>Κυβικά κουγκριού που αντλεί η αντλία ανά στήσιμο (Τρύπες × m³/τρύπα)</t>
  </si>
  <si>
    <t>Αυτόματος υπολογισμός: Τρύπες ανά στήσιμο × Μέσα κυβικά ανά πάσσαλο</t>
  </si>
  <si>
    <t>Κυβικά σκυροδέματος ανά στήσιμο αντλίας</t>
  </si>
  <si>
    <t>Τ.Β.6</t>
  </si>
  <si>
    <t>Επιβάρυνση στησίματος αντλίας ανά κυβικό (Στήσιμο ÷ m³ ανά στήσιμο)</t>
  </si>
  <si>
    <t>Αυτόματος υπολογισμός: Κόστος στησίματος ÷ Κυβικά ανά στήσιμο</t>
  </si>
  <si>
    <t>Επιβάρυνση αντλίας σε €/m³</t>
  </si>
  <si>
    <t>Τ.Β.7</t>
  </si>
  <si>
    <t>ΤΕΛΙΚΗ ΤΙΜΗ ΣΚΥΡΟΔΕΤΗΣΗΣ (C40/50) ΑΝΑ ΚΥΒΙΚΟ [ΣΤΡΟΓΓΥΛΟΠΟΙΗΜΕΝΗ ΣΕ ΑΚΕΡΑΙΟ €]</t>
  </si>
  <si>
    <t>ROUND(Τιμή Αγοράς + 15,00 € + Στήσιμο Αντλίας/m³, 0)</t>
  </si>
  <si>
    <t>Στρογγυλοποιημένη τελική τιμή — Τροφοδοτεί Φύλλο 1 (Γρ. 3) &amp; Φύλλο 2 (2Β.3)</t>
  </si>
  <si>
    <t>Γ. ΚΟΣΤΟΛΟΓΗΣΗ SLEEVE ΤΗΣ ΣΥΓΚΕΚΡΙΜΕΝΗΣ ΔΟΥΛΕΙΑΣ — ΜΟΝΟ ΓΙΑ SLEEVE Φ32 (ΓΙΑ ΚΆΘΕΤΟ ΣΊΔΕΡΟ Φ20 ≤ Φ20)</t>
  </si>
  <si>
    <t>Στοιχείο Κόστους Sleeve Έργου</t>
  </si>
  <si>
    <t>Κανόνας Κοπής, Φύρας, Εργατικών &amp; ×1,30</t>
  </si>
  <si>
    <t>Τ.Γ.1</t>
  </si>
  <si>
    <t>Εμπορικό μήκος σωλήνα που μας φέρνουν (Sleeve Φ32 (για κάθετο σίδερο Φ20 ≤ Φ20))</t>
  </si>
  <si>
    <t>Τιμοκατάλογος (γρ. 34)</t>
  </si>
  <si>
    <t>Μήκος εμπορικού σωλήνα από Τιμοκατάλογο Εταιρείας (Φύλλο 5)</t>
  </si>
  <si>
    <t>Τ.Γ.2</t>
  </si>
  <si>
    <t>Τιμή αγοράς εμπορικού σωλήνα (Sleeve Φ32 (για κάθετο σίδερο Φ20 ≤ Φ20))</t>
  </si>
  <si>
    <t>Τιμοκατάλογος (γρ. 35)</t>
  </si>
  <si>
    <t>Τιμή αγοράς ολόκληρου σωλήνα από Τιμοκατάλογο Εταιρείας (Φύλλο 5)</t>
  </si>
  <si>
    <t>Τ.Γ.3</t>
  </si>
  <si>
    <t>Τιμή υλικού σωλήνα ανά μέτρο (Τιμή σωλήνα ÷ Μήκος σωλήνα)</t>
  </si>
  <si>
    <t>€/m</t>
  </si>
  <si>
    <t>Αυτόματος υπολογισμός από Τιμοκατάλογο</t>
  </si>
  <si>
    <t>Κόστος υλικού σωλήνα ανά τρέχον μέτρο</t>
  </si>
  <si>
    <t>Τ.Γ.4</t>
  </si>
  <si>
    <t>Απαιτούμενο μήκος sleeve ανά σίδερο (Starter + Γωνία πάνω)</t>
  </si>
  <si>
    <t>Από Τεχνικούς Υπολογισμούς (1.3.8 Starter + 1.3.9 Γωνία πάνω)</t>
  </si>
  <si>
    <t>Μήκος sleeve που απαιτείται να κοπεί για κάθε κάθετη ράβδο</t>
  </si>
  <si>
    <t>Τ.Γ.5</t>
  </si>
  <si>
    <t>Χρεωστέο μήκος σωλήνα ανά σίδερο (με στρογγυλοποίηση προς τα πάνω λόγω φύρας)</t>
  </si>
  <si>
    <t>Κανόνας φύρας: αν δεν διαιρεί ακριβώς τον σωλήνα, το ρετάλι χάνεται και χρεώνεται!</t>
  </si>
  <si>
    <t>Αν L_req=1.00m σε 3m σωλήνα → 3 τεμ./σωλήνα → χρεωστέο 1.00m (μηδενική φύρα)</t>
  </si>
  <si>
    <t>Τ.Γ.6</t>
  </si>
  <si>
    <t>Κόστος υλικού σωλήνα ανά σίδερο (Χρεωστέο μήκος × Τιμή ανά μέτρο)</t>
  </si>
  <si>
    <t>Χρεωστέο μήκος σωλήνα × Κόστος σωλήνα ανά μέτρο</t>
  </si>
  <si>
    <t>Καθαρό κόστος υλικού σωλήνα ανά κάθετο σίδερο</t>
  </si>
  <si>
    <t>Τ.Γ.7</t>
  </si>
  <si>
    <t>Εργατικά τοποθέτησης ανά σίδερο (Συνεργείο 1,5 ατόμων × 2 λεπτά × 15,60 €/ώρα)</t>
  </si>
  <si>
    <t>Τιμοκατάλογος (γρ. 40)</t>
  </si>
  <si>
    <t>Σταθερό ανά σίδερο ανεξαρτήτως μήκους/πάχους: (2/60) × 1,5 × 15,60 € = 0,7800 €</t>
  </si>
  <si>
    <t>Τ.Γ.8</t>
  </si>
  <si>
    <t>Κόστος Τέλλας (Μονωτικής Ταινίας) ανά σίδερο (Ρολό 2,19 € ÷ 25 σίδερα)</t>
  </si>
  <si>
    <t>Τιμοκατάλογος (γρ. 41)</t>
  </si>
  <si>
    <t>Σταθερό ανά σίδερο ανεξαρτήτως μήκους/πάχους: 2,19 € / 25 = 0,0876 €</t>
  </si>
  <si>
    <t>Τ.Γ.9</t>
  </si>
  <si>
    <t>Εσωτερικό Κόστος Sleeve για εμάς ανά σίδερο (Υλικό + Εργατικά + Τέλλα)</t>
  </si>
  <si>
    <t>Άθροισμα: Υλικό σωλήνα + 0,7800 € (Εργατικά) + 0,0876 € (Τέλλα)</t>
  </si>
  <si>
    <t>Καθαρό εσωτερικό κόστος πριν το Overhead, Profit &amp; Damages</t>
  </si>
  <si>
    <t>Τ.Γ.10</t>
  </si>
  <si>
    <t>Συντελεστής Overhead, Profit &amp; Damages (× 1,30)</t>
  </si>
  <si>
    <t>×</t>
  </si>
  <si>
    <t>Τιμοκατάλογος (γρ. 42)</t>
  </si>
  <si>
    <t>Πολλαπλασιάζεται πάντα × 1,30 (+30% Overhead, Κέρδος &amp; Ζημιές) στην τελική τιμή</t>
  </si>
  <si>
    <t>Τ.Γ.11</t>
  </si>
  <si>
    <t>ΤΕΛΙΚΗ ΤΙΜΗ SLEEVE ΕΡΓΟΥ (Sleeve Φ32) ΑΝΑ ΣΙΔΕΡΟ [(Υλικό + Εργατικά + Τέλλα) × 1,30]</t>
  </si>
  <si>
    <t>Εσωτερικό Κόστος Sleeve × 1,30 (Overhead, Profit &amp; Damages)</t>
  </si>
  <si>
    <t>Τροφοδοτεί αυτόματα Φύλλο 1 (Γρ. 5) &amp; Φύλλο 2 (2Β.5)</t>
  </si>
  <si>
    <t>Δ. ΣΥΝΟΔΕΙΑ ΑΣΤΥΝΟΜΙΑΣ ΓΕΩΤΡΥΠΑΝΟΥ (8 €/km) &amp; ΖΩΝΤΑΝΟΣ ΕΛΕΓΧΟΣ ΣΥΝΟΛΩΝ</t>
  </si>
  <si>
    <t>Τ.Δ.1</t>
  </si>
  <si>
    <t>Χιλιόμετρα Συνοδείας Αστυνομίας (Πάσσαλοι Θεμελίωσης / Νέφκες — βάλε 0 αν δεν έχει)</t>
  </si>
  <si>
    <t>Συνδεδεμένο με την απόσταση Τ.1 (ή γράψε 0 αν δεν απαιτείται συνοδεία)</t>
  </si>
  <si>
    <t>Πολλαπλασιάζεται με τα 8,00 €/km για τη μεταφορά του γεωτρύπανου</t>
  </si>
  <si>
    <t>Τ.Δ.2</t>
  </si>
  <si>
    <t>Κόστος Συνοδείας Αστυνομίας ανά χιλιόμετρο (8,00 €/km)</t>
  </si>
  <si>
    <t>€/km</t>
  </si>
  <si>
    <t>Τιμοκατάλογος (γρ. 43)</t>
  </si>
  <si>
    <t>Από Τιμοκατάλογο Εταιρείας (Φύλλο 6): 8,00 €/km</t>
  </si>
  <si>
    <t>Τ.Δ.3</t>
  </si>
  <si>
    <t>Συνολικό Κόστος Συνοδείας Αστυνομίας (Χιλιόμετρα × 8,00 €/km)</t>
  </si>
  <si>
    <t>Αυτόματος υπολογισμός: Χιλιόμετρα Συνοδείας × 8,00 €/km</t>
  </si>
  <si>
    <t>Προστίθεται αυτόματα στις Μετακινήσεις (Φύλλο 1 Γρ. 1 &amp; Φύλλο 2 2Β.1)</t>
  </si>
  <si>
    <t>ΓΕΝΙΚΟ ΣΥΝΟΛΟ ΠΡΟΣΦΟΡΑΣ (ΧΩΡΙΣ Φ.Π.Α.):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</si>
</sst>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"/>
    <numFmt numFmtId="165" formatCode="#,##0.00\ &quot;€&quot;"/>
    <numFmt numFmtId="166" formatCode="#,##0\ &quot;€&quot;"/>
    <numFmt numFmtId="167" formatCode="#,##0.0000\ &quot;€&quot;"/>
    <numFmt numFmtId="168" formatCode="#,##0.0000\ &quot;€/m&quot;"/>
    <numFmt numFmtId="169" formatCode="#,##0.00\ &quot;€/km&quot;"/>
    <numFmt numFmtId="170" formatCode="0.00000"/>
    <numFmt numFmtId="171" formatCode="#,##0.0"/>
    <numFmt numFmtId="172" formatCode="0.0%"/>
    <numFmt numFmtId="173" formatCode="0.000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4B5563"/>
      <name val="Calibri"/>
    </font>
    <font>
      <b/>
      <sz val="11"/>
      <color rgb="FF1E40AF"/>
      <name val="Calibri"/>
    </font>
    <font>
      <b/>
      <sz val="10"/>
      <color rgb="FFFFFFFF"/>
      <name val="Calibri"/>
    </font>
    <font>
      <b/>
      <sz val="10"/>
      <name val="Calibri"/>
    </font>
    <font>
      <sz val="9"/>
      <color rgb="FF374151"/>
      <name val="Calibri"/>
    </font>
    <font>
      <b/>
      <sz val="10"/>
      <color rgb="FF065F46"/>
      <name val="Calibri"/>
    </font>
    <font>
      <b/>
      <sz val="11"/>
      <color rgb="FF92400E"/>
      <name val="Calibri"/>
    </font>
    <font>
      <b/>
      <sz val="11"/>
      <color rgb="FF065F46"/>
      <name val="Calibri"/>
    </font>
    <font>
      <i/>
      <sz val="9"/>
      <color rgb="FF334155"/>
      <name val="Calibri"/>
    </font>
    <font>
      <b/>
      <sz val="10"/>
      <color rgb="FF1E40A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3F4F6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B45309"/>
      </left>
      <right style="thin">
        <color rgb="FFB45309"/>
      </right>
      <top style="thin">
        <color rgb="FFB45309"/>
      </top>
      <bottom style="double">
        <color rgb="FFB45309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71" fontId="0" fillId="0" borderId="1" xfId="0" applyNumberFormat="1" applyBorder="1" applyAlignment="1">
      <alignment horizontal="right" vertical="center"/>
    </xf>
    <xf numFmtId="167" fontId="5" fillId="5" borderId="1" xfId="0" applyNumberFormat="1" applyFont="1" applyFill="1" applyBorder="1" applyAlignment="1">
      <alignment horizontal="right" vertical="center"/>
    </xf>
    <xf numFmtId="165" fontId="8" fillId="7" borderId="4" xfId="0" applyNumberFormat="1" applyFont="1" applyFill="1" applyBorder="1" applyAlignment="1">
      <alignment horizontal="right" vertical="center"/>
    </xf>
    <xf numFmtId="0" fontId="11" fillId="0" borderId="0" xfId="0" applyFont="1"/>
    <xf numFmtId="0" fontId="6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1" xfId="0" applyBorder="1"/>
    <xf numFmtId="164" fontId="5" fillId="5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70" fontId="0" fillId="0" borderId="1" xfId="0" applyNumberForma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0" fontId="9" fillId="0" borderId="0" xfId="0" applyFont="1"/>
    <xf numFmtId="0" fontId="7" fillId="6" borderId="3" xfId="0" applyFont="1" applyFill="1" applyBorder="1"/>
    <xf numFmtId="2" fontId="7" fillId="6" borderId="3" xfId="0" applyNumberFormat="1" applyFont="1" applyFill="1" applyBorder="1"/>
    <xf numFmtId="3" fontId="7" fillId="6" borderId="3" xfId="0" applyNumberFormat="1" applyFont="1" applyFill="1" applyBorder="1"/>
    <xf numFmtId="171" fontId="7" fillId="6" borderId="3" xfId="0" applyNumberFormat="1" applyFont="1" applyFill="1" applyBorder="1"/>
    <xf numFmtId="0" fontId="5" fillId="0" borderId="1" xfId="0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right"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171" fontId="10" fillId="8" borderId="1" xfId="0" applyNumberFormat="1" applyFont="1" applyFill="1" applyBorder="1" applyAlignment="1">
      <alignment horizontal="right" vertical="center"/>
    </xf>
    <xf numFmtId="165" fontId="10" fillId="8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 wrapText="1"/>
    </xf>
    <xf numFmtId="171" fontId="5" fillId="0" borderId="1" xfId="0" applyNumberFormat="1" applyFont="1" applyBorder="1" applyAlignment="1">
      <alignment horizontal="right" vertical="center"/>
    </xf>
    <xf numFmtId="0" fontId="8" fillId="7" borderId="4" xfId="0" applyFont="1" applyFill="1" applyBorder="1" applyAlignment="1">
      <alignment horizontal="left" vertical="center" wrapText="1"/>
    </xf>
    <xf numFmtId="172" fontId="0" fillId="0" borderId="1" xfId="0" applyNumberFormat="1" applyBorder="1" applyAlignment="1">
      <alignment horizontal="right" vertical="center"/>
    </xf>
    <xf numFmtId="173" fontId="0" fillId="0" borderId="1" xfId="0" applyNumberFormat="1" applyBorder="1" applyAlignment="1">
      <alignment horizontal="right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right" vertical="center"/>
    </xf>
    <xf numFmtId="165" fontId="5" fillId="4" borderId="2" xfId="0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horizontal="right" vertical="center"/>
    </xf>
    <xf numFmtId="2" fontId="5" fillId="5" borderId="1" xfId="0" applyNumberFormat="1" applyFont="1" applyFill="1" applyBorder="1" applyAlignment="1">
      <alignment horizontal="right" vertical="center"/>
    </xf>
    <xf numFmtId="166" fontId="7" fillId="6" borderId="3" xfId="0" applyNumberFormat="1" applyFont="1" applyFill="1" applyBorder="1" applyAlignment="1">
      <alignment horizontal="right" vertical="center"/>
    </xf>
    <xf numFmtId="2" fontId="5" fillId="4" borderId="2" xfId="0" applyNumberFormat="1" applyFont="1" applyFill="1" applyBorder="1" applyAlignment="1">
      <alignment horizontal="right" vertical="center"/>
    </xf>
    <xf numFmtId="167" fontId="5" fillId="4" borderId="2" xfId="0" applyNumberFormat="1" applyFont="1" applyFill="1" applyBorder="1" applyAlignment="1">
      <alignment horizontal="right" vertical="center"/>
    </xf>
    <xf numFmtId="168" fontId="5" fillId="5" borderId="1" xfId="0" applyNumberFormat="1" applyFont="1" applyFill="1" applyBorder="1" applyAlignment="1">
      <alignment horizontal="right" vertical="center"/>
    </xf>
    <xf numFmtId="167" fontId="7" fillId="6" borderId="3" xfId="0" applyNumberFormat="1" applyFont="1" applyFill="1" applyBorder="1" applyAlignment="1">
      <alignment horizontal="right" vertical="center"/>
    </xf>
    <xf numFmtId="169" fontId="5" fillId="4" borderId="2" xfId="0" applyNumberFormat="1" applyFont="1" applyFill="1" applyBorder="1" applyAlignment="1">
      <alignment horizontal="right" vertical="center"/>
    </xf>
    <xf numFmtId="165" fontId="7" fillId="6" borderId="3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7" borderId="4" xfId="0" applyFont="1" applyFill="1" applyBorder="1" applyAlignment="1">
      <alignment horizontal="right" vertical="center"/>
    </xf>
    <xf numFmtId="0" fontId="0" fillId="7" borderId="4" xfId="0" applyFill="1" applyBorder="1"/>
    <xf numFmtId="0" fontId="4" fillId="3" borderId="0" xfId="0" applyFont="1" applyFill="1" applyAlignment="1">
      <alignment horizontal="center" vertical="center" wrapText="1"/>
    </xf>
    <xf numFmtId="0" fontId="2" fillId="0" borderId="0" xfId="0" applyFont="1"/>
    <xf numFmtId="0" fontId="8" fillId="7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workbookViewId="0">
      <selection activeCell="A7" sqref="A7:G14"/>
    </sheetView>
  </sheetViews>
  <sheetFormatPr defaultRowHeight="14.5" x14ac:dyDescent="0.35"/>
  <cols>
    <col min="1" max="1" width="7" customWidth="1"/>
    <col min="2" max="2" width="58" customWidth="1"/>
    <col min="3" max="3" width="14" customWidth="1"/>
    <col min="4" max="4" width="10" customWidth="1"/>
    <col min="5" max="6" width="18" customWidth="1"/>
    <col min="7" max="7" width="20" customWidth="1"/>
  </cols>
  <sheetData>
    <row r="1" spans="1:7" ht="28" customHeight="1" x14ac:dyDescent="0.35">
      <c r="A1" s="58" t="s">
        <v>0</v>
      </c>
      <c r="B1" s="57"/>
      <c r="C1" s="57"/>
      <c r="D1" s="57"/>
      <c r="E1" s="57"/>
      <c r="F1" s="57"/>
      <c r="G1" s="57"/>
    </row>
    <row r="2" spans="1:7" x14ac:dyDescent="0.35">
      <c r="A2" s="1" t="s">
        <v>1</v>
      </c>
    </row>
    <row r="7" spans="1:7" ht="30" customHeight="1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</row>
    <row r="8" spans="1:7" ht="30" customHeight="1" x14ac:dyDescent="0.35">
      <c r="A8" s="3" t="s">
        <v>9</v>
      </c>
      <c r="B8" s="4" t="s">
        <v>10</v>
      </c>
      <c r="C8" s="5">
        <f>'Τεχνικοί Υπολογισμοί'!$D$14</f>
        <v>18</v>
      </c>
      <c r="D8" s="3" t="s">
        <v>11</v>
      </c>
      <c r="E8" s="6">
        <f>'Τεχνικοί Υπολογισμοί'!$D$15</f>
        <v>177.77777777777777</v>
      </c>
      <c r="F8" s="7">
        <f>$C$8*$E$8</f>
        <v>3200</v>
      </c>
      <c r="G8" s="7">
        <f>$F$8/'Τεχνικοί Υπολογισμοί'!$D$14</f>
        <v>177.77777777777777</v>
      </c>
    </row>
    <row r="9" spans="1:7" ht="30" customHeight="1" x14ac:dyDescent="0.35">
      <c r="A9" s="3" t="s">
        <v>12</v>
      </c>
      <c r="B9" s="4" t="s">
        <v>13</v>
      </c>
      <c r="C9" s="8">
        <f>'Τεχνικοί Υπολογισμοί'!$D$45</f>
        <v>342.9</v>
      </c>
      <c r="D9" s="3" t="s">
        <v>14</v>
      </c>
      <c r="E9" s="6">
        <f>'Τιμές &amp; Έλεγχος'!$D$9</f>
        <v>90</v>
      </c>
      <c r="F9" s="7">
        <f>$C$9*$E$9</f>
        <v>30860.999999999996</v>
      </c>
      <c r="G9" s="7">
        <f>$F$9/'Τεχνικοί Υπολογισμοί'!$D$14</f>
        <v>1714.4999999999998</v>
      </c>
    </row>
    <row r="10" spans="1:7" ht="30" customHeight="1" x14ac:dyDescent="0.35">
      <c r="A10" s="3" t="s">
        <v>15</v>
      </c>
      <c r="B10" s="4" t="str">
        <f>"Σκυροδέτηση πασσάλων "&amp;'Τεχνικοί Υπολογισμοί'!$D$18&amp;" (με απώλεια +"&amp;ROUND('Τεχνικοί Υπολογισμοί'!$D$66*100,0)&amp;"%)"</f>
        <v>Σκυροδέτηση πασσάλων C40/50 (με απώλεια +10%)</v>
      </c>
      <c r="C10" s="8">
        <f>'Τεχνικοί Υπολογισμοί'!$D$46</f>
        <v>174.41871085318246</v>
      </c>
      <c r="D10" s="3" t="s">
        <v>16</v>
      </c>
      <c r="E10" s="9">
        <f>'Τιμές &amp; Έλεγχος'!$D$21</f>
        <v>116</v>
      </c>
      <c r="F10" s="7">
        <f>$C$10*$E$10</f>
        <v>20232.570458969167</v>
      </c>
      <c r="G10" s="7">
        <f>$F$10/'Τεχνικοί Υπολογισμοί'!$D$14</f>
        <v>1124.0316921649537</v>
      </c>
    </row>
    <row r="11" spans="1:7" ht="30" customHeight="1" x14ac:dyDescent="0.35">
      <c r="A11" s="3" t="s">
        <v>17</v>
      </c>
      <c r="B11" s="4" t="str">
        <f>"Χάλυβας οπλισμού B500C (κάθετα σίδερα "&amp;'Τεχνικοί Υπολογισμοί'!$D$28&amp;"Φ"&amp;'Τεχνικοί Υπολογισμοί'!$D$29&amp;", σούστα Φ"&amp;'Τεχνικοί Υπολογισμοί'!$D$34&amp;"/"&amp;ROUND('Τεχνικοί Υπολογισμοί'!$D$37/10,0)&amp;" &amp; στεφάνια αναμονής)"</f>
        <v>Χάλυβας οπλισμού B500C (κάθετα σίδερα 16Φ20, σούστα Φ10/15 &amp; στεφάνια αναμονής)</v>
      </c>
      <c r="C11" s="10">
        <f>'Τεχνικοί Υπολογισμοί'!$D$47</f>
        <v>15091.817831819826</v>
      </c>
      <c r="D11" s="3" t="s">
        <v>18</v>
      </c>
      <c r="E11" s="6">
        <f>'Τιμές &amp; Έλεγχος'!$D$10</f>
        <v>1.1000000000000001</v>
      </c>
      <c r="F11" s="7">
        <f>$C$11*$E$11</f>
        <v>16600.999615001809</v>
      </c>
      <c r="G11" s="7">
        <f>$F$11/'Τεχνικοί Υπολογισμοί'!$D$14</f>
        <v>922.27775638898936</v>
      </c>
    </row>
    <row r="12" spans="1:7" ht="30" customHeight="1" x14ac:dyDescent="0.35">
      <c r="A12" s="3" t="s">
        <v>19</v>
      </c>
      <c r="B12" s="4" t="str">
        <f>"Sleeves προστασίας αναμονών starter (Sleeve Φ32 για κάθετα σίδερα Φ"&amp;'Τεχνικοί Υπολογισμοί'!$D$29&amp;")"</f>
        <v>Sleeves προστασίας αναμονών starter (Sleeve Φ32 για κάθετα σίδερα Φ20)</v>
      </c>
      <c r="C12" s="5">
        <f>'Τεχνικοί Υπολογισμοί'!$D$48</f>
        <v>288</v>
      </c>
      <c r="D12" s="3" t="s">
        <v>20</v>
      </c>
      <c r="E12" s="11">
        <f>'Τιμές &amp; Έλεγχος'!$D$35</f>
        <v>3</v>
      </c>
      <c r="F12" s="7">
        <f>$C$12*$E$12</f>
        <v>864</v>
      </c>
      <c r="G12" s="7">
        <f>$F$12/'Τεχνικοί Υπολογισμοί'!$D$14</f>
        <v>48</v>
      </c>
    </row>
    <row r="13" spans="1:7" ht="30" customHeight="1" x14ac:dyDescent="0.35">
      <c r="A13" s="3" t="s">
        <v>21</v>
      </c>
      <c r="B13" s="4" t="s">
        <v>22</v>
      </c>
      <c r="C13" s="5">
        <f>'Τεχνικοί Υπολογισμοί'!$D$49</f>
        <v>18</v>
      </c>
      <c r="D13" s="3" t="s">
        <v>20</v>
      </c>
      <c r="E13" s="6">
        <f>'Τιμές &amp; Έλεγχος'!$D$11</f>
        <v>150</v>
      </c>
      <c r="F13" s="7">
        <f>$C$13*$E$13</f>
        <v>2700</v>
      </c>
      <c r="G13" s="7">
        <f>$F$13/'Τεχνικοί Υπολογισμοί'!$D$14</f>
        <v>150</v>
      </c>
    </row>
    <row r="14" spans="1:7" ht="26" customHeight="1" x14ac:dyDescent="0.35">
      <c r="A14" s="59" t="s">
        <v>23</v>
      </c>
      <c r="B14" s="60"/>
      <c r="C14" s="60"/>
      <c r="D14" s="60"/>
      <c r="E14" s="60"/>
      <c r="F14" s="12">
        <f>$F$8+$F$9+$F$10+$F$11+$F$12+$F$13</f>
        <v>74458.570073970972</v>
      </c>
      <c r="G14" s="12">
        <f>$F$14/'Τεχνικοί Υπολογισμοί'!$D$14</f>
        <v>4136.5872263317206</v>
      </c>
    </row>
    <row r="16" spans="1:7" x14ac:dyDescent="0.35">
      <c r="A16" s="13" t="s">
        <v>24</v>
      </c>
    </row>
    <row r="17" spans="1:7" ht="24" customHeight="1" x14ac:dyDescent="0.35">
      <c r="A17" s="56" t="str">
        <f>"1. Στις τιμές ΔΕΝ περιλαμβάνεται ο Φ.Π.Α. — Γενικό Σύνολο Προσφοράς: "&amp;ROUND($F$14,2)&amp;" € (Μέσο κόστος ανά πάσσαλο: "&amp;ROUND($F$14/'Τεχνικοί Υπολογισμοί'!$D$14,2)&amp;" € για "&amp;'Τεχνικοί Υπολογισμοί'!$D$14&amp;" πασσάλους)."</f>
        <v>1. Στις τιμές ΔΕΝ περιλαμβάνεται ο Φ.Π.Α. — Γενικό Σύνολο Προσφοράς: 74458.57 € (Μέσο κόστος ανά πάσσαλο: 4136.59 € για 18 πασσάλους).</v>
      </c>
      <c r="B17" s="57"/>
      <c r="C17" s="57"/>
      <c r="D17" s="57"/>
      <c r="E17" s="57"/>
      <c r="F17" s="57"/>
      <c r="G17" s="57"/>
    </row>
    <row r="18" spans="1:7" ht="24" customHeight="1" x14ac:dyDescent="0.35">
      <c r="A18" s="56" t="str">
        <f>"2. Μετακινήσεις γεωτρύπανου: Βασική Λεμεσού ("&amp;ROUND('Τιμές &amp; Έλεγχος'!$D$7,2)&amp;" €) + Εκτός Λεμεσού ανά "&amp;ROUND('Τεχνικοί Υπολογισμοί'!$D$8,0)&amp;"km ("&amp;'Τεχνικοί Υπολογισμοί'!$D$9&amp;" × "&amp;ROUND('Τιμές &amp; Έλεγχος'!$D$8,2)&amp;" € = "&amp;ROUND('Τεχνικοί Υπολογισμοί'!$D$9*'Τιμές &amp; Έλεγχος'!$D$8,2)&amp;" €) + Συνοδεία Αστυνομίας ("&amp;ROUND('Τιμές &amp; Έλεγχος'!$D$38,1)&amp;" km × "&amp;ROUND('Τιμές &amp; Έλεγχος'!$D$39,2)&amp;" €/km = "&amp;ROUND('Τιμές &amp; Έλεγχος'!$D$40,2)&amp;" €) = "&amp;ROUND('Τεχνικοί Υπολογισμοί'!$D$13,2)&amp;" € ("&amp;ROUND($E$8,2)&amp;" €/πάσσαλο)."</f>
        <v>2. Μετακινήσεις γεωτρύπανου: Βασική Λεμεσού (1000 €) + Εκτός Λεμεσού ανά 10km (8 × 200 € = 1600 €) + Συνοδεία Αστυνομίας (75 km × 8 €/km = 600 €) = 3200 € (177.78 €/πάσσαλο).</v>
      </c>
      <c r="B18" s="57"/>
      <c r="C18" s="57"/>
      <c r="D18" s="57"/>
      <c r="E18" s="57"/>
      <c r="F18" s="57"/>
      <c r="G18" s="57"/>
    </row>
    <row r="19" spans="1:7" ht="24" customHeight="1" x14ac:dyDescent="0.35">
      <c r="A19" s="56" t="str">
        <f>"3. Εκσκαφή / Διάτρηση (από στάθμη πλατφόρμας WPL "&amp;ROUND('Τεχνικοί Υπολογισμοί'!$D$17,2)&amp;"m): Ύψος σκυροδετημένου πασσάλου = "&amp;ROUND('Τεχνικοί Υπολογισμοί'!$D$25,3)&amp;"m, Συνολικά μέτρα διάτρησης = "&amp;ROUND('Τεχνικοί Υπολογισμοί'!$D$45,2)&amp;"m × Τιμή μέτρου ("&amp;ROUND($E$9,2)&amp;" €) = "&amp;ROUND($F$9,2)&amp;" €."</f>
        <v>3. Εκσκαφή / Διάτρηση (από στάθμη πλατφόρμας WPL 0m): Ύψος σκυροδετημένου πασσάλου = 15.525m, Συνολικά μέτρα διάτρησης = 342.9m × Τιμή μέτρου (90 €) = 30861 €.</v>
      </c>
      <c r="B19" s="57"/>
      <c r="C19" s="57"/>
      <c r="D19" s="57"/>
      <c r="E19" s="57"/>
      <c r="F19" s="57"/>
      <c r="G19" s="57"/>
    </row>
    <row r="20" spans="1:7" ht="24" customHeight="1" x14ac:dyDescent="0.35">
      <c r="A20" s="56" t="str">
        <f>"4. Σκυρόδεμα "&amp;'Τεχνικοί Υπολογισμοί'!$D$18&amp;": ROUND(Αγορά "&amp;ROUND('Τιμές &amp; Έλεγχος'!$D$15,2)&amp;" €/m³ + Τοποθέτηση "&amp;ROUND('Τιμές &amp; Έλεγχος'!$D$16,2)&amp;" €/m³ + Αντλία "&amp;ROUND('Τιμές &amp; Έλεγχος'!$D$20,2)&amp;" €/m³, 0) = "&amp;ROUND($E$10,0)&amp;" €/m³ × "&amp;ROUND('Τεχνικοί Υπολογισμοί'!$D$46,2)&amp;" m³ = "&amp;ROUND($F$10,2)&amp;" €."</f>
        <v>4. Σκυρόδεμα C40/50: ROUND(Αγορά 94 €/m³ + Τοποθέτηση 15 €/m³ + Αντλία 6.71 €/m³, 0) = 116 €/m³ × 174.42 m³ = 20232.57 €.</v>
      </c>
      <c r="B20" s="57"/>
      <c r="C20" s="57"/>
      <c r="D20" s="57"/>
      <c r="E20" s="57"/>
      <c r="F20" s="57"/>
      <c r="G20" s="57"/>
    </row>
    <row r="21" spans="1:7" ht="24" customHeight="1" x14ac:dyDescent="0.35">
      <c r="A21" s="56" t="str">
        <f>"5. Οπλισμός κλωβού ("&amp;'Τεχνικοί Υπολογισμοί'!$D$28&amp;"Φ"&amp;'Τεχνικοί Υπολογισμοί'!$D$29&amp;" + σούστα Φ"&amp;'Τεχνικοί Υπολογισμοί'!$D$34&amp;"/"&amp;ROUND('Τεχνικοί Υπολογισμοί'!$D$37/10,0)&amp;"): Αναμονή starter = "&amp;ROUND('Τεχνικοί Υπολογισμοί'!$D$30,2)&amp;"m, Γωνία πάνω = "&amp;ROUND('Τεχνικοί Υπολογισμοί'!$D$31,2)&amp;"m, Γωνία κάτω = "&amp;ROUND('Τεχνικοί Υπολογισμοί'!$D$32,2)&amp;"m, Ύψος μάτισης = "&amp;ROUND('Τεχνικοί Υπολογισμοί'!$D$33,2)&amp;"m ("&amp;'Τεχνικοί Υπολογισμοί'!$D$86&amp;" μάτιση), Σπείρες σούστας = "&amp;'Τεχνικοί Υπολογισμοί'!$D$90&amp;" (με +1) + "&amp;'Τεχνικοί Υπολογισμοί'!$D$93&amp;" στεφάνια αναμονής (χωρίς +1) → "&amp;ROUND('Τεχνικοί Υπολογισμοί'!$D$96,2)&amp;" kg/πασσ., Σύνολο = "&amp;ROUND('Τεχνικοί Υπολογισμοί'!$D$47,1)&amp;" kg × Τιμή κιλού ("&amp;ROUND($E$11,2)&amp;" €) = "&amp;ROUND($F$11,2)&amp;" €."</f>
        <v>5. Οπλισμός κλωβού (16Φ20 + σούστα Φ10/15): Αναμονή starter = 1m, Γωνία πάνω = 0m, Γωνία κάτω = 0m, Ύψος μάτισης = 1.15m (1 μάτιση), Σπείρες σούστας = 105 (με +1) + 7 στεφάνια αναμονής (χωρίς +1) → 838.43 kg/πασσ., Σύνολο = 15091.8 kg × Τιμή κιλού (1.1 €) = 16601 €.</v>
      </c>
      <c r="B21" s="57"/>
      <c r="C21" s="57"/>
      <c r="D21" s="57"/>
      <c r="E21" s="57"/>
      <c r="F21" s="57"/>
      <c r="G21" s="57"/>
    </row>
    <row r="22" spans="1:7" ht="24" customHeight="1" x14ac:dyDescent="0.35">
      <c r="A22" s="56" t="str">
        <f>"6. Sleeves αναμονών (Sleeve Φ32 για Φ"&amp;'Τεχνικοί Υπολογισμοί'!$D$29&amp;"): [Χρεωστέο μήκος "&amp;ROUND('Τιμές &amp; Έλεγχος'!$D$29,2)&amp;"m × "&amp;ROUND('Τιμές &amp; Έλεγχος'!$D$27,4)&amp;" €/m + Εργατικά ("&amp;ROUND('Τιμές &amp; Έλεγχος'!$D$31,4)&amp;" €) + Τέλλα ("&amp;ROUND('Τιμές &amp; Έλεγχος'!$D$32,4)&amp;" €) = "&amp;ROUND('Τιμές &amp; Έλεγχος'!$D$33,4)&amp;" €] × "&amp;ROUND('Τιμές &amp; Έλεγχος'!$D$34,2)&amp;" (Overhead/Profit/Damages) = "&amp;ROUND($E$12,4)&amp;" €/τεμ. × "&amp;'Τεχνικοί Υπολογισμοί'!$D$48&amp;" τεμ. = "&amp;ROUND($F$12,2)&amp;" € | Κεφαλοκοπή: "&amp;'Τεχνικοί Υπολογισμοί'!$D$49&amp;" τεμ. × "&amp;ROUND($E$13,2)&amp;" € = "&amp;ROUND($F$13,2)&amp;" €."</f>
        <v>6. Sleeves αναμονών (Sleeve Φ32 για Φ20): [Χρεωστέο μήκος 1m × 1.34 €/m + Εργατικά (0.78 €) + Τέλλα (0.0876 €) = 2.2076 €] × 1.3 (Overhead/Profit/Damages) = 3 €/τεμ. × 288 τεμ. = 864 € | Κεφαλοκοπή: 18 τεμ. × 150 € = 2700 €.</v>
      </c>
      <c r="B22" s="57"/>
      <c r="C22" s="57"/>
      <c r="D22" s="57"/>
      <c r="E22" s="57"/>
      <c r="F22" s="57"/>
      <c r="G22" s="57"/>
    </row>
    <row r="23" spans="1:7" ht="24" customHeight="1" x14ac:dyDescent="0.35">
      <c r="A23" s="56" t="s">
        <v>25</v>
      </c>
      <c r="B23" s="57"/>
      <c r="C23" s="57"/>
      <c r="D23" s="57"/>
      <c r="E23" s="57"/>
      <c r="F23" s="57"/>
      <c r="G23" s="57"/>
    </row>
  </sheetData>
  <mergeCells count="9">
    <mergeCell ref="A23:G23"/>
    <mergeCell ref="A1:G1"/>
    <mergeCell ref="A17:G17"/>
    <mergeCell ref="A18:G18"/>
    <mergeCell ref="A21:G21"/>
    <mergeCell ref="A22:G22"/>
    <mergeCell ref="A20:G20"/>
    <mergeCell ref="A14:E14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17"/>
  <sheetViews>
    <sheetView tabSelected="1" workbookViewId="0">
      <pane xSplit="3" ySplit="3" topLeftCell="E49" activePane="bottomRight" state="frozen"/>
      <selection pane="topRight"/>
      <selection pane="bottomLeft"/>
      <selection pane="bottomRight" activeCell="K56" sqref="K56"/>
    </sheetView>
  </sheetViews>
  <sheetFormatPr defaultRowHeight="14.5" x14ac:dyDescent="0.35"/>
  <cols>
    <col min="1" max="1" width="8" customWidth="1"/>
    <col min="2" max="2" width="54" customWidth="1"/>
    <col min="3" max="3" width="10" customWidth="1"/>
    <col min="4" max="5" width="16" customWidth="1"/>
    <col min="6" max="6" width="18" customWidth="1"/>
    <col min="7" max="7" width="74" customWidth="1"/>
  </cols>
  <sheetData>
    <row r="1" spans="1:7" ht="28" customHeight="1" x14ac:dyDescent="0.35">
      <c r="A1" s="58" t="s">
        <v>26</v>
      </c>
      <c r="B1" s="57"/>
      <c r="C1" s="57"/>
      <c r="D1" s="57"/>
      <c r="E1" s="57"/>
      <c r="F1" s="57"/>
      <c r="G1" s="57"/>
    </row>
    <row r="2" spans="1:7" x14ac:dyDescent="0.35">
      <c r="A2" s="1" t="s">
        <v>27</v>
      </c>
    </row>
    <row r="4" spans="1:7" x14ac:dyDescent="0.35">
      <c r="A4" s="15" t="s">
        <v>28</v>
      </c>
    </row>
    <row r="5" spans="1:7" ht="30" customHeight="1" x14ac:dyDescent="0.35">
      <c r="A5" s="2" t="s">
        <v>29</v>
      </c>
      <c r="B5" s="2" t="s">
        <v>30</v>
      </c>
      <c r="C5" s="2" t="s">
        <v>5</v>
      </c>
      <c r="D5" s="2" t="s">
        <v>31</v>
      </c>
      <c r="E5" s="2"/>
      <c r="F5" s="2"/>
      <c r="G5" s="2" t="s">
        <v>32</v>
      </c>
    </row>
    <row r="6" spans="1:7" x14ac:dyDescent="0.35">
      <c r="A6" s="15" t="s">
        <v>33</v>
      </c>
    </row>
    <row r="7" spans="1:7" x14ac:dyDescent="0.35">
      <c r="A7" s="3" t="s">
        <v>34</v>
      </c>
      <c r="B7" s="16" t="s">
        <v>35</v>
      </c>
      <c r="C7" s="3" t="s">
        <v>36</v>
      </c>
      <c r="D7" s="17">
        <f>'Τιμές &amp; Έλεγχος'!$D$6</f>
        <v>75</v>
      </c>
      <c r="G7" s="14" t="s">
        <v>37</v>
      </c>
    </row>
    <row r="8" spans="1:7" x14ac:dyDescent="0.35">
      <c r="A8" s="3" t="s">
        <v>38</v>
      </c>
      <c r="B8" s="16" t="s">
        <v>39</v>
      </c>
      <c r="C8" s="3" t="s">
        <v>36</v>
      </c>
      <c r="D8" s="18">
        <v>10</v>
      </c>
      <c r="G8" s="14" t="s">
        <v>40</v>
      </c>
    </row>
    <row r="9" spans="1:7" x14ac:dyDescent="0.35">
      <c r="A9" s="3" t="s">
        <v>41</v>
      </c>
      <c r="B9" s="16" t="s">
        <v>42</v>
      </c>
      <c r="C9" s="3" t="s">
        <v>43</v>
      </c>
      <c r="D9" s="19">
        <f>IF('Τιμές &amp; Έλεγχος'!$D$6&gt;0,ROUNDUP(ROUND('Τιμές &amp; Έλεγχος'!$D$6/$D$8,9),0),0)</f>
        <v>8</v>
      </c>
      <c r="G9" s="14" t="s">
        <v>44</v>
      </c>
    </row>
    <row r="10" spans="1:7" x14ac:dyDescent="0.35">
      <c r="A10" s="3" t="s">
        <v>45</v>
      </c>
      <c r="B10" s="16" t="s">
        <v>46</v>
      </c>
      <c r="C10" s="3" t="s">
        <v>47</v>
      </c>
      <c r="D10" s="6">
        <f>'Τιμές &amp; Έλεγχος'!$D$7</f>
        <v>1000</v>
      </c>
      <c r="G10" s="14" t="s">
        <v>48</v>
      </c>
    </row>
    <row r="11" spans="1:7" x14ac:dyDescent="0.35">
      <c r="A11" s="3" t="s">
        <v>49</v>
      </c>
      <c r="B11" s="16" t="s">
        <v>50</v>
      </c>
      <c r="C11" s="3" t="s">
        <v>47</v>
      </c>
      <c r="D11" s="6">
        <f>'Τιμές &amp; Έλεγχος'!$D$8</f>
        <v>200</v>
      </c>
      <c r="G11" s="14" t="s">
        <v>51</v>
      </c>
    </row>
    <row r="12" spans="1:7" x14ac:dyDescent="0.35">
      <c r="A12" s="3" t="s">
        <v>52</v>
      </c>
      <c r="B12" s="16" t="s">
        <v>53</v>
      </c>
      <c r="C12" s="3" t="s">
        <v>47</v>
      </c>
      <c r="D12" s="6">
        <f>'Τιμές &amp; Έλεγχος'!$D$40</f>
        <v>600</v>
      </c>
      <c r="G12" s="14" t="s">
        <v>54</v>
      </c>
    </row>
    <row r="13" spans="1:7" x14ac:dyDescent="0.35">
      <c r="A13" s="3" t="s">
        <v>55</v>
      </c>
      <c r="B13" s="16" t="s">
        <v>56</v>
      </c>
      <c r="C13" s="3" t="s">
        <v>47</v>
      </c>
      <c r="D13" s="7">
        <f>'Τιμές &amp; Έλεγχος'!$D$7+$D$9*'Τιμές &amp; Έλεγχος'!$D$8+'Τιμές &amp; Έλεγχος'!$D$40</f>
        <v>3200</v>
      </c>
      <c r="G13" s="14" t="s">
        <v>57</v>
      </c>
    </row>
    <row r="14" spans="1:7" x14ac:dyDescent="0.35">
      <c r="A14" s="3" t="s">
        <v>58</v>
      </c>
      <c r="B14" s="16" t="s">
        <v>59</v>
      </c>
      <c r="C14" s="3" t="s">
        <v>20</v>
      </c>
      <c r="D14" s="5">
        <f>$D$23+$E$23</f>
        <v>18</v>
      </c>
      <c r="G14" s="14" t="s">
        <v>60</v>
      </c>
    </row>
    <row r="15" spans="1:7" x14ac:dyDescent="0.35">
      <c r="A15" s="3" t="s">
        <v>61</v>
      </c>
      <c r="B15" s="16" t="s">
        <v>62</v>
      </c>
      <c r="C15" s="3" t="s">
        <v>47</v>
      </c>
      <c r="D15" s="7">
        <f>$D$13/$D$14</f>
        <v>177.77777777777777</v>
      </c>
      <c r="G15" s="14" t="s">
        <v>63</v>
      </c>
    </row>
    <row r="16" spans="1:7" x14ac:dyDescent="0.35">
      <c r="A16" s="15" t="s">
        <v>64</v>
      </c>
    </row>
    <row r="17" spans="1:7" x14ac:dyDescent="0.35">
      <c r="A17" s="3" t="s">
        <v>65</v>
      </c>
      <c r="B17" s="16" t="s">
        <v>66</v>
      </c>
      <c r="C17" s="3" t="s">
        <v>14</v>
      </c>
      <c r="D17" s="8">
        <v>0</v>
      </c>
      <c r="G17" s="14" t="s">
        <v>67</v>
      </c>
    </row>
    <row r="18" spans="1:7" x14ac:dyDescent="0.35">
      <c r="A18" s="3" t="s">
        <v>68</v>
      </c>
      <c r="B18" s="16" t="s">
        <v>69</v>
      </c>
      <c r="C18" s="3" t="s">
        <v>70</v>
      </c>
      <c r="D18" s="20" t="s">
        <v>71</v>
      </c>
      <c r="G18" s="14" t="s">
        <v>72</v>
      </c>
    </row>
    <row r="19" spans="1:7" x14ac:dyDescent="0.35">
      <c r="A19" s="3" t="s">
        <v>73</v>
      </c>
      <c r="B19" s="16" t="s">
        <v>74</v>
      </c>
      <c r="C19" s="3" t="s">
        <v>75</v>
      </c>
      <c r="D19" s="19">
        <v>75</v>
      </c>
      <c r="G19" s="14" t="s">
        <v>76</v>
      </c>
    </row>
    <row r="20" spans="1:7" x14ac:dyDescent="0.35">
      <c r="A20" s="15" t="s">
        <v>77</v>
      </c>
    </row>
    <row r="21" spans="1:7" ht="30" customHeight="1" x14ac:dyDescent="0.35">
      <c r="A21" s="2" t="s">
        <v>29</v>
      </c>
      <c r="B21" s="2" t="s">
        <v>30</v>
      </c>
      <c r="C21" s="2" t="s">
        <v>5</v>
      </c>
      <c r="D21" s="2" t="s">
        <v>78</v>
      </c>
      <c r="E21" s="2" t="s">
        <v>79</v>
      </c>
      <c r="F21" s="2"/>
      <c r="G21" s="2" t="s">
        <v>80</v>
      </c>
    </row>
    <row r="22" spans="1:7" ht="30" customHeight="1" x14ac:dyDescent="0.35">
      <c r="A22" s="3" t="s">
        <v>81</v>
      </c>
      <c r="B22" s="16" t="s">
        <v>82</v>
      </c>
      <c r="D22" s="21" t="s">
        <v>83</v>
      </c>
      <c r="E22" s="21" t="s">
        <v>84</v>
      </c>
    </row>
    <row r="23" spans="1:7" x14ac:dyDescent="0.35">
      <c r="A23" s="3" t="s">
        <v>85</v>
      </c>
      <c r="B23" s="16" t="s">
        <v>86</v>
      </c>
      <c r="C23" s="3" t="s">
        <v>20</v>
      </c>
      <c r="D23" s="5">
        <v>17</v>
      </c>
      <c r="E23" s="5">
        <v>1</v>
      </c>
      <c r="F23" s="22">
        <f>$D$23+$E$23</f>
        <v>18</v>
      </c>
      <c r="G23" s="14" t="s">
        <v>87</v>
      </c>
    </row>
    <row r="24" spans="1:7" x14ac:dyDescent="0.35">
      <c r="A24" s="3" t="s">
        <v>88</v>
      </c>
      <c r="B24" s="16" t="s">
        <v>89</v>
      </c>
      <c r="C24" s="3" t="s">
        <v>75</v>
      </c>
      <c r="D24" s="19">
        <v>800</v>
      </c>
      <c r="E24" s="19">
        <v>800</v>
      </c>
      <c r="G24" s="14" t="s">
        <v>90</v>
      </c>
    </row>
    <row r="25" spans="1:7" ht="36" x14ac:dyDescent="0.35">
      <c r="A25" s="3" t="s">
        <v>91</v>
      </c>
      <c r="B25" s="16" t="s">
        <v>92</v>
      </c>
      <c r="C25" s="3" t="s">
        <v>14</v>
      </c>
      <c r="D25" s="8">
        <v>15.525</v>
      </c>
      <c r="E25" s="8">
        <v>15.525</v>
      </c>
      <c r="G25" s="14" t="s">
        <v>93</v>
      </c>
    </row>
    <row r="26" spans="1:7" ht="24" x14ac:dyDescent="0.35">
      <c r="A26" s="3" t="s">
        <v>94</v>
      </c>
      <c r="B26" s="16" t="s">
        <v>95</v>
      </c>
      <c r="C26" s="3" t="s">
        <v>14</v>
      </c>
      <c r="D26" s="8">
        <v>-3.4750000000000001</v>
      </c>
      <c r="E26" s="8">
        <v>-4.375</v>
      </c>
      <c r="G26" s="14" t="s">
        <v>96</v>
      </c>
    </row>
    <row r="27" spans="1:7" ht="24" x14ac:dyDescent="0.35">
      <c r="A27" s="3" t="s">
        <v>97</v>
      </c>
      <c r="B27" s="16" t="s">
        <v>98</v>
      </c>
      <c r="C27" s="3" t="s">
        <v>14</v>
      </c>
      <c r="D27" s="8">
        <v>0.85</v>
      </c>
      <c r="E27" s="8">
        <v>0.7</v>
      </c>
      <c r="G27" s="14" t="s">
        <v>99</v>
      </c>
    </row>
    <row r="28" spans="1:7" x14ac:dyDescent="0.35">
      <c r="A28" s="3" t="s">
        <v>100</v>
      </c>
      <c r="B28" s="16" t="s">
        <v>101</v>
      </c>
      <c r="C28" s="3" t="s">
        <v>20</v>
      </c>
      <c r="D28" s="5">
        <v>16</v>
      </c>
      <c r="E28" s="5">
        <v>16</v>
      </c>
      <c r="G28" s="14" t="s">
        <v>102</v>
      </c>
    </row>
    <row r="29" spans="1:7" x14ac:dyDescent="0.35">
      <c r="A29" s="3" t="s">
        <v>103</v>
      </c>
      <c r="B29" s="16" t="s">
        <v>104</v>
      </c>
      <c r="C29" s="3" t="s">
        <v>75</v>
      </c>
      <c r="D29" s="19">
        <v>20</v>
      </c>
      <c r="E29" s="19">
        <v>20</v>
      </c>
      <c r="G29" s="14" t="s">
        <v>105</v>
      </c>
    </row>
    <row r="30" spans="1:7" x14ac:dyDescent="0.35">
      <c r="A30" s="3" t="s">
        <v>106</v>
      </c>
      <c r="B30" s="16" t="s">
        <v>107</v>
      </c>
      <c r="C30" s="3" t="s">
        <v>14</v>
      </c>
      <c r="D30" s="8">
        <v>1</v>
      </c>
      <c r="E30" s="8">
        <v>1</v>
      </c>
      <c r="G30" s="14" t="s">
        <v>108</v>
      </c>
    </row>
    <row r="31" spans="1:7" x14ac:dyDescent="0.35">
      <c r="A31" s="3" t="s">
        <v>109</v>
      </c>
      <c r="B31" s="16" t="s">
        <v>110</v>
      </c>
      <c r="C31" s="3" t="s">
        <v>14</v>
      </c>
      <c r="D31" s="8">
        <v>0</v>
      </c>
      <c r="E31" s="8">
        <v>0</v>
      </c>
      <c r="G31" s="14" t="s">
        <v>111</v>
      </c>
    </row>
    <row r="32" spans="1:7" x14ac:dyDescent="0.35">
      <c r="A32" s="3" t="s">
        <v>112</v>
      </c>
      <c r="B32" s="16" t="s">
        <v>113</v>
      </c>
      <c r="C32" s="3" t="s">
        <v>14</v>
      </c>
      <c r="D32" s="8">
        <v>0</v>
      </c>
      <c r="E32" s="8">
        <v>0</v>
      </c>
      <c r="G32" s="14" t="s">
        <v>114</v>
      </c>
    </row>
    <row r="33" spans="1:7" ht="24" x14ac:dyDescent="0.35">
      <c r="A33" s="3" t="s">
        <v>115</v>
      </c>
      <c r="B33" s="16" t="s">
        <v>116</v>
      </c>
      <c r="C33" s="3" t="s">
        <v>14</v>
      </c>
      <c r="D33" s="8">
        <v>1.1499999999999999</v>
      </c>
      <c r="E33" s="8">
        <v>1.1499999999999999</v>
      </c>
      <c r="G33" s="14" t="s">
        <v>117</v>
      </c>
    </row>
    <row r="34" spans="1:7" x14ac:dyDescent="0.35">
      <c r="A34" s="3" t="s">
        <v>118</v>
      </c>
      <c r="B34" s="16" t="s">
        <v>119</v>
      </c>
      <c r="C34" s="3" t="s">
        <v>75</v>
      </c>
      <c r="D34" s="19">
        <v>10</v>
      </c>
      <c r="E34" s="19">
        <v>10</v>
      </c>
      <c r="G34" s="14" t="s">
        <v>120</v>
      </c>
    </row>
    <row r="35" spans="1:7" x14ac:dyDescent="0.35">
      <c r="A35" s="3" t="s">
        <v>121</v>
      </c>
      <c r="B35" s="16" t="s">
        <v>122</v>
      </c>
      <c r="C35" s="3" t="s">
        <v>75</v>
      </c>
      <c r="D35" s="19">
        <v>150</v>
      </c>
      <c r="E35" s="19">
        <v>150</v>
      </c>
      <c r="G35" s="14" t="s">
        <v>123</v>
      </c>
    </row>
    <row r="36" spans="1:7" x14ac:dyDescent="0.35">
      <c r="A36" s="3" t="s">
        <v>124</v>
      </c>
      <c r="B36" s="16" t="s">
        <v>125</v>
      </c>
      <c r="C36" s="3" t="s">
        <v>14</v>
      </c>
      <c r="D36" s="8">
        <v>0</v>
      </c>
      <c r="E36" s="8">
        <v>0</v>
      </c>
      <c r="G36" s="14" t="s">
        <v>126</v>
      </c>
    </row>
    <row r="37" spans="1:7" x14ac:dyDescent="0.35">
      <c r="A37" s="3" t="s">
        <v>127</v>
      </c>
      <c r="B37" s="16" t="s">
        <v>128</v>
      </c>
      <c r="C37" s="3" t="s">
        <v>75</v>
      </c>
      <c r="D37" s="19">
        <v>150</v>
      </c>
      <c r="E37" s="19">
        <v>150</v>
      </c>
      <c r="G37" s="14" t="s">
        <v>129</v>
      </c>
    </row>
    <row r="38" spans="1:7" x14ac:dyDescent="0.35">
      <c r="A38" s="3" t="s">
        <v>130</v>
      </c>
      <c r="B38" s="16" t="s">
        <v>131</v>
      </c>
      <c r="C38" s="3" t="s">
        <v>20</v>
      </c>
      <c r="D38" s="5" t="s">
        <v>132</v>
      </c>
      <c r="E38" s="5" t="s">
        <v>132</v>
      </c>
      <c r="G38" s="14" t="s">
        <v>133</v>
      </c>
    </row>
    <row r="39" spans="1:7" x14ac:dyDescent="0.35">
      <c r="A39" s="3" t="s">
        <v>134</v>
      </c>
      <c r="B39" s="16" t="s">
        <v>135</v>
      </c>
      <c r="C39" s="3" t="s">
        <v>20</v>
      </c>
      <c r="D39" s="5">
        <v>0</v>
      </c>
      <c r="E39" s="5">
        <v>0</v>
      </c>
      <c r="G39" s="14" t="s">
        <v>136</v>
      </c>
    </row>
    <row r="40" spans="1:7" x14ac:dyDescent="0.35">
      <c r="A40" s="3" t="s">
        <v>137</v>
      </c>
      <c r="B40" s="16" t="s">
        <v>138</v>
      </c>
      <c r="C40" s="3" t="s">
        <v>75</v>
      </c>
      <c r="D40" s="19">
        <v>0</v>
      </c>
      <c r="E40" s="19">
        <v>0</v>
      </c>
      <c r="G40" s="14" t="s">
        <v>132</v>
      </c>
    </row>
    <row r="41" spans="1:7" x14ac:dyDescent="0.35">
      <c r="A41" s="3" t="s">
        <v>139</v>
      </c>
      <c r="B41" s="16" t="s">
        <v>140</v>
      </c>
      <c r="C41" s="3" t="s">
        <v>14</v>
      </c>
      <c r="D41" s="8">
        <v>0</v>
      </c>
      <c r="E41" s="8">
        <v>0</v>
      </c>
      <c r="G41" s="14" t="s">
        <v>132</v>
      </c>
    </row>
    <row r="43" spans="1:7" x14ac:dyDescent="0.35">
      <c r="A43" s="23" t="s">
        <v>141</v>
      </c>
    </row>
    <row r="44" spans="1:7" ht="30" customHeight="1" x14ac:dyDescent="0.35">
      <c r="A44" s="2" t="s">
        <v>29</v>
      </c>
      <c r="B44" s="2" t="s">
        <v>4</v>
      </c>
      <c r="C44" s="2" t="s">
        <v>5</v>
      </c>
      <c r="D44" s="2" t="s">
        <v>142</v>
      </c>
      <c r="E44" s="2" t="s">
        <v>143</v>
      </c>
      <c r="F44" s="2" t="s">
        <v>144</v>
      </c>
      <c r="G44" s="2" t="s">
        <v>145</v>
      </c>
    </row>
    <row r="45" spans="1:7" x14ac:dyDescent="0.35">
      <c r="A45" s="24" t="s">
        <v>146</v>
      </c>
      <c r="B45" s="24" t="s">
        <v>147</v>
      </c>
      <c r="C45" s="24" t="s">
        <v>14</v>
      </c>
      <c r="D45" s="25">
        <f>$D$23*$D$79+$E$23*$E$79</f>
        <v>342.9</v>
      </c>
      <c r="E45" s="26">
        <f>$D$23+$E$23</f>
        <v>18</v>
      </c>
      <c r="F45" s="25">
        <f>$D$45/$E$45</f>
        <v>19.049999999999997</v>
      </c>
      <c r="G45" s="24" t="s">
        <v>148</v>
      </c>
    </row>
    <row r="46" spans="1:7" x14ac:dyDescent="0.35">
      <c r="A46" s="24" t="s">
        <v>149</v>
      </c>
      <c r="B46" s="24" t="str">
        <f>"Σκυρόδεμα "&amp;$D$18&amp;" με απώλεια"</f>
        <v>Σκυρόδεμα C40/50 με απώλεια</v>
      </c>
      <c r="C46" s="24" t="s">
        <v>16</v>
      </c>
      <c r="D46" s="25">
        <f>$F$82</f>
        <v>174.41871085318246</v>
      </c>
      <c r="E46" s="26">
        <f>$D$14</f>
        <v>18</v>
      </c>
      <c r="F46" s="25">
        <f>$D$46/$E$46</f>
        <v>9.6899283807323595</v>
      </c>
      <c r="G46" s="24" t="s">
        <v>148</v>
      </c>
    </row>
    <row r="47" spans="1:7" x14ac:dyDescent="0.35">
      <c r="A47" s="24" t="s">
        <v>150</v>
      </c>
      <c r="B47" s="24" t="s">
        <v>151</v>
      </c>
      <c r="C47" s="24" t="s">
        <v>18</v>
      </c>
      <c r="D47" s="27">
        <f>$F$96</f>
        <v>15091.817831819826</v>
      </c>
      <c r="E47" s="26">
        <f>$D$14</f>
        <v>18</v>
      </c>
      <c r="F47" s="27">
        <f>$D$47/$E$47</f>
        <v>838.43432398999039</v>
      </c>
      <c r="G47" s="24" t="s">
        <v>148</v>
      </c>
    </row>
    <row r="48" spans="1:7" x14ac:dyDescent="0.35">
      <c r="A48" s="24" t="s">
        <v>152</v>
      </c>
      <c r="B48" s="24" t="str">
        <f>"Sleeves προστασίας αναμονών starter (Sleeve Φ32 για Φ"&amp;$D$29&amp;")"</f>
        <v>Sleeves προστασίας αναμονών starter (Sleeve Φ32 για Φ20)</v>
      </c>
      <c r="C48" s="24" t="s">
        <v>20</v>
      </c>
      <c r="D48" s="26">
        <f>$F$97</f>
        <v>288</v>
      </c>
      <c r="E48" s="26">
        <f>$D$14</f>
        <v>18</v>
      </c>
      <c r="F48" s="26">
        <f>$D$48/$E$48</f>
        <v>16</v>
      </c>
      <c r="G48" s="24" t="s">
        <v>148</v>
      </c>
    </row>
    <row r="49" spans="1:7" x14ac:dyDescent="0.35">
      <c r="A49" s="24" t="s">
        <v>153</v>
      </c>
      <c r="B49" s="24" t="s">
        <v>154</v>
      </c>
      <c r="C49" s="24" t="s">
        <v>20</v>
      </c>
      <c r="D49" s="26">
        <f>$F$98</f>
        <v>18</v>
      </c>
      <c r="E49" s="26">
        <f>$D$14</f>
        <v>18</v>
      </c>
      <c r="F49" s="26">
        <f>$D$49/$E$49</f>
        <v>1</v>
      </c>
      <c r="G49" s="24" t="s">
        <v>148</v>
      </c>
    </row>
    <row r="51" spans="1:7" x14ac:dyDescent="0.35">
      <c r="A51" s="15" t="s">
        <v>155</v>
      </c>
    </row>
    <row r="52" spans="1:7" ht="30" customHeight="1" x14ac:dyDescent="0.35">
      <c r="A52" s="2" t="s">
        <v>29</v>
      </c>
      <c r="B52" s="2" t="s">
        <v>156</v>
      </c>
      <c r="C52" s="2" t="s">
        <v>5</v>
      </c>
      <c r="D52" s="2" t="s">
        <v>157</v>
      </c>
      <c r="E52" s="2" t="s">
        <v>6</v>
      </c>
      <c r="F52" s="2" t="s">
        <v>158</v>
      </c>
      <c r="G52" s="2" t="s">
        <v>159</v>
      </c>
    </row>
    <row r="53" spans="1:7" ht="34" customHeight="1" x14ac:dyDescent="0.35">
      <c r="A53" s="21" t="s">
        <v>160</v>
      </c>
      <c r="B53" s="28" t="s">
        <v>10</v>
      </c>
      <c r="C53" s="21" t="s">
        <v>11</v>
      </c>
      <c r="D53" s="22">
        <f>$D$14</f>
        <v>18</v>
      </c>
      <c r="E53" s="6">
        <f>$D$15</f>
        <v>177.77777777777777</v>
      </c>
      <c r="F53" s="29">
        <f>$D$53*$E$53</f>
        <v>3200</v>
      </c>
      <c r="G53" s="30" t="str">
        <f>"Βασική Λεμεσού ("&amp;ROUND('Τιμές &amp; Έλεγχος'!$D$7,2)&amp;" €) + Εκτός Λεμεσού ανά "&amp;ROUND($D$8,0)&amp;"km ("&amp;$D$9&amp;" × "&amp;ROUND('Τιμές &amp; Έλεγχος'!$D$8,2)&amp;" € = "&amp;ROUND($D$9*'Τιμές &amp; Έλεγχος'!$D$8,2)&amp;" €) + Συνοδεία Αστυνομίας ("&amp;ROUND('Τιμές &amp; Έλεγχος'!$D$38,1)&amp;" km × "&amp;ROUND('Τιμές &amp; Έλεγχος'!$D$39,2)&amp;" €/km = "&amp;ROUND('Τιμές &amp; Έλεγχος'!$D$40,2)&amp;" €) = Σύνολο ("&amp;ROUND($D$13,2)&amp;" €) ÷ Πάσσαλοι ("&amp;$D$14&amp;") = "&amp;ROUND($D$15,2)&amp;" €/πάσσαλο"</f>
        <v>Βασική Λεμεσού (1000 €) + Εκτός Λεμεσού ανά 10km (8 × 200 € = 1600 €) + Συνοδεία Αστυνομίας (75 km × 8 €/km = 600 €) = Σύνολο (3200 €) ÷ Πάσσαλοι (18) = 177.78 €/πάσσαλο</v>
      </c>
    </row>
    <row r="54" spans="1:7" ht="34" customHeight="1" x14ac:dyDescent="0.35">
      <c r="A54" s="21" t="s">
        <v>161</v>
      </c>
      <c r="B54" s="28" t="s">
        <v>162</v>
      </c>
      <c r="C54" s="21" t="s">
        <v>14</v>
      </c>
      <c r="D54" s="31">
        <f>$D$45</f>
        <v>342.9</v>
      </c>
      <c r="E54" s="6">
        <f>'Τιμές &amp; Έλεγχος'!$D$9</f>
        <v>90</v>
      </c>
      <c r="F54" s="29">
        <f>$D$54*$E$54</f>
        <v>30860.999999999996</v>
      </c>
      <c r="G54" s="30" t="str">
        <f>"Τρύπημα: "&amp;$D$23&amp;" πασσ. × [Ύψος πασσάλου ("&amp;ROUND($D$25,3)&amp;"m) + Κενό τρύπημα ("&amp;ROUND($D$77,3)&amp;"m) = "&amp;ROUND($D$79,2)&amp;"m]" &amp; " + " &amp; $E$23&amp;" πασσ. × [Ύψος πασσάλου ("&amp;ROUND($E$25,3)&amp;"m) + Κενό τρύπημα ("&amp;ROUND($E$77,3)&amp;"m) = "&amp;ROUND($E$79,2)&amp;"m]"&amp;" = Σύνολο ("&amp;ROUND($D$54,2)&amp;"m) × Τιμή μέτρου ("&amp;ROUND($E$54,2)&amp;" €) = "&amp;ROUND($F$54,2)&amp;" €"</f>
        <v>Τρύπημα: 17 πασσ. × [Ύψος πασσάλου (15.525m) + Κενό τρύπημα (3.475m) = 19m] + 1 πασσ. × [Ύψος πασσάλου (15.525m) + Κενό τρύπημα (4.375m) = 19.9m] = Σύνολο (342.9m) × Τιμή μέτρου (90 €) = 30861 €</v>
      </c>
    </row>
    <row r="55" spans="1:7" ht="34" customHeight="1" x14ac:dyDescent="0.35">
      <c r="A55" s="21" t="s">
        <v>163</v>
      </c>
      <c r="B55" s="28" t="str">
        <f>"Σκυρόδεμα πασσάλων "&amp;$D$18&amp;" (με +"&amp;ROUND($D$66*100,0)&amp;"% απώλεια)"</f>
        <v>Σκυρόδεμα πασσάλων C40/50 (με +10% απώλεια)</v>
      </c>
      <c r="C55" s="21" t="s">
        <v>16</v>
      </c>
      <c r="D55" s="31">
        <f>$D$46</f>
        <v>174.41871085318246</v>
      </c>
      <c r="E55" s="9">
        <f>'Τιμές &amp; Έλεγχος'!$D$21</f>
        <v>116</v>
      </c>
      <c r="F55" s="29">
        <f>$D$55*$E$55</f>
        <v>20232.570458969167</v>
      </c>
      <c r="G55" s="30" t="str">
        <f>"Κουγκρί ανά πάσσαλο: Εμβαδόν Ø"&amp;$D$24&amp;"mm × [Ύψος πασσάλου ("&amp;ROUND($D$25,3)&amp;"m) + Υπερκάλυψη ("&amp;ROUND($D$78,2)&amp;"m) = "&amp;ROUND($D$81,3)&amp;"m] × Απώλεια (+"&amp;ROUND($D$66*100,0)&amp;"%) = "&amp;ROUND($D$82,3)&amp;" m³/πασσ. → Σύνολο ("&amp;ROUND($D$55,2)&amp;" m³) × Στρογγυλοποιημένη Τιμή κυβικού [ROUND(Αγορά "&amp;ROUND('Τιμές &amp; Έλεγχος'!$D$15,2)&amp;" € + Τοποθέτηση "&amp;ROUND('Τιμές &amp; Έλεγχος'!$D$16,2)&amp;" € + Αντλία "&amp;ROUND('Τιμές &amp; Έλεγχος'!$D$20,2)&amp;" €, 0) = "&amp;ROUND($E$55,0)&amp;" €/m³] = "&amp;ROUND($F$55,2)&amp;" €"</f>
        <v>Κουγκρί ανά πάσσαλο: Εμβαδόν Ø800mm × [Ύψος πασσάλου (15.525m) + Υπερκάλυψη (2m) = 17.525m] × Απώλεια (+10%) = 9.69 m³/πασσ. → Σύνολο (174.42 m³) × Στρογγυλοποιημένη Τιμή κυβικού [ROUND(Αγορά 94 € + Τοποθέτηση 15 € + Αντλία 6.71 €, 0) = 116 €/m³] = 20232.57 €</v>
      </c>
    </row>
    <row r="56" spans="1:7" ht="34" customHeight="1" x14ac:dyDescent="0.35">
      <c r="A56" s="32" t="s">
        <v>164</v>
      </c>
      <c r="B56" s="33" t="s">
        <v>165</v>
      </c>
      <c r="C56" s="32" t="s">
        <v>18</v>
      </c>
      <c r="D56" s="34">
        <f>$F$89</f>
        <v>12553.691146409281</v>
      </c>
      <c r="E56" s="35">
        <f>'Τιμές &amp; Έλεγχος'!$D$10</f>
        <v>1.1000000000000001</v>
      </c>
      <c r="F56" s="35">
        <f>$D$56*$E$56</f>
        <v>13809.06026105021</v>
      </c>
      <c r="G56" s="36" t="str">
        <f>"Μήκος κάθετης βέργας = Ύψος πασσάλου ("&amp;ROUND($D$25,3)&amp;"m) + Ύψος αναμονής starter ("&amp;ROUND($D$30,2)&amp;"m) + Γωνία πάνω ("&amp;ROUND($D$31,2)&amp;"m) + Γωνία κάτω ("&amp;ROUND($D$32,2)&amp;"m) + Ύψος μάτισης ("&amp;$D$86&amp;" μάτιση × "&amp;ROUND($D$33,2)&amp;"m) = "&amp;ROUND($D$87,3)&amp;"m → "&amp;$D$28&amp;" σίδερα Φ"&amp;$D$29&amp;" × "&amp;ROUND($D$87,3)&amp;"m × Βάρος μέτρου ("&amp;ROUND($D$88,3)&amp;" kg/m) = "&amp;ROUND($D$89,2)&amp;" kg/πασσ. → Σύνολο ("&amp;ROUND($D$56,1)&amp;" kg) × "&amp;ROUND($E$56,2)&amp;" € = "&amp;ROUND($F$56,2)&amp;" €"</f>
        <v>Μήκος κάθετης βέργας = Ύψος πασσάλου (15.525m) + Ύψος αναμονής starter (1m) + Γωνία πάνω (0m) + Γωνία κάτω (0m) + Ύψος μάτισης (1 μάτιση × 1.15m) = 17.675m → 16 σίδερα Φ20 × 17.675m × Βάρος μέτρου (2.466 kg/m) = 697.43 kg/πασσ. → Σύνολο (12553.7 kg) × 1.1 € = 13809.06 €</v>
      </c>
    </row>
    <row r="57" spans="1:7" ht="34" customHeight="1" x14ac:dyDescent="0.35">
      <c r="A57" s="32" t="s">
        <v>166</v>
      </c>
      <c r="B57" s="33" t="s">
        <v>167</v>
      </c>
      <c r="C57" s="32" t="s">
        <v>18</v>
      </c>
      <c r="D57" s="34">
        <f>$F$92</f>
        <v>2379.4937675723863</v>
      </c>
      <c r="E57" s="35">
        <f>'Τιμές &amp; Έλεγχος'!$D$10</f>
        <v>1.1000000000000001</v>
      </c>
      <c r="F57" s="35">
        <f>$D$57*$E$57</f>
        <v>2617.4431443296253</v>
      </c>
      <c r="G57" s="36" t="str">
        <f>"Αριθμός σπειρών σούστας = [Ύψος πασσάλου ("&amp;ROUND($D$25,3)&amp;"m) ÷ Βήμα σούστας ("&amp;ROUND($D$37/1000,3)&amp;"m) = "&amp;($D$90-1)&amp;"] + 1 = "&amp;$D$90&amp;" σπείρες × Περίμετρος στεφανιού κλωβού ("&amp;ROUND($D$84,3)&amp;"m) × Βάρος μέτρου Φ"&amp;$D$34&amp;" ("&amp;ROUND($D$91,3)&amp;" kg/m) = "&amp;ROUND($D$92,2)&amp;" kg/πασσ. → Σύνολο ("&amp;ROUND($D$57,1)&amp;" kg) × "&amp;ROUND($E$57,2)&amp;" € = "&amp;ROUND($F$57,2)&amp;" €"</f>
        <v>Αριθμός σπειρών σούστας = [Ύψος πασσάλου (15.525m) ÷ Βήμα σούστας (0.15m) = 104] + 1 = 105 σπείρες × Περίμετρος στεφανιού κλωβού (2.042m) × Βάρος μέτρου Φ10 (0.617 kg/m) = 132.19 kg/πασσ. → Σύνολο (2379.5 kg) × 1.1 € = 2617.44 €</v>
      </c>
    </row>
    <row r="58" spans="1:7" ht="34" customHeight="1" x14ac:dyDescent="0.35">
      <c r="A58" s="32" t="s">
        <v>168</v>
      </c>
      <c r="B58" s="33" t="s">
        <v>169</v>
      </c>
      <c r="C58" s="32" t="s">
        <v>18</v>
      </c>
      <c r="D58" s="34">
        <f>$F$94</f>
        <v>158.6329178381591</v>
      </c>
      <c r="E58" s="35">
        <f>'Τιμές &amp; Έλεγχος'!$D$10</f>
        <v>1.1000000000000001</v>
      </c>
      <c r="F58" s="35">
        <f>$D$58*$E$58</f>
        <v>174.49620962197503</v>
      </c>
      <c r="G58" s="36" t="str">
        <f>"Αριθμός στεφανιών αναμονής = Ύψος αναμονής starter ("&amp;ROUND($D$30,2)&amp;"m) ÷ Βήμα ("&amp;ROUND($D$37/1000,3)&amp;"m) = "&amp;$D$93&amp;" στεφάνια (χωρίς +1) × Περίμετρος στεφανιού κλωβού ("&amp;ROUND($D$84,3)&amp;"m) × Βάρος μέτρου Φ"&amp;$D$34&amp;" ("&amp;ROUND($D$91,3)&amp;" kg/m) = "&amp;ROUND($D$94,2)&amp;" kg/πασσ. → Σύνολο ("&amp;ROUND($D$58,1)&amp;" kg) × "&amp;ROUND($E$58,2)&amp;" € = "&amp;ROUND($F$58,2)&amp;" €"</f>
        <v>Αριθμός στεφανιών αναμονής = Ύψος αναμονής starter (1m) ÷ Βήμα (0.15m) = 7 στεφάνια (χωρίς +1) × Περίμετρος στεφανιού κλωβού (2.042m) × Βάρος μέτρου Φ10 (0.617 kg/m) = 8.81 kg/πασσ. → Σύνολο (158.6 kg) × 1.1 € = 174.5 €</v>
      </c>
    </row>
    <row r="59" spans="1:7" ht="34" customHeight="1" x14ac:dyDescent="0.35">
      <c r="A59" s="21" t="s">
        <v>170</v>
      </c>
      <c r="B59" s="28" t="s">
        <v>171</v>
      </c>
      <c r="C59" s="21" t="s">
        <v>18</v>
      </c>
      <c r="D59" s="37">
        <f>$D$47</f>
        <v>15091.817831819826</v>
      </c>
      <c r="E59" s="6">
        <f>'Τιμές &amp; Έλεγχος'!$D$10</f>
        <v>1.1000000000000001</v>
      </c>
      <c r="F59" s="29">
        <f>$D$59*$E$59</f>
        <v>16600.999615001809</v>
      </c>
      <c r="G59" s="30" t="str">
        <f>"Συνολικό βάρος ανά πάσσαλο = Κάθετα σίδερα ("&amp;ROUND($D$89,2)&amp;" kg) + Σούστα σώματος ("&amp;ROUND($D$92,2)&amp;" kg) + Στεφάνια αναμονής ("&amp;ROUND($D$94,2)&amp;" kg) = "&amp;ROUND($D$96,2)&amp;" kg/πασσ. → Σύνολο έργου ("&amp;ROUND($D$59,1)&amp;" kg) × Τιμή κιλού ("&amp;ROUND($E$59,2)&amp;" €) = "&amp;ROUND($F$59,2)&amp;" € ("&amp;ROUND($F$59/$D$14,2)&amp;" €/πασσ.)"</f>
        <v>Συνολικό βάρος ανά πάσσαλο = Κάθετα σίδερα (697.43 kg) + Σούστα σώματος (132.19 kg) + Στεφάνια αναμονής (8.81 kg) = 838.43 kg/πασσ. → Σύνολο έργου (15091.8 kg) × Τιμή κιλού (1.1 €) = 16601 € (922.28 €/πασσ.)</v>
      </c>
    </row>
    <row r="60" spans="1:7" ht="34" customHeight="1" x14ac:dyDescent="0.35">
      <c r="A60" s="21" t="s">
        <v>172</v>
      </c>
      <c r="B60" s="28" t="str">
        <f>"Sleeves προστασίας αναμονών starter (Sleeve Φ32 για κάθετα σίδερα Φ"&amp;$D$29&amp;")"</f>
        <v>Sleeves προστασίας αναμονών starter (Sleeve Φ32 για κάθετα σίδερα Φ20)</v>
      </c>
      <c r="C60" s="21" t="s">
        <v>20</v>
      </c>
      <c r="D60" s="22">
        <f>$D$48</f>
        <v>288</v>
      </c>
      <c r="E60" s="11">
        <f>'Τιμές &amp; Έλεγχος'!$D$35</f>
        <v>3</v>
      </c>
      <c r="F60" s="29">
        <f>$D$60*$E$60</f>
        <v>864</v>
      </c>
      <c r="G60" s="30" t="str">
        <f>"Sleeve Φ32 (για σίδερα Φ"&amp;$D$29&amp;"): [Χρεωστέο μήκος ("&amp;ROUND('Τιμές &amp; Έλεγχος'!$D$29,2)&amp;"m × "&amp;ROUND('Τιμές &amp; Έλεγχος'!$D$27,4)&amp;" €/m = "&amp;ROUND('Τιμές &amp; Έλεγχος'!$D$30,4)&amp;" €) + Εργατικά ("&amp;ROUND('Τιμές &amp; Έλεγχος'!$D$31,4)&amp;" €) + Τέλλα ("&amp;ROUND('Τιμές &amp; Έλεγχος'!$D$32,4)&amp;" €) = "&amp;ROUND('Τιμές &amp; Έλεγχος'!$D$33,4)&amp;" €] × "&amp;ROUND('Τιμές &amp; Έλεγχος'!$D$34,2)&amp;" (Overhead/Profit/Damages) = "&amp;ROUND($E$60,4)&amp;" €/τεμ. × "&amp;$D$60&amp;" τεμ. = "&amp;ROUND($F$60,2)&amp;" €"</f>
        <v>Sleeve Φ32 (για σίδερα Φ20): [Χρεωστέο μήκος (1m × 1.34 €/m = 1.34 €) + Εργατικά (0.78 €) + Τέλλα (0.0876 €) = 2.2076 €] × 1.3 (Overhead/Profit/Damages) = 3 €/τεμ. × 288 τεμ. = 864 €</v>
      </c>
    </row>
    <row r="61" spans="1:7" ht="34" customHeight="1" x14ac:dyDescent="0.35">
      <c r="A61" s="21" t="s">
        <v>173</v>
      </c>
      <c r="B61" s="28" t="s">
        <v>174</v>
      </c>
      <c r="C61" s="21" t="s">
        <v>20</v>
      </c>
      <c r="D61" s="22">
        <f>$D$49</f>
        <v>18</v>
      </c>
      <c r="E61" s="6">
        <f>'Τιμές &amp; Έλεγχος'!$D$11</f>
        <v>150</v>
      </c>
      <c r="F61" s="29">
        <f>$D$61*$E$61</f>
        <v>2700</v>
      </c>
      <c r="G61" s="30" t="str">
        <f>"Κεφαλοκοπή = "&amp;$D$98&amp;" σπάσιμο κεφαλής/πάσσαλο × "&amp;$D$14&amp;" πασσάλους = "&amp;$D$61&amp;" τεμάχια × Τιμή τεμαχίου ("&amp;ROUND($E$61,2)&amp;" €) = "&amp;ROUND($F$61,2)&amp;" € ("&amp;ROUND($F$61/$D$14,2)&amp;" €/πασσ.)"</f>
        <v>Κεφαλοκοπή = 1 σπάσιμο κεφαλής/πάσσαλο × 18 πασσάλους = 18 τεμάχια × Τιμή τεμαχίου (150 €) = 2700 € (150 €/πασσ.)</v>
      </c>
    </row>
    <row r="62" spans="1:7" ht="26" customHeight="1" x14ac:dyDescent="0.35">
      <c r="A62" s="59" t="s">
        <v>175</v>
      </c>
      <c r="B62" s="60"/>
      <c r="C62" s="60"/>
      <c r="D62" s="60"/>
      <c r="E62" s="60"/>
      <c r="F62" s="12">
        <f>$F$53+$F$54+$F$55+$F$59+$F$60+$F$61</f>
        <v>74458.570073970972</v>
      </c>
      <c r="G62" s="38" t="str">
        <f>"Σύνολο Προσφοράς = "&amp;ROUND($F$62,2)&amp;" € | Μέσο Κόστος ανά Πάσσαλο = "&amp;ROUND($F$62/$D$14,2)&amp;" €/πάσσαλο ("&amp;$D$14&amp;" πάσσαλοι)"</f>
        <v>Σύνολο Προσφοράς = 74458.57 € | Μέσο Κόστος ανά Πάσσαλο = 4136.59 €/πάσσαλο (18 πάσσαλοι)</v>
      </c>
    </row>
    <row r="64" spans="1:7" x14ac:dyDescent="0.35">
      <c r="A64" s="15" t="s">
        <v>176</v>
      </c>
    </row>
    <row r="65" spans="1:7" ht="30" customHeight="1" x14ac:dyDescent="0.35">
      <c r="A65" s="2" t="s">
        <v>29</v>
      </c>
      <c r="B65" s="2" t="s">
        <v>177</v>
      </c>
      <c r="C65" s="2" t="s">
        <v>5</v>
      </c>
      <c r="D65" s="2" t="s">
        <v>31</v>
      </c>
      <c r="E65" s="2"/>
      <c r="F65" s="2"/>
      <c r="G65" s="2" t="s">
        <v>178</v>
      </c>
    </row>
    <row r="66" spans="1:7" x14ac:dyDescent="0.35">
      <c r="A66" s="3" t="s">
        <v>179</v>
      </c>
      <c r="B66" s="16" t="s">
        <v>180</v>
      </c>
      <c r="C66" s="3" t="s">
        <v>181</v>
      </c>
      <c r="D66" s="39">
        <v>0.1</v>
      </c>
      <c r="G66" s="14" t="s">
        <v>182</v>
      </c>
    </row>
    <row r="67" spans="1:7" x14ac:dyDescent="0.35">
      <c r="A67" s="3" t="s">
        <v>183</v>
      </c>
      <c r="B67" s="16" t="s">
        <v>184</v>
      </c>
      <c r="C67" s="3" t="s">
        <v>70</v>
      </c>
      <c r="D67" s="5">
        <v>7850</v>
      </c>
      <c r="G67" s="14" t="s">
        <v>185</v>
      </c>
    </row>
    <row r="68" spans="1:7" x14ac:dyDescent="0.35">
      <c r="A68" s="3" t="s">
        <v>186</v>
      </c>
      <c r="B68" s="16" t="s">
        <v>187</v>
      </c>
      <c r="C68" s="3" t="s">
        <v>14</v>
      </c>
      <c r="D68" s="8">
        <v>12</v>
      </c>
      <c r="G68" s="14" t="s">
        <v>188</v>
      </c>
    </row>
    <row r="69" spans="1:7" x14ac:dyDescent="0.35">
      <c r="A69" s="3" t="s">
        <v>189</v>
      </c>
      <c r="B69" s="16" t="s">
        <v>190</v>
      </c>
      <c r="C69" s="3" t="s">
        <v>70</v>
      </c>
      <c r="D69" s="19">
        <v>50</v>
      </c>
      <c r="G69" s="14" t="s">
        <v>191</v>
      </c>
    </row>
    <row r="70" spans="1:7" x14ac:dyDescent="0.35">
      <c r="A70" s="3" t="s">
        <v>192</v>
      </c>
      <c r="B70" s="16" t="s">
        <v>193</v>
      </c>
      <c r="C70" s="3" t="s">
        <v>14</v>
      </c>
      <c r="D70" s="8">
        <v>2</v>
      </c>
      <c r="G70" s="14" t="s">
        <v>194</v>
      </c>
    </row>
    <row r="71" spans="1:7" x14ac:dyDescent="0.35">
      <c r="A71" s="3" t="s">
        <v>195</v>
      </c>
      <c r="B71" s="16" t="s">
        <v>196</v>
      </c>
      <c r="C71" s="3" t="s">
        <v>70</v>
      </c>
      <c r="D71" s="20">
        <f>PI()</f>
        <v>3.1415926535897931</v>
      </c>
      <c r="G71" s="14" t="s">
        <v>197</v>
      </c>
    </row>
    <row r="72" spans="1:7" x14ac:dyDescent="0.35">
      <c r="A72" s="3" t="s">
        <v>198</v>
      </c>
      <c r="B72" s="16" t="s">
        <v>199</v>
      </c>
      <c r="C72" s="3" t="s">
        <v>14</v>
      </c>
      <c r="D72" s="8">
        <v>0.1</v>
      </c>
      <c r="G72" s="14" t="s">
        <v>200</v>
      </c>
    </row>
    <row r="73" spans="1:7" x14ac:dyDescent="0.35">
      <c r="A73" s="3" t="s">
        <v>201</v>
      </c>
      <c r="B73" s="16" t="s">
        <v>202</v>
      </c>
      <c r="C73" s="3" t="s">
        <v>14</v>
      </c>
      <c r="D73" s="8">
        <v>0.5</v>
      </c>
      <c r="G73" s="14" t="s">
        <v>203</v>
      </c>
    </row>
    <row r="75" spans="1:7" x14ac:dyDescent="0.35">
      <c r="A75" s="15" t="s">
        <v>204</v>
      </c>
    </row>
    <row r="76" spans="1:7" ht="30" customHeight="1" x14ac:dyDescent="0.35">
      <c r="A76" s="2" t="s">
        <v>205</v>
      </c>
      <c r="B76" s="2" t="s">
        <v>206</v>
      </c>
      <c r="C76" s="2" t="s">
        <v>5</v>
      </c>
      <c r="D76" s="2" t="s">
        <v>207</v>
      </c>
      <c r="E76" s="2" t="s">
        <v>208</v>
      </c>
      <c r="F76" s="2" t="s">
        <v>142</v>
      </c>
      <c r="G76" s="2" t="s">
        <v>209</v>
      </c>
    </row>
    <row r="77" spans="1:7" x14ac:dyDescent="0.35">
      <c r="A77" s="3" t="s">
        <v>9</v>
      </c>
      <c r="B77" s="16" t="s">
        <v>210</v>
      </c>
      <c r="C77" s="3" t="s">
        <v>14</v>
      </c>
      <c r="D77" s="8">
        <f>$D$17-$D$26</f>
        <v>3.4750000000000001</v>
      </c>
      <c r="E77" s="8">
        <f>$D$17-$E$26</f>
        <v>4.375</v>
      </c>
      <c r="F77" s="3" t="s">
        <v>132</v>
      </c>
      <c r="G77" s="14" t="s">
        <v>211</v>
      </c>
    </row>
    <row r="78" spans="1:7" x14ac:dyDescent="0.35">
      <c r="A78" s="3" t="s">
        <v>12</v>
      </c>
      <c r="B78" s="16" t="s">
        <v>212</v>
      </c>
      <c r="C78" s="3" t="s">
        <v>14</v>
      </c>
      <c r="D78" s="8">
        <f>IF($D$77&gt;0,MIN($D$70,$D$77),0)</f>
        <v>2</v>
      </c>
      <c r="E78" s="8">
        <f>IF($E$77&gt;0,MIN($D$70,$E$77),0)</f>
        <v>2</v>
      </c>
      <c r="F78" s="3" t="s">
        <v>132</v>
      </c>
      <c r="G78" s="14" t="s">
        <v>213</v>
      </c>
    </row>
    <row r="79" spans="1:7" x14ac:dyDescent="0.35">
      <c r="A79" s="3" t="s">
        <v>15</v>
      </c>
      <c r="B79" s="16" t="s">
        <v>214</v>
      </c>
      <c r="C79" s="3" t="s">
        <v>14</v>
      </c>
      <c r="D79" s="8">
        <f>$D$25+MAX(0,$D$77)</f>
        <v>19</v>
      </c>
      <c r="E79" s="8">
        <f>$E$25+MAX(0,$E$77)</f>
        <v>19.899999999999999</v>
      </c>
      <c r="F79" s="31">
        <f>$D$23*$D$79+$E$23*$E$79</f>
        <v>342.9</v>
      </c>
      <c r="G79" s="14" t="s">
        <v>215</v>
      </c>
    </row>
    <row r="80" spans="1:7" x14ac:dyDescent="0.35">
      <c r="A80" s="3" t="s">
        <v>17</v>
      </c>
      <c r="B80" s="16" t="s">
        <v>216</v>
      </c>
      <c r="C80" s="3" t="s">
        <v>16</v>
      </c>
      <c r="D80" s="8">
        <f>$D$71*($D$24/1000)^2/4*$D$79</f>
        <v>9.5504416669129721</v>
      </c>
      <c r="E80" s="8">
        <f>$D$71*($E$24/1000)^2/4*$E$79</f>
        <v>10.002831009029901</v>
      </c>
      <c r="F80" s="31">
        <f>$D$23*$D$80+$E$23*$E$80</f>
        <v>172.36033934655043</v>
      </c>
      <c r="G80" s="14" t="s">
        <v>217</v>
      </c>
    </row>
    <row r="81" spans="1:7" x14ac:dyDescent="0.35">
      <c r="A81" s="3" t="s">
        <v>19</v>
      </c>
      <c r="B81" s="16" t="s">
        <v>218</v>
      </c>
      <c r="C81" s="3" t="s">
        <v>14</v>
      </c>
      <c r="D81" s="8">
        <f>$D$25+$D$78</f>
        <v>17.524999999999999</v>
      </c>
      <c r="E81" s="8">
        <f>$E$25+$E$78</f>
        <v>17.524999999999999</v>
      </c>
      <c r="F81" s="3" t="s">
        <v>132</v>
      </c>
      <c r="G81" s="14" t="s">
        <v>219</v>
      </c>
    </row>
    <row r="82" spans="1:7" x14ac:dyDescent="0.35">
      <c r="A82" s="3" t="s">
        <v>21</v>
      </c>
      <c r="B82" s="16" t="s">
        <v>220</v>
      </c>
      <c r="C82" s="3" t="s">
        <v>16</v>
      </c>
      <c r="D82" s="8">
        <f>$D$71*($D$24/1000)^2/4*$D$81*(1+$D$66)</f>
        <v>9.6899283807323577</v>
      </c>
      <c r="E82" s="8">
        <f>$D$71*($E$24/1000)^2/4*$E$81*(1+$D$66)</f>
        <v>9.6899283807323577</v>
      </c>
      <c r="F82" s="31">
        <f>$D$23*$D$82+$E$23*$E$82</f>
        <v>174.41871085318246</v>
      </c>
      <c r="G82" s="14" t="s">
        <v>221</v>
      </c>
    </row>
    <row r="83" spans="1:7" x14ac:dyDescent="0.35">
      <c r="A83" s="3" t="s">
        <v>222</v>
      </c>
      <c r="B83" s="16" t="s">
        <v>223</v>
      </c>
      <c r="C83" s="3" t="s">
        <v>75</v>
      </c>
      <c r="D83" s="19">
        <f>$D$24-2*$D$19</f>
        <v>650</v>
      </c>
      <c r="E83" s="19">
        <f>$E$24-2*$D$19</f>
        <v>650</v>
      </c>
      <c r="F83" s="3" t="s">
        <v>132</v>
      </c>
      <c r="G83" s="14" t="s">
        <v>224</v>
      </c>
    </row>
    <row r="84" spans="1:7" x14ac:dyDescent="0.35">
      <c r="A84" s="3" t="s">
        <v>225</v>
      </c>
      <c r="B84" s="16" t="s">
        <v>226</v>
      </c>
      <c r="C84" s="3" t="s">
        <v>14</v>
      </c>
      <c r="D84" s="8">
        <f>$D$71*$D$83/1000</f>
        <v>2.0420352248333655</v>
      </c>
      <c r="E84" s="8">
        <f>$D$71*$E$83/1000</f>
        <v>2.0420352248333655</v>
      </c>
      <c r="F84" s="3" t="s">
        <v>132</v>
      </c>
      <c r="G84" s="14" t="s">
        <v>227</v>
      </c>
    </row>
    <row r="85" spans="1:7" x14ac:dyDescent="0.35">
      <c r="A85" s="3" t="s">
        <v>228</v>
      </c>
      <c r="B85" s="16" t="s">
        <v>229</v>
      </c>
      <c r="C85" s="3" t="s">
        <v>14</v>
      </c>
      <c r="D85" s="8">
        <f>$D$25+$D$30+$D$31+$D$32</f>
        <v>16.524999999999999</v>
      </c>
      <c r="E85" s="8">
        <f>$E$25+$E$30+$E$31+$E$32</f>
        <v>16.524999999999999</v>
      </c>
      <c r="F85" s="3" t="s">
        <v>132</v>
      </c>
      <c r="G85" s="14" t="s">
        <v>230</v>
      </c>
    </row>
    <row r="86" spans="1:7" x14ac:dyDescent="0.35">
      <c r="A86" s="3" t="s">
        <v>231</v>
      </c>
      <c r="B86" s="16" t="s">
        <v>232</v>
      </c>
      <c r="C86" s="3" t="s">
        <v>20</v>
      </c>
      <c r="D86" s="5">
        <f>IF($D$85&gt;$D$68,INT(($D$85-0.001)/$D$68),0)</f>
        <v>1</v>
      </c>
      <c r="E86" s="5">
        <f>IF($E$85&gt;$D$68,INT(($E$85-0.001)/$D$68),0)</f>
        <v>1</v>
      </c>
      <c r="F86" s="3" t="s">
        <v>132</v>
      </c>
      <c r="G86" s="14" t="s">
        <v>233</v>
      </c>
    </row>
    <row r="87" spans="1:7" x14ac:dyDescent="0.35">
      <c r="A87" s="3" t="s">
        <v>234</v>
      </c>
      <c r="B87" s="16" t="s">
        <v>235</v>
      </c>
      <c r="C87" s="3" t="s">
        <v>14</v>
      </c>
      <c r="D87" s="8">
        <f>$D$85+$D$86*$D$33</f>
        <v>17.674999999999997</v>
      </c>
      <c r="E87" s="8">
        <f>$E$85+$E$86*$E$33</f>
        <v>17.674999999999997</v>
      </c>
      <c r="F87" s="3" t="s">
        <v>132</v>
      </c>
      <c r="G87" s="14" t="s">
        <v>236</v>
      </c>
    </row>
    <row r="88" spans="1:7" x14ac:dyDescent="0.35">
      <c r="A88" s="3" t="s">
        <v>237</v>
      </c>
      <c r="B88" s="16" t="s">
        <v>238</v>
      </c>
      <c r="C88" s="3" t="s">
        <v>239</v>
      </c>
      <c r="D88" s="40">
        <f>$D$71*($D$29/1000)^2/4*$D$67</f>
        <v>2.4661502330679874</v>
      </c>
      <c r="E88" s="40">
        <f>$D$71*($E$29/1000)^2/4*$D$67</f>
        <v>2.4661502330679874</v>
      </c>
      <c r="F88" s="3" t="s">
        <v>132</v>
      </c>
      <c r="G88" s="14" t="s">
        <v>240</v>
      </c>
    </row>
    <row r="89" spans="1:7" x14ac:dyDescent="0.35">
      <c r="A89" s="3" t="s">
        <v>241</v>
      </c>
      <c r="B89" s="16" t="s">
        <v>242</v>
      </c>
      <c r="C89" s="3" t="s">
        <v>18</v>
      </c>
      <c r="D89" s="10">
        <f>$D$28*$D$87*$D$88</f>
        <v>697.42728591162677</v>
      </c>
      <c r="E89" s="10">
        <f>$E$28*$E$87*$E$88</f>
        <v>697.42728591162677</v>
      </c>
      <c r="F89" s="37">
        <f>$D$23*$D$89+$E$23*$E$89</f>
        <v>12553.691146409281</v>
      </c>
      <c r="G89" s="14" t="s">
        <v>243</v>
      </c>
    </row>
    <row r="90" spans="1:7" ht="24" x14ac:dyDescent="0.35">
      <c r="A90" s="3" t="s">
        <v>244</v>
      </c>
      <c r="B90" s="16" t="s">
        <v>245</v>
      </c>
      <c r="C90" s="3" t="s">
        <v>20</v>
      </c>
      <c r="D90" s="5">
        <f>ROUNDUP(ROUND(MIN($D$25,2*$D$36)*1000/$D$35+MAX(0,$D$25-2*$D$36)*1000/$D$37,6),0)+1</f>
        <v>105</v>
      </c>
      <c r="E90" s="5">
        <f>ROUNDUP(ROUND(MIN($E$25,2*$E$36)*1000/$E$35+MAX(0,$E$25-2*$E$36)*1000/$E$37,6),0)+1</f>
        <v>105</v>
      </c>
      <c r="F90" s="3" t="s">
        <v>132</v>
      </c>
      <c r="G90" s="14" t="s">
        <v>246</v>
      </c>
    </row>
    <row r="91" spans="1:7" x14ac:dyDescent="0.35">
      <c r="A91" s="3" t="s">
        <v>247</v>
      </c>
      <c r="B91" s="16" t="s">
        <v>248</v>
      </c>
      <c r="C91" s="3" t="s">
        <v>239</v>
      </c>
      <c r="D91" s="40">
        <f>$D$71*($D$34/1000)^2/4*$D$67</f>
        <v>0.61653755826699685</v>
      </c>
      <c r="E91" s="40">
        <f>$D$71*($E$34/1000)^2/4*$D$67</f>
        <v>0.61653755826699685</v>
      </c>
      <c r="F91" s="3" t="s">
        <v>132</v>
      </c>
      <c r="G91" s="14" t="s">
        <v>249</v>
      </c>
    </row>
    <row r="92" spans="1:7" x14ac:dyDescent="0.35">
      <c r="A92" s="3" t="s">
        <v>250</v>
      </c>
      <c r="B92" s="16" t="s">
        <v>251</v>
      </c>
      <c r="C92" s="3" t="s">
        <v>18</v>
      </c>
      <c r="D92" s="10">
        <f>$D$90*$D$84*$D$91</f>
        <v>132.19409819846592</v>
      </c>
      <c r="E92" s="10">
        <f>$E$90*$E$84*$E$91</f>
        <v>132.19409819846592</v>
      </c>
      <c r="F92" s="37">
        <f>$D$23*$D$92+$E$23*$E$92</f>
        <v>2379.4937675723863</v>
      </c>
      <c r="G92" s="14" t="s">
        <v>252</v>
      </c>
    </row>
    <row r="93" spans="1:7" x14ac:dyDescent="0.35">
      <c r="A93" s="3" t="s">
        <v>253</v>
      </c>
      <c r="B93" s="16" t="s">
        <v>254</v>
      </c>
      <c r="C93" s="3" t="s">
        <v>20</v>
      </c>
      <c r="D93" s="5">
        <f>ROUNDUP(ROUND($D$30*1000/IF($D$36&gt;0,$D$35,$D$37),6),0)</f>
        <v>7</v>
      </c>
      <c r="E93" s="5">
        <f>ROUNDUP(ROUND($E$30*1000/IF($E$36&gt;0,$E$35,$E$37),6),0)</f>
        <v>7</v>
      </c>
      <c r="F93" s="3" t="s">
        <v>132</v>
      </c>
      <c r="G93" s="14" t="s">
        <v>255</v>
      </c>
    </row>
    <row r="94" spans="1:7" x14ac:dyDescent="0.35">
      <c r="A94" s="3" t="s">
        <v>256</v>
      </c>
      <c r="B94" s="16" t="s">
        <v>257</v>
      </c>
      <c r="C94" s="3" t="s">
        <v>18</v>
      </c>
      <c r="D94" s="10">
        <f>$D$93*$D$84*$D$91</f>
        <v>8.8129398798977281</v>
      </c>
      <c r="E94" s="10">
        <f>$E$93*$E$84*$E$91</f>
        <v>8.8129398798977281</v>
      </c>
      <c r="F94" s="37">
        <f>$D$23*$D$94+$E$23*$E$94</f>
        <v>158.6329178381591</v>
      </c>
      <c r="G94" s="14" t="s">
        <v>258</v>
      </c>
    </row>
    <row r="95" spans="1:7" x14ac:dyDescent="0.35">
      <c r="A95" s="3" t="s">
        <v>259</v>
      </c>
      <c r="B95" s="16" t="s">
        <v>260</v>
      </c>
      <c r="C95" s="3" t="s">
        <v>18</v>
      </c>
      <c r="D95" s="10">
        <f>$D$39*$D$41*$D$71*($D$40/1000)^2/4*$D$67</f>
        <v>0</v>
      </c>
      <c r="E95" s="10">
        <f>$E$39*$E$41*$D$71*($E$40/1000)^2/4*$D$67</f>
        <v>0</v>
      </c>
      <c r="F95" s="37">
        <f>$D$23*$D$95+$E$23*$E$95</f>
        <v>0</v>
      </c>
      <c r="G95" s="14" t="s">
        <v>261</v>
      </c>
    </row>
    <row r="96" spans="1:7" x14ac:dyDescent="0.35">
      <c r="A96" s="3" t="s">
        <v>262</v>
      </c>
      <c r="B96" s="16" t="s">
        <v>263</v>
      </c>
      <c r="C96" s="3" t="s">
        <v>18</v>
      </c>
      <c r="D96" s="10">
        <f>$D$89+$D$92+$D$94+$D$95</f>
        <v>838.43432398999039</v>
      </c>
      <c r="E96" s="10">
        <f>$E$89+$E$92+$E$94+$E$95</f>
        <v>838.43432398999039</v>
      </c>
      <c r="F96" s="37">
        <f>$D$23*$D$96+$E$23*$E$96</f>
        <v>15091.817831819826</v>
      </c>
      <c r="G96" s="14" t="s">
        <v>264</v>
      </c>
    </row>
    <row r="97" spans="1:7" x14ac:dyDescent="0.35">
      <c r="A97" s="3" t="s">
        <v>265</v>
      </c>
      <c r="B97" s="16" t="s">
        <v>266</v>
      </c>
      <c r="C97" s="3" t="s">
        <v>20</v>
      </c>
      <c r="D97" s="5">
        <f>IF($D$77&gt;0,$D$28,0)</f>
        <v>16</v>
      </c>
      <c r="E97" s="5">
        <f>IF($E$77&gt;0,$E$28,0)</f>
        <v>16</v>
      </c>
      <c r="F97" s="22">
        <f>$D$23*$D$97+$E$23*$E$97</f>
        <v>288</v>
      </c>
      <c r="G97" s="14" t="s">
        <v>267</v>
      </c>
    </row>
    <row r="98" spans="1:7" x14ac:dyDescent="0.35">
      <c r="A98" s="3" t="s">
        <v>268</v>
      </c>
      <c r="B98" s="16" t="s">
        <v>269</v>
      </c>
      <c r="C98" s="3" t="s">
        <v>20</v>
      </c>
      <c r="D98" s="5">
        <f>IF($D$77&gt;0,1,0)</f>
        <v>1</v>
      </c>
      <c r="E98" s="5">
        <f>IF($E$77&gt;0,1,0)</f>
        <v>1</v>
      </c>
      <c r="F98" s="22">
        <f>$D$23*$D$98+$E$23*$E$98</f>
        <v>18</v>
      </c>
      <c r="G98" s="14" t="s">
        <v>270</v>
      </c>
    </row>
    <row r="100" spans="1:7" x14ac:dyDescent="0.35">
      <c r="A100" s="15" t="s">
        <v>271</v>
      </c>
    </row>
    <row r="101" spans="1:7" x14ac:dyDescent="0.35">
      <c r="A101" s="2" t="s">
        <v>2</v>
      </c>
      <c r="B101" s="2" t="s">
        <v>272</v>
      </c>
      <c r="C101" s="2" t="s">
        <v>273</v>
      </c>
      <c r="D101" s="2" t="s">
        <v>31</v>
      </c>
      <c r="E101" s="61" t="s">
        <v>274</v>
      </c>
      <c r="F101" s="57"/>
      <c r="G101" s="57"/>
    </row>
    <row r="102" spans="1:7" ht="45" customHeight="1" x14ac:dyDescent="0.35">
      <c r="A102" s="3" t="s">
        <v>9</v>
      </c>
      <c r="B102" s="4" t="s">
        <v>275</v>
      </c>
      <c r="C102" s="41" t="s">
        <v>276</v>
      </c>
      <c r="D102" s="3" t="str">
        <f>$D$14&amp;" τεμ. (P1–P18)"</f>
        <v>18 τεμ. (P1–P18)</v>
      </c>
      <c r="E102" s="56" t="s">
        <v>277</v>
      </c>
      <c r="F102" s="57"/>
      <c r="G102" s="57"/>
    </row>
    <row r="103" spans="1:7" ht="30" customHeight="1" x14ac:dyDescent="0.35">
      <c r="A103" s="3" t="s">
        <v>12</v>
      </c>
      <c r="B103" s="4" t="s">
        <v>89</v>
      </c>
      <c r="C103" s="41" t="s">
        <v>276</v>
      </c>
      <c r="D103" s="3" t="str">
        <f>"Ø"&amp;$D$24&amp;" mm"</f>
        <v>Ø800 mm</v>
      </c>
      <c r="E103" s="56" t="s">
        <v>278</v>
      </c>
      <c r="F103" s="57"/>
      <c r="G103" s="57"/>
    </row>
    <row r="104" spans="1:7" ht="30" customHeight="1" x14ac:dyDescent="0.35">
      <c r="A104" s="3" t="s">
        <v>15</v>
      </c>
      <c r="B104" s="4" t="s">
        <v>279</v>
      </c>
      <c r="C104" s="42" t="s">
        <v>280</v>
      </c>
      <c r="D104" s="3" t="str">
        <f>ROUND($D$17,2)&amp;" m"</f>
        <v>0 m</v>
      </c>
      <c r="E104" s="56" t="s">
        <v>281</v>
      </c>
      <c r="F104" s="57"/>
      <c r="G104" s="57"/>
    </row>
    <row r="105" spans="1:7" ht="75" customHeight="1" x14ac:dyDescent="0.35">
      <c r="A105" s="3" t="s">
        <v>17</v>
      </c>
      <c r="B105" s="4" t="s">
        <v>282</v>
      </c>
      <c r="C105" s="41" t="s">
        <v>276</v>
      </c>
      <c r="D105" s="3" t="str">
        <f>ROUND($D$26,3)&amp;" m / "&amp;ROUND($E$26,3)&amp;" m"</f>
        <v>-3.475 m / -4.375 m</v>
      </c>
      <c r="E105" s="56" t="s">
        <v>283</v>
      </c>
      <c r="F105" s="57"/>
      <c r="G105" s="57"/>
    </row>
    <row r="106" spans="1:7" ht="90" customHeight="1" x14ac:dyDescent="0.35">
      <c r="A106" s="3" t="s">
        <v>19</v>
      </c>
      <c r="B106" s="4" t="s">
        <v>284</v>
      </c>
      <c r="C106" s="42" t="s">
        <v>280</v>
      </c>
      <c r="D106" s="3" t="str">
        <f>ROUND($D$25,3)&amp;" m | Τρύπημα: "&amp;ROUND($D$54,2)&amp;" m"</f>
        <v>15.525 m | Τρύπημα: 342.9 m</v>
      </c>
      <c r="E106" s="56" t="s">
        <v>285</v>
      </c>
      <c r="F106" s="57"/>
      <c r="G106" s="57"/>
    </row>
    <row r="107" spans="1:7" ht="75" customHeight="1" x14ac:dyDescent="0.35">
      <c r="A107" s="3" t="s">
        <v>21</v>
      </c>
      <c r="B107" s="4" t="s">
        <v>286</v>
      </c>
      <c r="C107" s="42" t="s">
        <v>280</v>
      </c>
      <c r="D107" s="3" t="str">
        <f>$D$18&amp;" — "&amp;ROUND('Οικονομική Προσφορά'!$E$10,0)&amp;" €/m³"</f>
        <v>C40/50 — 116 €/m³</v>
      </c>
      <c r="E107" s="56" t="str">
        <f>"Φύλλο S4.2 ("&amp;$D$18&amp;") &amp; Κανόνας Κανονικού Σκυροδέματος στο Φύλλο 3 (Τ.Β.7 / D21): ROUND(Αγορά "&amp;ROUND('Τιμές &amp; Έλεγχος'!$D$15,2)&amp;" € + Τοποθέτηση "&amp;ROUND('Τιμές &amp; Έλεγχος'!$D$16,2)&amp;" € + Αντλία "&amp;ROUND('Τιμές &amp; Έλεγχος'!$D$20,2)&amp;" €, 0) = "&amp;ROUND('Οικονομική Προσφορά'!$E$10,0)&amp;" €/m³"</f>
        <v>Φύλλο S4.2 (C40/50) &amp; Κανόνας Κανονικού Σκυροδέματος στο Φύλλο 3 (Τ.Β.7 / D21): ROUND(Αγορά 94 € + Τοποθέτηση 15 € + Αντλία 6.71 €, 0) = 116 €/m³</v>
      </c>
      <c r="F107" s="57"/>
      <c r="G107" s="57"/>
    </row>
    <row r="108" spans="1:7" ht="30" customHeight="1" x14ac:dyDescent="0.35">
      <c r="A108" s="3" t="s">
        <v>222</v>
      </c>
      <c r="B108" s="4" t="s">
        <v>74</v>
      </c>
      <c r="C108" s="41" t="s">
        <v>276</v>
      </c>
      <c r="D108" s="3" t="str">
        <f>$D$19&amp;" mm"</f>
        <v>75 mm</v>
      </c>
      <c r="E108" s="56" t="str">
        <f>"Φύλλο S4.2 («Cover - "&amp;$D$19&amp;"mm»)"</f>
        <v>Φύλλο S4.2 («Cover - 75mm»)</v>
      </c>
      <c r="F108" s="57"/>
      <c r="G108" s="57"/>
    </row>
    <row r="109" spans="1:7" ht="90" customHeight="1" x14ac:dyDescent="0.35">
      <c r="A109" s="3" t="s">
        <v>225</v>
      </c>
      <c r="B109" s="4" t="s">
        <v>287</v>
      </c>
      <c r="C109" s="41" t="s">
        <v>276</v>
      </c>
      <c r="D109" s="3" t="str">
        <f>$D$28&amp;"Φ"&amp;$D$29&amp;" ("&amp;ROUND('Οικονομική Προσφορά'!$E$11,2)&amp;" €/kg)"</f>
        <v>16Φ20 (1.1 €/kg)</v>
      </c>
      <c r="E109" s="56" t="str">
        <f>"Φύλλο S4.2 («Vertical "&amp;$D$28&amp;"Y"&amp;$D$29&amp;"») — Τιμή Χάλυβα από Φύλλο 3: "&amp;ROUND('Οικονομική Προσφορά'!$E$11,2)&amp;" €/kg"</f>
        <v>Φύλλο S4.2 («Vertical 16Y20») — Τιμή Χάλυβα από Φύλλο 3: 1.1 €/kg</v>
      </c>
      <c r="F109" s="57"/>
      <c r="G109" s="57"/>
    </row>
    <row r="110" spans="1:7" ht="90" customHeight="1" x14ac:dyDescent="0.35">
      <c r="A110" s="3" t="s">
        <v>228</v>
      </c>
      <c r="B110" s="4" t="s">
        <v>288</v>
      </c>
      <c r="C110" s="41" t="s">
        <v>276</v>
      </c>
      <c r="D110" s="3" t="str">
        <f>"Starter="&amp;ROUND($D$30,2)&amp;"m | Γωνίες="&amp;ROUND($D$31,2)&amp;"m"</f>
        <v>Starter=1m | Γωνίες=0m</v>
      </c>
      <c r="E110" s="56" t="str">
        <f>"Φύλλο S4.2: Starter = "&amp;ROUND($D$30,2)&amp;"m ("&amp;ROUND($D$30*100,0)&amp;" cm) από Cut-Off έως Top of Steel, Γωνία πάνω = "&amp;ROUND($D$31,2)&amp;"m, Γωνία κάτω = "&amp;ROUND($D$32,2)&amp;"m"</f>
        <v>Φύλλο S4.2: Starter = 1m (100 cm) από Cut-Off έως Top of Steel, Γωνία πάνω = 0m, Γωνία κάτω = 0m</v>
      </c>
      <c r="F110" s="57"/>
      <c r="G110" s="57"/>
    </row>
    <row r="111" spans="1:7" ht="75" customHeight="1" x14ac:dyDescent="0.35">
      <c r="A111" s="3" t="s">
        <v>231</v>
      </c>
      <c r="B111" s="4" t="s">
        <v>289</v>
      </c>
      <c r="C111" s="41" t="s">
        <v>276</v>
      </c>
      <c r="D111" s="3" t="str">
        <f>ROUND($D$33,2)&amp;" m ("&amp;ROUND($D$33*100,0)&amp;" cm)"</f>
        <v>1.15 m (115 cm)</v>
      </c>
      <c r="E111" s="56" t="str">
        <f>"Φύλλο S4.2: αναγράφεται ρητά «"&amp;ROUND($D$33*100,0)&amp;"» ("&amp;ROUND($D$33,2)&amp;" m) στην τομή του πασσάλου (ο κανόνας "&amp;$D$69&amp;"×Φ μπαίνει μόνο όταν δεν δίνεται στο σχέδιο)"</f>
        <v>Φύλλο S4.2: αναγράφεται ρητά «115» (1.15 m) στην τομή του πασσάλου (ο κανόνας 50×Φ μπαίνει μόνο όταν δεν δίνεται στο σχέδιο)</v>
      </c>
      <c r="F111" s="57"/>
      <c r="G111" s="57"/>
    </row>
    <row r="112" spans="1:7" ht="90" customHeight="1" x14ac:dyDescent="0.35">
      <c r="A112" s="3" t="s">
        <v>234</v>
      </c>
      <c r="B112" s="4" t="s">
        <v>290</v>
      </c>
      <c r="C112" s="43" t="s">
        <v>291</v>
      </c>
      <c r="D112" s="3" t="str">
        <f>"Φ"&amp;$D$34&amp;"/"&amp;ROUND($D$37/10,0)&amp;" → "&amp;$D$90&amp;" σπείρες"</f>
        <v>Φ10/15 → 105 σπείρες</v>
      </c>
      <c r="E112" s="56" t="str">
        <f>"Φύλλο S4.2 («Y"&amp;$D$34&amp;" @ "&amp;$D$37&amp;"mm c/c») &amp; Κανόνας εταιρείας RULES_v5 §11.3: ROUNDUP("&amp;ROUND($D$25,3)&amp;" / "&amp;ROUND($D$37/1000,2)&amp;", 0) + 1 = "&amp;$D$90&amp;" σπείρες"</f>
        <v>Φύλλο S4.2 («Y10 @ 150mm c/c») &amp; Κανόνας εταιρείας RULES_v5 §11.3: ROUNDUP(15.525 / 0.15, 0) + 1 = 105 σπείρες</v>
      </c>
      <c r="F112" s="57"/>
      <c r="G112" s="57"/>
    </row>
    <row r="113" spans="1:7" ht="60" customHeight="1" x14ac:dyDescent="0.35">
      <c r="A113" s="3" t="s">
        <v>237</v>
      </c>
      <c r="B113" s="4" t="s">
        <v>292</v>
      </c>
      <c r="C113" s="43" t="s">
        <v>291</v>
      </c>
      <c r="D113" s="3" t="str">
        <f>$D$93&amp;" τεμ. Φ"&amp;$D$34&amp;"/πασσ."</f>
        <v>7 τεμ. Φ10/πασσ.</v>
      </c>
      <c r="E113" s="56" t="str">
        <f>"Κανόνας εταιρείας RULES_v5 §11.3: ROUNDUP("&amp;ROUND($D$30,2)&amp;" / "&amp;ROUND($D$37/1000,2)&amp;", 0) = "&amp;$D$93&amp;" στεφάνια (χωρίς +1)"</f>
        <v>Κανόνας εταιρείας RULES_v5 §11.3: ROUNDUP(1 / 0.15, 0) = 7 στεφάνια (χωρίς +1)</v>
      </c>
      <c r="F113" s="57"/>
      <c r="G113" s="57"/>
    </row>
    <row r="114" spans="1:7" ht="90" customHeight="1" x14ac:dyDescent="0.35">
      <c r="A114" s="3" t="s">
        <v>241</v>
      </c>
      <c r="B114" s="4" t="s">
        <v>293</v>
      </c>
      <c r="C114" s="44" t="s">
        <v>294</v>
      </c>
      <c r="D114" s="3" t="str">
        <f>"Φ"&amp;$D$29&amp;" (Sleeve Φ32) → "&amp;ROUND('Οικονομική Προσφορά'!$E$12,4)&amp;" €/τεμ."</f>
        <v>Φ20 (Sleeve Φ32) → 3 €/τεμ.</v>
      </c>
      <c r="E114" s="56" t="str">
        <f>"Κανόνας Sleeves (Φύλλο 3 &amp; Φύλλο 5 Τιμοκαταλόγου): [Χρεωστέο μήκος "&amp;ROUND('Τιμές &amp; Έλεγχος'!$D$29,2)&amp;"m × "&amp;ROUND('Τιμές &amp; Έλεγχος'!$D$27,4)&amp;" €/m ("&amp;ROUND('Τιμές &amp; Έλεγχος'!$D$30,4)&amp;" €) + Εργατικά ("&amp;ROUND('Τιμές &amp; Έλεγχος'!$D$31,4)&amp;" €) + Τέλλα ("&amp;ROUND('Τιμές &amp; Έλεγχος'!$D$32,4)&amp;" €) = "&amp;ROUND('Τιμές &amp; Έλεγχος'!$D$33,4)&amp;" €] × "&amp;ROUND('Τιμές &amp; Έλεγχος'!$D$34,2)&amp;" (Overhead/Profit/Damages) = "&amp;ROUND('Οικονομική Προσφορά'!$E$12,4)&amp;" €/τεμ."</f>
        <v>Κανόνας Sleeves (Φύλλο 3 &amp; Φύλλο 5 Τιμοκαταλόγου): [Χρεωστέο μήκος 1m × 1.34 €/m (1.34 €) + Εργατικά (0.78 €) + Τέλλα (0.0876 €) = 2.2076 €] × 1.3 (Overhead/Profit/Damages) = 3 €/τεμ.</v>
      </c>
      <c r="F114" s="57"/>
      <c r="G114" s="57"/>
    </row>
    <row r="115" spans="1:7" ht="60" customHeight="1" x14ac:dyDescent="0.35">
      <c r="A115" s="3" t="s">
        <v>244</v>
      </c>
      <c r="B115" s="4" t="s">
        <v>295</v>
      </c>
      <c r="C115" s="44" t="s">
        <v>294</v>
      </c>
      <c r="D115" s="3" t="str">
        <f>ROUND('Οικονομική Προσφορά'!$E$13,2)&amp;" €/τεμ."</f>
        <v>150 €/τεμ.</v>
      </c>
      <c r="E115" s="56" t="str">
        <f>"Ενημερωμένος Τιμοκατάλογος Εταιρείας &amp; Φύλλο 3 (Τ.6): "&amp;ROUND('Οικονομική Προσφορά'!$E$13,2)&amp;" €/πάσσαλο"</f>
        <v>Ενημερωμένος Τιμοκατάλογος Εταιρείας &amp; Φύλλο 3 (Τ.6): 150 €/πάσσαλο</v>
      </c>
      <c r="F115" s="57"/>
      <c r="G115" s="57"/>
    </row>
    <row r="116" spans="1:7" ht="90" customHeight="1" x14ac:dyDescent="0.35">
      <c r="A116" s="3" t="s">
        <v>247</v>
      </c>
      <c r="B116" s="4" t="s">
        <v>296</v>
      </c>
      <c r="C116" s="44" t="s">
        <v>294</v>
      </c>
      <c r="D116" s="3" t="str">
        <f>ROUND($D$13,2)&amp;" € ("&amp;ROUND('Οικονομική Προσφορά'!$E$8,2)&amp;" €/πασσ.)"</f>
        <v>3200 € (177.78 €/πασσ.)</v>
      </c>
      <c r="E116" s="56" t="str">
        <f>"Κανόνας Μετακινήσεων (Φύλλο 3): Βασική Λεμεσού ("&amp;ROUND('Τιμές &amp; Έλεγχος'!$D$7,2)&amp;" €) + Εκτός Λεμεσού ανά "&amp;ROUND($D$8,0)&amp;"km ("&amp;$D$9&amp;" × "&amp;ROUND('Τιμές &amp; Έλεγχος'!$D$8,2)&amp;" € = "&amp;ROUND($D$9*'Τιμές &amp; Έλεγχος'!$D$8,2)&amp;" €) + Συνοδεία Αστυνομίας ("&amp;ROUND('Τιμές &amp; Έλεγχος'!$D$38,1)&amp;" km × "&amp;ROUND('Τιμές &amp; Έλεγχος'!$D$39,2)&amp;" €/km = "&amp;ROUND('Τιμές &amp; Έλεγχος'!$D$40,2)&amp;" €) = "&amp;ROUND($D$13,2)&amp;" €"</f>
        <v>Κανόνας Μετακινήσεων (Φύλλο 3): Βασική Λεμεσού (1000 €) + Εκτός Λεμεσού ανά 10km (8 × 200 € = 1600 €) + Συνοδεία Αστυνομίας (75 km × 8 €/km = 600 €) = 3200 €</v>
      </c>
      <c r="F116" s="57"/>
      <c r="G116" s="57"/>
    </row>
    <row r="117" spans="1:7" x14ac:dyDescent="0.35">
      <c r="A117" s="1" t="s">
        <v>297</v>
      </c>
    </row>
  </sheetData>
  <mergeCells count="18">
    <mergeCell ref="A62:E62"/>
    <mergeCell ref="A1:G1"/>
    <mergeCell ref="E112:G112"/>
    <mergeCell ref="E101:G101"/>
    <mergeCell ref="E115:G115"/>
    <mergeCell ref="E102:G102"/>
    <mergeCell ref="E109:G109"/>
    <mergeCell ref="E110:G110"/>
    <mergeCell ref="E116:G116"/>
    <mergeCell ref="E108:G108"/>
    <mergeCell ref="E113:G113"/>
    <mergeCell ref="E114:G114"/>
    <mergeCell ref="E106:G106"/>
    <mergeCell ref="E105:G105"/>
    <mergeCell ref="E107:G107"/>
    <mergeCell ref="E103:G103"/>
    <mergeCell ref="E111:G111"/>
    <mergeCell ref="E104:G104"/>
  </mergeCells>
  <pageMargins left="0.75" right="0.75" top="1" bottom="1" header="0.5" footer="0.5"/>
  <pageSetup paperSize="8" scale="9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topLeftCell="A19" workbookViewId="0">
      <selection activeCell="D36" sqref="D36"/>
    </sheetView>
  </sheetViews>
  <sheetFormatPr defaultRowHeight="14.5" x14ac:dyDescent="0.35"/>
  <cols>
    <col min="1" max="1" width="10" customWidth="1"/>
    <col min="2" max="2" width="58" customWidth="1"/>
    <col min="3" max="3" width="12" customWidth="1"/>
    <col min="4" max="4" width="22" customWidth="1"/>
    <col min="5" max="5" width="38" customWidth="1"/>
    <col min="6" max="6" width="52" customWidth="1"/>
  </cols>
  <sheetData>
    <row r="1" spans="1:6" ht="28" customHeight="1" x14ac:dyDescent="0.35">
      <c r="A1" s="58" t="s">
        <v>298</v>
      </c>
      <c r="B1" s="57"/>
      <c r="C1" s="57"/>
      <c r="D1" s="57"/>
      <c r="E1" s="57"/>
      <c r="F1" s="57"/>
    </row>
    <row r="2" spans="1:6" x14ac:dyDescent="0.35">
      <c r="A2" s="62" t="s">
        <v>299</v>
      </c>
      <c r="B2" s="57"/>
      <c r="C2" s="57"/>
      <c r="D2" s="57"/>
      <c r="E2" s="57"/>
      <c r="F2" s="57"/>
    </row>
    <row r="4" spans="1:6" x14ac:dyDescent="0.35">
      <c r="A4" s="15" t="s">
        <v>300</v>
      </c>
    </row>
    <row r="5" spans="1:6" ht="28" customHeight="1" x14ac:dyDescent="0.35">
      <c r="A5" s="2" t="s">
        <v>29</v>
      </c>
      <c r="B5" s="2" t="s">
        <v>301</v>
      </c>
      <c r="C5" s="2" t="s">
        <v>5</v>
      </c>
      <c r="D5" s="2" t="s">
        <v>302</v>
      </c>
      <c r="E5" s="2" t="s">
        <v>178</v>
      </c>
      <c r="F5" s="2" t="s">
        <v>303</v>
      </c>
    </row>
    <row r="6" spans="1:6" ht="24" customHeight="1" x14ac:dyDescent="0.35">
      <c r="A6" s="21" t="s">
        <v>304</v>
      </c>
      <c r="B6" s="28" t="s">
        <v>35</v>
      </c>
      <c r="C6" s="3" t="s">
        <v>36</v>
      </c>
      <c r="D6" s="45">
        <v>75</v>
      </c>
      <c r="E6" s="30" t="s">
        <v>305</v>
      </c>
      <c r="F6" s="30" t="s">
        <v>306</v>
      </c>
    </row>
    <row r="7" spans="1:6" ht="24" customHeight="1" x14ac:dyDescent="0.35">
      <c r="A7" s="21" t="s">
        <v>307</v>
      </c>
      <c r="B7" s="28" t="s">
        <v>308</v>
      </c>
      <c r="C7" s="3" t="s">
        <v>47</v>
      </c>
      <c r="D7" s="46">
        <v>1000</v>
      </c>
      <c r="E7" s="30" t="s">
        <v>309</v>
      </c>
      <c r="F7" s="30" t="s">
        <v>310</v>
      </c>
    </row>
    <row r="8" spans="1:6" ht="24" customHeight="1" x14ac:dyDescent="0.35">
      <c r="A8" s="21" t="s">
        <v>311</v>
      </c>
      <c r="B8" s="28" t="s">
        <v>312</v>
      </c>
      <c r="C8" s="3" t="s">
        <v>47</v>
      </c>
      <c r="D8" s="46">
        <v>200</v>
      </c>
      <c r="E8" s="30" t="s">
        <v>313</v>
      </c>
      <c r="F8" s="30" t="s">
        <v>314</v>
      </c>
    </row>
    <row r="9" spans="1:6" ht="24" customHeight="1" x14ac:dyDescent="0.35">
      <c r="A9" s="21" t="s">
        <v>315</v>
      </c>
      <c r="B9" s="28" t="s">
        <v>316</v>
      </c>
      <c r="C9" s="3" t="s">
        <v>47</v>
      </c>
      <c r="D9" s="46">
        <v>90</v>
      </c>
      <c r="E9" s="30" t="s">
        <v>317</v>
      </c>
      <c r="F9" s="30" t="s">
        <v>318</v>
      </c>
    </row>
    <row r="10" spans="1:6" ht="24" customHeight="1" x14ac:dyDescent="0.35">
      <c r="A10" s="21" t="s">
        <v>319</v>
      </c>
      <c r="B10" s="28" t="s">
        <v>320</v>
      </c>
      <c r="C10" s="3" t="s">
        <v>47</v>
      </c>
      <c r="D10" s="46">
        <v>1.1000000000000001</v>
      </c>
      <c r="E10" s="30" t="s">
        <v>321</v>
      </c>
      <c r="F10" s="30" t="s">
        <v>322</v>
      </c>
    </row>
    <row r="11" spans="1:6" ht="24" customHeight="1" x14ac:dyDescent="0.35">
      <c r="A11" s="21" t="s">
        <v>323</v>
      </c>
      <c r="B11" s="28" t="s">
        <v>324</v>
      </c>
      <c r="C11" s="3" t="s">
        <v>47</v>
      </c>
      <c r="D11" s="46">
        <v>150</v>
      </c>
      <c r="E11" s="30" t="s">
        <v>325</v>
      </c>
      <c r="F11" s="30" t="s">
        <v>326</v>
      </c>
    </row>
    <row r="13" spans="1:6" x14ac:dyDescent="0.35">
      <c r="A13" s="15" t="s">
        <v>327</v>
      </c>
    </row>
    <row r="14" spans="1:6" ht="26" customHeight="1" x14ac:dyDescent="0.35">
      <c r="A14" s="2" t="s">
        <v>29</v>
      </c>
      <c r="B14" s="2" t="s">
        <v>328</v>
      </c>
      <c r="C14" s="2" t="s">
        <v>5</v>
      </c>
      <c r="D14" s="2" t="s">
        <v>329</v>
      </c>
      <c r="E14" s="2" t="s">
        <v>330</v>
      </c>
      <c r="F14" s="2" t="s">
        <v>331</v>
      </c>
    </row>
    <row r="15" spans="1:6" ht="24" customHeight="1" x14ac:dyDescent="0.35">
      <c r="A15" s="21" t="s">
        <v>332</v>
      </c>
      <c r="B15" s="28" t="s">
        <v>333</v>
      </c>
      <c r="C15" s="3" t="s">
        <v>47</v>
      </c>
      <c r="D15" s="46">
        <v>94</v>
      </c>
      <c r="E15" s="30" t="s">
        <v>334</v>
      </c>
      <c r="F15" s="30" t="s">
        <v>335</v>
      </c>
    </row>
    <row r="16" spans="1:6" ht="24" customHeight="1" x14ac:dyDescent="0.35">
      <c r="A16" s="21" t="s">
        <v>336</v>
      </c>
      <c r="B16" s="28" t="s">
        <v>337</v>
      </c>
      <c r="C16" s="3" t="s">
        <v>47</v>
      </c>
      <c r="D16" s="46">
        <v>15</v>
      </c>
      <c r="E16" s="30" t="s">
        <v>338</v>
      </c>
      <c r="F16" s="30" t="s">
        <v>339</v>
      </c>
    </row>
    <row r="17" spans="1:6" ht="24" customHeight="1" x14ac:dyDescent="0.35">
      <c r="A17" s="21" t="s">
        <v>340</v>
      </c>
      <c r="B17" s="28" t="s">
        <v>341</v>
      </c>
      <c r="C17" s="3" t="s">
        <v>47</v>
      </c>
      <c r="D17" s="46">
        <v>130</v>
      </c>
      <c r="E17" s="30" t="s">
        <v>342</v>
      </c>
      <c r="F17" s="30" t="s">
        <v>343</v>
      </c>
    </row>
    <row r="18" spans="1:6" ht="24" customHeight="1" x14ac:dyDescent="0.35">
      <c r="A18" s="21" t="s">
        <v>344</v>
      </c>
      <c r="B18" s="28" t="s">
        <v>345</v>
      </c>
      <c r="C18" s="3" t="s">
        <v>346</v>
      </c>
      <c r="D18" s="47">
        <v>2</v>
      </c>
      <c r="E18" s="30" t="s">
        <v>347</v>
      </c>
      <c r="F18" s="30" t="s">
        <v>348</v>
      </c>
    </row>
    <row r="19" spans="1:6" ht="24" customHeight="1" x14ac:dyDescent="0.35">
      <c r="A19" s="21" t="s">
        <v>349</v>
      </c>
      <c r="B19" s="4" t="s">
        <v>350</v>
      </c>
      <c r="C19" s="3" t="s">
        <v>16</v>
      </c>
      <c r="D19" s="48">
        <f>$D$18*('Τεχνικοί Υπολογισμοί'!$D$46/'Τεχνικοί Υπολογισμοί'!$D$14)</f>
        <v>19.379856761464719</v>
      </c>
      <c r="E19" s="30" t="s">
        <v>351</v>
      </c>
      <c r="F19" s="30" t="s">
        <v>352</v>
      </c>
    </row>
    <row r="20" spans="1:6" ht="24" customHeight="1" x14ac:dyDescent="0.35">
      <c r="A20" s="21" t="s">
        <v>353</v>
      </c>
      <c r="B20" s="4" t="s">
        <v>354</v>
      </c>
      <c r="C20" s="3" t="s">
        <v>47</v>
      </c>
      <c r="D20" s="6">
        <f>IF(AND($D$17&gt;0,$D$19&gt;0),$D$17/$D$19,0)</f>
        <v>6.7079959155577713</v>
      </c>
      <c r="E20" s="30" t="s">
        <v>355</v>
      </c>
      <c r="F20" s="30" t="s">
        <v>356</v>
      </c>
    </row>
    <row r="21" spans="1:6" ht="24" customHeight="1" x14ac:dyDescent="0.35">
      <c r="A21" s="21" t="s">
        <v>357</v>
      </c>
      <c r="B21" s="28" t="s">
        <v>358</v>
      </c>
      <c r="C21" s="3" t="s">
        <v>47</v>
      </c>
      <c r="D21" s="49">
        <f>ROUND($D$15+$D$16+$D$20,0)</f>
        <v>116</v>
      </c>
      <c r="E21" s="30" t="s">
        <v>359</v>
      </c>
      <c r="F21" s="30" t="s">
        <v>360</v>
      </c>
    </row>
    <row r="23" spans="1:6" x14ac:dyDescent="0.35">
      <c r="A23" s="15" t="s">
        <v>361</v>
      </c>
    </row>
    <row r="24" spans="1:6" ht="26" customHeight="1" x14ac:dyDescent="0.35">
      <c r="A24" s="2" t="s">
        <v>29</v>
      </c>
      <c r="B24" s="2" t="s">
        <v>362</v>
      </c>
      <c r="C24" s="2" t="s">
        <v>5</v>
      </c>
      <c r="D24" s="2" t="s">
        <v>31</v>
      </c>
      <c r="E24" s="2" t="s">
        <v>330</v>
      </c>
      <c r="F24" s="2" t="s">
        <v>363</v>
      </c>
    </row>
    <row r="25" spans="1:6" ht="24" customHeight="1" x14ac:dyDescent="0.35">
      <c r="A25" s="21" t="s">
        <v>364</v>
      </c>
      <c r="B25" s="28" t="s">
        <v>365</v>
      </c>
      <c r="C25" s="3" t="s">
        <v>14</v>
      </c>
      <c r="D25" s="50">
        <v>3</v>
      </c>
      <c r="E25" s="30" t="s">
        <v>366</v>
      </c>
      <c r="F25" s="30" t="s">
        <v>367</v>
      </c>
    </row>
    <row r="26" spans="1:6" ht="24" customHeight="1" x14ac:dyDescent="0.35">
      <c r="A26" s="21" t="s">
        <v>368</v>
      </c>
      <c r="B26" s="28" t="s">
        <v>369</v>
      </c>
      <c r="C26" s="3" t="s">
        <v>47</v>
      </c>
      <c r="D26" s="51">
        <v>4.0199999999999996</v>
      </c>
      <c r="E26" s="30" t="s">
        <v>370</v>
      </c>
      <c r="F26" s="30" t="s">
        <v>371</v>
      </c>
    </row>
    <row r="27" spans="1:6" ht="24" customHeight="1" x14ac:dyDescent="0.35">
      <c r="A27" s="21" t="s">
        <v>372</v>
      </c>
      <c r="B27" s="4" t="s">
        <v>373</v>
      </c>
      <c r="C27" s="3" t="s">
        <v>374</v>
      </c>
      <c r="D27" s="52">
        <f>$D$26/$D$25</f>
        <v>1.3399999999999999</v>
      </c>
      <c r="E27" s="30" t="s">
        <v>375</v>
      </c>
      <c r="F27" s="30" t="s">
        <v>376</v>
      </c>
    </row>
    <row r="28" spans="1:6" ht="24" customHeight="1" x14ac:dyDescent="0.35">
      <c r="A28" s="21" t="s">
        <v>377</v>
      </c>
      <c r="B28" s="4" t="s">
        <v>378</v>
      </c>
      <c r="C28" s="3" t="s">
        <v>14</v>
      </c>
      <c r="D28" s="48">
        <f>'Τεχνικοί Υπολογισμοί'!$D$30+'Τεχνικοί Υπολογισμοί'!$D$31</f>
        <v>1</v>
      </c>
      <c r="E28" s="30" t="s">
        <v>379</v>
      </c>
      <c r="F28" s="30" t="s">
        <v>380</v>
      </c>
    </row>
    <row r="29" spans="1:6" ht="24" customHeight="1" x14ac:dyDescent="0.35">
      <c r="A29" s="21" t="s">
        <v>381</v>
      </c>
      <c r="B29" s="4" t="s">
        <v>382</v>
      </c>
      <c r="C29" s="3" t="s">
        <v>14</v>
      </c>
      <c r="D29" s="48">
        <f>IF($D$28&lt;=0,0,IF($D$28&lt;=$D$25,$D$25/INT(ROUND($D$25/$D$28,6)),CEILING($D$28,$D$25)))</f>
        <v>1</v>
      </c>
      <c r="E29" s="30" t="s">
        <v>383</v>
      </c>
      <c r="F29" s="30" t="s">
        <v>384</v>
      </c>
    </row>
    <row r="30" spans="1:6" ht="24" customHeight="1" x14ac:dyDescent="0.35">
      <c r="A30" s="21" t="s">
        <v>385</v>
      </c>
      <c r="B30" s="4" t="s">
        <v>386</v>
      </c>
      <c r="C30" s="3" t="s">
        <v>47</v>
      </c>
      <c r="D30" s="11">
        <f>$D$29*$D$27</f>
        <v>1.3399999999999999</v>
      </c>
      <c r="E30" s="30" t="s">
        <v>387</v>
      </c>
      <c r="F30" s="30" t="s">
        <v>388</v>
      </c>
    </row>
    <row r="31" spans="1:6" ht="24" customHeight="1" x14ac:dyDescent="0.35">
      <c r="A31" s="21" t="s">
        <v>389</v>
      </c>
      <c r="B31" s="28" t="s">
        <v>390</v>
      </c>
      <c r="C31" s="3" t="s">
        <v>47</v>
      </c>
      <c r="D31" s="51">
        <v>0.78</v>
      </c>
      <c r="E31" s="30" t="s">
        <v>391</v>
      </c>
      <c r="F31" s="30" t="s">
        <v>392</v>
      </c>
    </row>
    <row r="32" spans="1:6" ht="24" customHeight="1" x14ac:dyDescent="0.35">
      <c r="A32" s="21" t="s">
        <v>393</v>
      </c>
      <c r="B32" s="28" t="s">
        <v>394</v>
      </c>
      <c r="C32" s="3" t="s">
        <v>47</v>
      </c>
      <c r="D32" s="51">
        <v>8.7599999999999997E-2</v>
      </c>
      <c r="E32" s="30" t="s">
        <v>395</v>
      </c>
      <c r="F32" s="30" t="s">
        <v>396</v>
      </c>
    </row>
    <row r="33" spans="1:6" ht="24" customHeight="1" x14ac:dyDescent="0.35">
      <c r="A33" s="21" t="s">
        <v>397</v>
      </c>
      <c r="B33" s="4" t="s">
        <v>398</v>
      </c>
      <c r="C33" s="3" t="s">
        <v>47</v>
      </c>
      <c r="D33" s="11">
        <f>$D$30+$D$31+$D$32</f>
        <v>2.2076000000000002</v>
      </c>
      <c r="E33" s="30" t="s">
        <v>399</v>
      </c>
      <c r="F33" s="30" t="s">
        <v>400</v>
      </c>
    </row>
    <row r="34" spans="1:6" ht="24" customHeight="1" x14ac:dyDescent="0.35">
      <c r="A34" s="21" t="s">
        <v>401</v>
      </c>
      <c r="B34" s="28" t="s">
        <v>402</v>
      </c>
      <c r="C34" s="3" t="s">
        <v>403</v>
      </c>
      <c r="D34" s="50">
        <v>1.3</v>
      </c>
      <c r="E34" s="30" t="s">
        <v>404</v>
      </c>
      <c r="F34" s="30" t="s">
        <v>405</v>
      </c>
    </row>
    <row r="35" spans="1:6" ht="24" customHeight="1" x14ac:dyDescent="0.35">
      <c r="A35" s="21" t="s">
        <v>406</v>
      </c>
      <c r="B35" s="28" t="s">
        <v>407</v>
      </c>
      <c r="C35" s="3" t="s">
        <v>47</v>
      </c>
      <c r="D35" s="53">
        <f>3</f>
        <v>3</v>
      </c>
      <c r="E35" s="30" t="s">
        <v>408</v>
      </c>
      <c r="F35" s="30" t="s">
        <v>409</v>
      </c>
    </row>
    <row r="37" spans="1:6" x14ac:dyDescent="0.35">
      <c r="A37" s="15" t="s">
        <v>410</v>
      </c>
    </row>
    <row r="38" spans="1:6" ht="24" customHeight="1" x14ac:dyDescent="0.35">
      <c r="A38" s="21" t="s">
        <v>411</v>
      </c>
      <c r="B38" s="28" t="s">
        <v>412</v>
      </c>
      <c r="C38" s="3" t="s">
        <v>36</v>
      </c>
      <c r="D38" s="45">
        <f>$D$6</f>
        <v>75</v>
      </c>
      <c r="E38" s="30" t="s">
        <v>413</v>
      </c>
      <c r="F38" s="30" t="s">
        <v>414</v>
      </c>
    </row>
    <row r="39" spans="1:6" ht="24" customHeight="1" x14ac:dyDescent="0.35">
      <c r="A39" s="21" t="s">
        <v>415</v>
      </c>
      <c r="B39" s="28" t="s">
        <v>416</v>
      </c>
      <c r="C39" s="3" t="s">
        <v>417</v>
      </c>
      <c r="D39" s="54">
        <v>8</v>
      </c>
      <c r="E39" s="30" t="s">
        <v>418</v>
      </c>
      <c r="F39" s="30" t="s">
        <v>419</v>
      </c>
    </row>
    <row r="40" spans="1:6" ht="24" customHeight="1" x14ac:dyDescent="0.35">
      <c r="A40" s="21" t="s">
        <v>420</v>
      </c>
      <c r="B40" s="28" t="s">
        <v>421</v>
      </c>
      <c r="C40" s="3" t="s">
        <v>47</v>
      </c>
      <c r="D40" s="55">
        <f>$D$38*$D$39</f>
        <v>600</v>
      </c>
      <c r="E40" s="30" t="s">
        <v>422</v>
      </c>
      <c r="F40" s="30" t="s">
        <v>423</v>
      </c>
    </row>
    <row r="42" spans="1:6" ht="28" customHeight="1" x14ac:dyDescent="0.35">
      <c r="A42" s="59" t="s">
        <v>424</v>
      </c>
      <c r="B42" s="57"/>
      <c r="C42" s="57"/>
      <c r="D42" s="12">
        <f>'Οικονομική Προσφορά'!$F$14</f>
        <v>74458.570073970972</v>
      </c>
      <c r="E42" s="63" t="str">
        <f>"Μέσο Κόστος ανά Πάσσαλο: "&amp;ROUND('Οικονομική Προσφορά'!$F$14/'Τεχνικοί Υπολογισμοί'!$D$14,2)&amp;" € ("&amp;'Τεχνικοί Υπολογισμοί'!$D$14&amp;" πάσσαλοι)"</f>
        <v>Μέσο Κόστος ανά Πάσσαλο: 4136.59 € (18 πάσσαλοι)</v>
      </c>
      <c r="F42" s="57"/>
    </row>
  </sheetData>
  <mergeCells count="4">
    <mergeCell ref="A2:F2"/>
    <mergeCell ref="E42:F42"/>
    <mergeCell ref="A1:F1"/>
    <mergeCell ref="A42:C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218</vt:i4>
      </vt:variant>
    </vt:vector>
  </HeadingPairs>
  <TitlesOfParts>
    <vt:vector size="221" baseType="lpstr">
      <vt:lpstr>Οικονομική Προσφορά</vt:lpstr>
      <vt:lpstr>Τεχνικοί Υπολογισμοί</vt:lpstr>
      <vt:lpstr>Τιμές &amp; Έλεγχος</vt:lpstr>
      <vt:lpstr>N_b2_breaking_note</vt:lpstr>
      <vt:lpstr>N_b2_breaking_price</vt:lpstr>
      <vt:lpstr>N_b2_breaking_qty</vt:lpstr>
      <vt:lpstr>N_b2_breaking_total</vt:lpstr>
      <vt:lpstr>N_b2_conc_note</vt:lpstr>
      <vt:lpstr>N_b2_conc_price</vt:lpstr>
      <vt:lpstr>N_b2_conc_qty</vt:lpstr>
      <vt:lpstr>N_b2_conc_total</vt:lpstr>
      <vt:lpstr>N_b2_drill_800_note</vt:lpstr>
      <vt:lpstr>N_b2_drill_800_price</vt:lpstr>
      <vt:lpstr>N_b2_drill_800_qty</vt:lpstr>
      <vt:lpstr>N_b2_drill_800_total</vt:lpstr>
      <vt:lpstr>N_b2_grand_total</vt:lpstr>
      <vt:lpstr>N_b2_grand_total_note</vt:lpstr>
      <vt:lpstr>N_b2_mob_note</vt:lpstr>
      <vt:lpstr>N_b2_mob_price</vt:lpstr>
      <vt:lpstr>N_b2_mob_qty</vt:lpstr>
      <vt:lpstr>N_b2_mob_total</vt:lpstr>
      <vt:lpstr>N_b2_sleeve_note</vt:lpstr>
      <vt:lpstr>N_b2_sleeve_price</vt:lpstr>
      <vt:lpstr>N_b2_sleeve_qty</vt:lpstr>
      <vt:lpstr>N_b2_sleeve_total</vt:lpstr>
      <vt:lpstr>N_b2_steel_head_note</vt:lpstr>
      <vt:lpstr>N_b2_steel_head_price</vt:lpstr>
      <vt:lpstr>N_b2_steel_head_qty</vt:lpstr>
      <vt:lpstr>N_b2_steel_head_total</vt:lpstr>
      <vt:lpstr>N_b2_steel_note</vt:lpstr>
      <vt:lpstr>N_b2_steel_price</vt:lpstr>
      <vt:lpstr>N_b2_steel_qty</vt:lpstr>
      <vt:lpstr>N_b2_steel_spiral_note</vt:lpstr>
      <vt:lpstr>N_b2_steel_spiral_price</vt:lpstr>
      <vt:lpstr>N_b2_steel_spiral_qty</vt:lpstr>
      <vt:lpstr>N_b2_steel_spiral_total</vt:lpstr>
      <vt:lpstr>N_b2_steel_total</vt:lpstr>
      <vt:lpstr>N_b2_steel_vert_note</vt:lpstr>
      <vt:lpstr>N_b2_steel_vert_price</vt:lpstr>
      <vt:lpstr>N_b2_steel_vert_qty</vt:lpstr>
      <vt:lpstr>N_b2_steel_vert_total</vt:lpstr>
      <vt:lpstr>N_c_barlen</vt:lpstr>
      <vt:lpstr>N_c_density</vt:lpstr>
      <vt:lpstr>N_c_lap</vt:lpstr>
      <vt:lpstr>N_c_loss</vt:lpstr>
      <vt:lpstr>N_c_overc</vt:lpstr>
      <vt:lpstr>N_c_pi</vt:lpstr>
      <vt:lpstr>N_c_starter_off</vt:lpstr>
      <vt:lpstr>N_c_top_bend</vt:lpstr>
      <vt:lpstr>N_conc_class</vt:lpstr>
      <vt:lpstr>N_cover_mm</vt:lpstr>
      <vt:lpstr>N_dist_km</vt:lpstr>
      <vt:lpstr>N_extra_zones</vt:lpstr>
      <vt:lpstr>N_g0_bottom_bend</vt:lpstr>
      <vt:lpstr>N_g0_breaking</vt:lpstr>
      <vt:lpstr>N_g0_count</vt:lpstr>
      <vt:lpstr>N_g0_cutoff</vt:lpstr>
      <vt:lpstr>N_g0_D_cage</vt:lpstr>
      <vt:lpstr>N_g0_D_mm</vt:lpstr>
      <vt:lpstr>N_g0_dh</vt:lpstr>
      <vt:lpstr>N_g0_end_zone</vt:lpstr>
      <vt:lpstr>N_g0_extra_len</vt:lpstr>
      <vt:lpstr>N_g0_extra_n</vt:lpstr>
      <vt:lpstr>N_g0_extra_y</vt:lpstr>
      <vt:lpstr>N_g0_h_overc</vt:lpstr>
      <vt:lpstr>N_g0_head_links</vt:lpstr>
      <vt:lpstr>N_g0_L_bar</vt:lpstr>
      <vt:lpstr>N_g0_L_base</vt:lpstr>
      <vt:lpstr>N_g0_L_conc</vt:lpstr>
      <vt:lpstr>N_g0_L_drill</vt:lpstr>
      <vt:lpstr>N_g0_L_pile</vt:lpstr>
      <vt:lpstr>N_g0_lap_len</vt:lpstr>
      <vt:lpstr>N_g0_n_head</vt:lpstr>
      <vt:lpstr>N_g0_n_laps</vt:lpstr>
      <vt:lpstr>N_g0_n_turns</vt:lpstr>
      <vt:lpstr>N_g0_n_vert</vt:lpstr>
      <vt:lpstr>N_g0_P_cage</vt:lpstr>
      <vt:lpstr>N_g0_raft</vt:lpstr>
      <vt:lpstr>N_g0_s_end</vt:lpstr>
      <vt:lpstr>N_g0_s_mid</vt:lpstr>
      <vt:lpstr>N_g0_sleeves</vt:lpstr>
      <vt:lpstr>N_g0_starter</vt:lpstr>
      <vt:lpstr>N_g0_top_bend</vt:lpstr>
      <vt:lpstr>N_g0_V_conc</vt:lpstr>
      <vt:lpstr>N_g0_V_exc</vt:lpstr>
      <vt:lpstr>N_g0_W_extra</vt:lpstr>
      <vt:lpstr>N_g0_W_head</vt:lpstr>
      <vt:lpstr>N_g0_W_spiral</vt:lpstr>
      <vt:lpstr>N_g0_W_total</vt:lpstr>
      <vt:lpstr>N_g0_W_vert</vt:lpstr>
      <vt:lpstr>N_g0_y_spiral</vt:lpstr>
      <vt:lpstr>N_g0_y_vert</vt:lpstr>
      <vt:lpstr>N_g1_bottom_bend</vt:lpstr>
      <vt:lpstr>N_g1_breaking</vt:lpstr>
      <vt:lpstr>N_g1_count</vt:lpstr>
      <vt:lpstr>N_g1_cutoff</vt:lpstr>
      <vt:lpstr>N_g1_D_cage</vt:lpstr>
      <vt:lpstr>N_g1_D_mm</vt:lpstr>
      <vt:lpstr>N_g1_dh</vt:lpstr>
      <vt:lpstr>N_g1_end_zone</vt:lpstr>
      <vt:lpstr>N_g1_extra_len</vt:lpstr>
      <vt:lpstr>N_g1_extra_n</vt:lpstr>
      <vt:lpstr>N_g1_extra_y</vt:lpstr>
      <vt:lpstr>N_g1_h_overc</vt:lpstr>
      <vt:lpstr>N_g1_head_links</vt:lpstr>
      <vt:lpstr>N_g1_L_bar</vt:lpstr>
      <vt:lpstr>N_g1_L_base</vt:lpstr>
      <vt:lpstr>N_g1_L_conc</vt:lpstr>
      <vt:lpstr>N_g1_L_drill</vt:lpstr>
      <vt:lpstr>N_g1_L_pile</vt:lpstr>
      <vt:lpstr>N_g1_lap_len</vt:lpstr>
      <vt:lpstr>N_g1_n_head</vt:lpstr>
      <vt:lpstr>N_g1_n_laps</vt:lpstr>
      <vt:lpstr>N_g1_n_turns</vt:lpstr>
      <vt:lpstr>N_g1_n_vert</vt:lpstr>
      <vt:lpstr>N_g1_P_cage</vt:lpstr>
      <vt:lpstr>N_g1_raft</vt:lpstr>
      <vt:lpstr>N_g1_s_end</vt:lpstr>
      <vt:lpstr>N_g1_s_mid</vt:lpstr>
      <vt:lpstr>N_g1_sleeves</vt:lpstr>
      <vt:lpstr>N_g1_starter</vt:lpstr>
      <vt:lpstr>N_g1_top_bend</vt:lpstr>
      <vt:lpstr>N_g1_V_conc</vt:lpstr>
      <vt:lpstr>N_g1_V_exc</vt:lpstr>
      <vt:lpstr>N_g1_W_extra</vt:lpstr>
      <vt:lpstr>N_g1_W_head</vt:lpstr>
      <vt:lpstr>N_g1_W_spiral</vt:lpstr>
      <vt:lpstr>N_g1_W_total</vt:lpstr>
      <vt:lpstr>N_g1_W_vert</vt:lpstr>
      <vt:lpstr>N_g1_y_spiral</vt:lpstr>
      <vt:lpstr>N_g1_y_vert</vt:lpstr>
      <vt:lpstr>N_grand_total</vt:lpstr>
      <vt:lpstr>N_line_breaking_desc</vt:lpstr>
      <vt:lpstr>N_line_breaking_price</vt:lpstr>
      <vt:lpstr>N_line_breaking_qty</vt:lpstr>
      <vt:lpstr>N_line_breaking_total</vt:lpstr>
      <vt:lpstr>N_line_conc_desc</vt:lpstr>
      <vt:lpstr>N_line_conc_price</vt:lpstr>
      <vt:lpstr>N_line_conc_qty</vt:lpstr>
      <vt:lpstr>N_line_conc_total</vt:lpstr>
      <vt:lpstr>N_line_drill_800_desc</vt:lpstr>
      <vt:lpstr>N_line_drill_800_price</vt:lpstr>
      <vt:lpstr>N_line_drill_800_qty</vt:lpstr>
      <vt:lpstr>N_line_drill_800_total</vt:lpstr>
      <vt:lpstr>N_line_mob_desc</vt:lpstr>
      <vt:lpstr>N_line_mob_price</vt:lpstr>
      <vt:lpstr>N_line_mob_qty</vt:lpstr>
      <vt:lpstr>N_line_mob_total</vt:lpstr>
      <vt:lpstr>N_line_sleeve_desc</vt:lpstr>
      <vt:lpstr>N_line_sleeve_price</vt:lpstr>
      <vt:lpstr>N_line_sleeve_qty</vt:lpstr>
      <vt:lpstr>N_line_sleeve_total</vt:lpstr>
      <vt:lpstr>N_line_steel_desc</vt:lpstr>
      <vt:lpstr>N_line_steel_price</vt:lpstr>
      <vt:lpstr>N_line_steel_qty</vt:lpstr>
      <vt:lpstr>N_line_steel_total</vt:lpstr>
      <vt:lpstr>N_mob_per_pile</vt:lpstr>
      <vt:lpstr>N_mob_police</vt:lpstr>
      <vt:lpstr>N_mob_total</vt:lpstr>
      <vt:lpstr>N_n_piles</vt:lpstr>
      <vt:lpstr>N_p_breaking</vt:lpstr>
      <vt:lpstr>N_p_conc</vt:lpstr>
      <vt:lpstr>N_p_conc_buy</vt:lpstr>
      <vt:lpstr>N_p_conc_place</vt:lpstr>
      <vt:lpstr>N_p_drill_800</vt:lpstr>
      <vt:lpstr>N_p_mob_base</vt:lpstr>
      <vt:lpstr>N_p_mob_extra</vt:lpstr>
      <vt:lpstr>N_p_piles_per_setup</vt:lpstr>
      <vt:lpstr>N_p_police_km</vt:lpstr>
      <vt:lpstr>N_p_pump_per_m3</vt:lpstr>
      <vt:lpstr>N_p_pump_setup</vt:lpstr>
      <vt:lpstr>N_p_sleeve</vt:lpstr>
      <vt:lpstr>N_p_steel</vt:lpstr>
      <vt:lpstr>N_police_km</vt:lpstr>
      <vt:lpstr>N_q_breaking</vt:lpstr>
      <vt:lpstr>N_q_breaking_n</vt:lpstr>
      <vt:lpstr>N_q_conc</vt:lpstr>
      <vt:lpstr>N_q_conc_n</vt:lpstr>
      <vt:lpstr>N_q_drill_800</vt:lpstr>
      <vt:lpstr>N_q_drill_800_n</vt:lpstr>
      <vt:lpstr>N_q_sleeve</vt:lpstr>
      <vt:lpstr>N_q_sleeve_n</vt:lpstr>
      <vt:lpstr>N_q_steel</vt:lpstr>
      <vt:lpstr>N_q_steel_n</vt:lpstr>
      <vt:lpstr>N_s1_note_1</vt:lpstr>
      <vt:lpstr>N_s1_note_2</vt:lpstr>
      <vt:lpstr>N_s1_note_3</vt:lpstr>
      <vt:lpstr>N_s1_note_4</vt:lpstr>
      <vt:lpstr>N_s1_note_5</vt:lpstr>
      <vt:lpstr>N_s1_note_6</vt:lpstr>
      <vt:lpstr>N_s1_note_7</vt:lpstr>
      <vt:lpstr>N_s2_dist_km</vt:lpstr>
      <vt:lpstr>N_s2_mob_police</vt:lpstr>
      <vt:lpstr>N_s2_p_mob_base</vt:lpstr>
      <vt:lpstr>N_s2_p_mob_extra</vt:lpstr>
      <vt:lpstr>N_s3_grand_total</vt:lpstr>
      <vt:lpstr>N_sl_base_cost</vt:lpstr>
      <vt:lpstr>N_sl_billed_len</vt:lpstr>
      <vt:lpstr>N_sl_labor</vt:lpstr>
      <vt:lpstr>N_sl_markup</vt:lpstr>
      <vt:lpstr>N_sl_mat_cost</vt:lpstr>
      <vt:lpstr>N_sl_pipe_len</vt:lpstr>
      <vt:lpstr>N_sl_pipe_price</vt:lpstr>
      <vt:lpstr>N_sl_price_m</vt:lpstr>
      <vt:lpstr>N_sl_req_len</vt:lpstr>
      <vt:lpstr>N_sl_tape</vt:lpstr>
      <vt:lpstr>N_t_breaking</vt:lpstr>
      <vt:lpstr>N_t_count</vt:lpstr>
      <vt:lpstr>N_t_L_drill</vt:lpstr>
      <vt:lpstr>N_t_sleeves</vt:lpstr>
      <vt:lpstr>N_t_V_conc</vt:lpstr>
      <vt:lpstr>N_t_V_exc</vt:lpstr>
      <vt:lpstr>N_t_W_extra</vt:lpstr>
      <vt:lpstr>N_t_W_head</vt:lpstr>
      <vt:lpstr>N_t_W_spiral</vt:lpstr>
      <vt:lpstr>N_t_W_total</vt:lpstr>
      <vt:lpstr>N_t_W_vert</vt:lpstr>
      <vt:lpstr>N_v_per_setup</vt:lpstr>
      <vt:lpstr>N_wpl</vt:lpstr>
      <vt:lpstr>N_zone_km</vt:lpstr>
      <vt:lpstr>'Τεχνικοί Υπολογισμοί'!Print_Area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cp:lastPrinted>2026-10-23T06:27:30Z</cp:lastPrinted>
  <dcterms:created xsi:type="dcterms:W3CDTF">2026-10-23T06:21:53Z</dcterms:created>
  <dcterms:modified xsi:type="dcterms:W3CDTF">2026-10-23T07:30:37Z</dcterms:modified>
</cp:coreProperties>
</file>