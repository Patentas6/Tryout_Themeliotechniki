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ικονομική Προσφορά" sheetId="1" state="visible" r:id="rId1"/>
    <sheet xmlns:r="http://schemas.openxmlformats.org/officeDocument/2006/relationships" name="Τεχνικοί Υπολογισμο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0.00000"/>
    <numFmt numFmtId="167" formatCode="0.000"/>
    <numFmt numFmtId="168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B5563"/>
      <sz val="9"/>
    </font>
    <font>
      <name val="Segoe UI"/>
      <b val="1"/>
      <color rgb="00FFFFFF"/>
      <sz val="9.5"/>
    </font>
    <font>
      <name val="Segoe UI"/>
      <b val="1"/>
      <color rgb="00991B1B"/>
      <sz val="8.5"/>
    </font>
    <font>
      <name val="Segoe UI"/>
      <b val="1"/>
      <color rgb="001E3A8A"/>
      <sz val="9"/>
    </font>
    <font>
      <name val="Segoe UI"/>
      <b val="1"/>
      <color rgb="001F2937"/>
      <sz val="9.5"/>
    </font>
    <font>
      <name val="Segoe UI"/>
      <b val="1"/>
      <color rgb="0092400E"/>
      <sz val="9.5"/>
    </font>
    <font>
      <name val="Segoe UI"/>
      <b val="1"/>
      <color rgb="0092400E"/>
      <sz val="10.5"/>
    </font>
    <font>
      <name val="Segoe UI"/>
      <b val="1"/>
      <color rgb="0092400E"/>
      <sz val="9"/>
    </font>
    <font>
      <name val="Segoe UI"/>
      <color rgb="004B5563"/>
      <sz val="8.5"/>
    </font>
    <font>
      <name val="Segoe UI"/>
      <color rgb="001F2937"/>
      <sz val="9"/>
    </font>
    <font>
      <name val="Segoe UI"/>
      <b val="1"/>
      <color rgb="00991B1B"/>
      <sz val="9.5"/>
    </font>
    <font>
      <name val="Segoe UI"/>
      <b val="1"/>
      <color rgb="00065F46"/>
      <sz val="9.5"/>
    </font>
  </fonts>
  <fills count="10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17">
    <border>
      <left/>
      <right/>
      <top/>
      <bottom/>
      <diagonal/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D1D5DB"/>
      </left>
      <right style="thin">
        <color rgb="00D1D5DB"/>
      </right>
      <top style="thin">
        <color rgb="001E3A8A"/>
      </top>
      <bottom style="double">
        <color rgb="001E3A8A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  <border>
      <left/>
      <right/>
      <top style="medium">
        <color rgb="00DC2626"/>
      </top>
      <bottom/>
      <diagonal/>
    </border>
    <border>
      <left/>
      <right style="medium">
        <color rgb="00DC2626"/>
      </right>
      <top style="medium">
        <color rgb="00DC2626"/>
      </top>
      <bottom/>
      <diagonal/>
    </border>
    <border>
      <left/>
      <right/>
      <top style="medium">
        <color rgb="00DC2626"/>
      </top>
      <bottom style="medium">
        <color rgb="00DC2626"/>
      </bottom>
      <diagonal/>
    </border>
    <border>
      <left/>
      <right style="medium">
        <color rgb="00DC2626"/>
      </right>
      <top style="medium">
        <color rgb="00DC2626"/>
      </top>
      <bottom style="medium">
        <color rgb="00DC2626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10B981"/>
      </top>
      <bottom/>
      <diagonal/>
    </border>
    <border>
      <left/>
      <right style="thin">
        <color rgb="0010B981"/>
      </right>
      <top style="thin">
        <color rgb="0010B981"/>
      </top>
      <bottom/>
      <diagonal/>
    </border>
    <border>
      <left/>
      <right style="thin">
        <color rgb="0010B981"/>
      </right>
      <top style="thin">
        <color rgb="0010B981"/>
      </top>
      <bottom style="thin">
        <color rgb="0010B98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4" fontId="0" fillId="0" borderId="2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164" fontId="8" fillId="7" borderId="4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2" pivotButton="0" quotePrefix="0" xfId="0"/>
    <xf numFmtId="4" fontId="7" fillId="6" borderId="3" applyAlignment="1" pivotButton="0" quotePrefix="0" xfId="0">
      <alignment horizontal="right" vertical="center"/>
    </xf>
    <xf numFmtId="0" fontId="11" fillId="0" borderId="2" pivotButton="0" quotePrefix="0" xfId="0"/>
    <xf numFmtId="3" fontId="7" fillId="6" borderId="3" applyAlignment="1" pivotButton="0" quotePrefix="0" xfId="0">
      <alignment horizontal="right" vertical="center"/>
    </xf>
    <xf numFmtId="0" fontId="10" fillId="0" borderId="2" pivotButton="0" quotePrefix="0" xfId="0"/>
    <xf numFmtId="0" fontId="10" fillId="0" borderId="2" applyAlignment="1" pivotButton="0" quotePrefix="0" xfId="0">
      <alignment horizontal="left" vertical="center"/>
    </xf>
    <xf numFmtId="4" fontId="6" fillId="5" borderId="2" applyAlignment="1" pivotButton="0" quotePrefix="0" xfId="0">
      <alignment horizontal="right" vertical="center"/>
    </xf>
    <xf numFmtId="2" fontId="7" fillId="6" borderId="3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12" fillId="3" borderId="1" pivotButton="0" quotePrefix="0" xfId="0"/>
    <xf numFmtId="2" fontId="12" fillId="3" borderId="1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0" fontId="13" fillId="8" borderId="5" applyAlignment="1" pivotButton="0" quotePrefix="0" xfId="0">
      <alignment horizontal="center" vertical="center"/>
    </xf>
    <xf numFmtId="0" fontId="13" fillId="8" borderId="5" applyAlignment="1" pivotButton="0" quotePrefix="0" xfId="0">
      <alignment horizontal="left" vertical="center"/>
    </xf>
    <xf numFmtId="4" fontId="13" fillId="8" borderId="5" applyAlignment="1" pivotButton="0" quotePrefix="0" xfId="0">
      <alignment horizontal="right" vertical="center"/>
    </xf>
    <xf numFmtId="0" fontId="0" fillId="0" borderId="5" pivotButton="0" quotePrefix="0" xfId="0"/>
    <xf numFmtId="3" fontId="13" fillId="8" borderId="5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4" fontId="6" fillId="9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left" vertical="center"/>
    </xf>
    <xf numFmtId="0" fontId="11" fillId="9" borderId="2" pivotButton="0" quotePrefix="0" xfId="0"/>
    <xf numFmtId="0" fontId="11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4" fontId="13" fillId="8" borderId="2" applyAlignment="1" pivotButton="0" quotePrefix="0" xfId="0">
      <alignment horizontal="right" vertical="center"/>
    </xf>
    <xf numFmtId="0" fontId="13" fillId="8" borderId="2" pivotButton="0" quotePrefix="0" xfId="0"/>
    <xf numFmtId="167" fontId="6" fillId="0" borderId="2" applyAlignment="1" pivotButton="0" quotePrefix="0" xfId="0">
      <alignment horizontal="right" vertical="center"/>
    </xf>
    <xf numFmtId="167" fontId="6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3" fontId="6" fillId="9" borderId="2" applyAlignment="1" pivotButton="0" quotePrefix="0" xfId="0">
      <alignment horizontal="right" vertical="center"/>
    </xf>
    <xf numFmtId="168" fontId="6" fillId="9" borderId="2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6" customWidth="1" min="5" max="5"/>
    <col width="18" customWidth="1" min="6" max="6"/>
    <col width="22" customWidth="1" min="7" max="7"/>
    <col width="26" customWidth="1" min="8" max="8"/>
  </cols>
  <sheetData>
    <row r="2">
      <c r="B2" s="1" t="inlineStr">
        <is>
          <t>ΟΙΚΟΝΟΜΙΚΗ ΠΡΟΣΦΟΡΑ ΠΑΣΣΑΛΩΝ ΘΕΜΕΛΙΩΣΗΣ</t>
        </is>
      </c>
    </row>
    <row r="3">
      <c r="B3" s="2" t="inlineStr">
        <is>
          <t>Προϋπολογισμός Έργου για τον Πελάτη (Τιμολόγιο) — Επιμερισμός Μετακινήσεων, Τρύπημα, Κουγκρί, Χάλυβας, Sleeves &amp; Breaking</t>
        </is>
      </c>
    </row>
    <row r="4">
      <c r="B4" s="3" t="inlineStr">
        <is>
          <t>⚠️ ΚΟΚΚΙΝΟΣ ΣΥΝΑΓΕΡΜΟΣ: ΣΤΟ ΣΧΕΔΙΟ ΔΕΝ ΔΙΝΕΤΑΙ Η ΔΙΑΦΟΡΑ ΥΨΟΜΕΤΡΟΥ ΤΡΥΠΗΜΑΤΟΣ - CUTOFF LEVEL!</t>
        </is>
      </c>
    </row>
    <row r="5">
      <c r="B5" s="4" t="inlineStr">
        <is>
          <t>Η προσφορά υπολογίζει προσωρινά μηδενική κενή διάτρηση (Δh = 0.00m). Εάν το τρύπημα γίνει από υψηλότερη στάθμη πλατφόρμας, απαιτείται εισαγωγή του Δh στο Φύλλο 2 για αυτόματη προσθήκη μέτρων διάτρησης, υπερκάλυψης σκυροδέματος (έως +2m), sleeves στα starter και κεφαλοκοπής (pile breaking)!</t>
        </is>
      </c>
      <c r="C5" s="62" t="n"/>
      <c r="D5" s="62" t="n"/>
      <c r="E5" s="62" t="n"/>
      <c r="F5" s="62" t="n"/>
      <c r="G5" s="62" t="n"/>
      <c r="H5" s="63" t="n"/>
    </row>
    <row r="7">
      <c r="B7" s="6" t="inlineStr">
        <is>
          <t>ΠΙΝΑΚΑΣ ΟΙΚΟΝΟΜΙΚΗΣ ΠΡΟΣΦΟΡΑΣ (ΤΙΜΟΛΟΓΙΟ)</t>
        </is>
      </c>
    </row>
    <row r="8">
      <c r="B8" s="7" t="inlineStr">
        <is>
          <t>A/A</t>
        </is>
      </c>
      <c r="C8" s="8" t="inlineStr">
        <is>
          <t>Περιγραφή Εργασίας / Υλικού</t>
        </is>
      </c>
      <c r="D8" s="9" t="inlineStr">
        <is>
          <t>Ποσότητα ανά Πάσσαλο</t>
        </is>
      </c>
      <c r="E8" s="7" t="inlineStr">
        <is>
          <t>Μονάδα</t>
        </is>
      </c>
      <c r="F8" s="9" t="inlineStr">
        <is>
          <t>Τιμή Μονάδας (€)</t>
        </is>
      </c>
      <c r="G8" s="9" t="inlineStr">
        <is>
          <t>Κόστος ανά Πάσσαλο (€)</t>
        </is>
      </c>
      <c r="H8" s="9" t="inlineStr">
        <is>
          <t>Σύνολο Όλων των Πασσάλων (€)</t>
        </is>
      </c>
    </row>
    <row r="9">
      <c r="B9" s="10" t="inlineStr">
        <is>
          <t>1</t>
        </is>
      </c>
      <c r="C9" s="11" t="inlineStr">
        <is>
          <t>Μετακινήσεις &amp; Εγκατάσταση Εξοπλισμού Γεωτρύπανου (Mobilization)</t>
        </is>
      </c>
      <c r="D9" s="12" t="n">
        <v>1</v>
      </c>
      <c r="E9" s="10" t="inlineStr">
        <is>
          <t>πάσσαλος</t>
        </is>
      </c>
      <c r="F9" s="13">
        <f>'Τεχνικοί Υπολογισμοί'!C9</f>
        <v/>
      </c>
      <c r="G9" s="14">
        <f>D9*F9</f>
        <v/>
      </c>
      <c r="H9" s="14">
        <f>G9*'Τεχνικοί Υπολογισμοί'!C19</f>
        <v/>
      </c>
    </row>
    <row r="10">
      <c r="B10" s="10" t="inlineStr">
        <is>
          <t>2</t>
        </is>
      </c>
      <c r="C10" s="11" t="inlineStr">
        <is>
          <t>Τρύπημα / Διάτρηση Πασσάλων Ø600mm</t>
        </is>
      </c>
      <c r="D10" s="15">
        <f>'Τεχνικοί Υπολογισμοί'!D23</f>
        <v/>
      </c>
      <c r="E10" s="10" t="inlineStr">
        <is>
          <t>m</t>
        </is>
      </c>
      <c r="F10" s="16" t="n">
        <v>90</v>
      </c>
      <c r="G10" s="14">
        <f>D10*F10</f>
        <v/>
      </c>
      <c r="H10" s="14">
        <f>G10*'Τεχνικοί Υπολογισμοί'!C19</f>
        <v/>
      </c>
    </row>
    <row r="11">
      <c r="B11" s="10" t="inlineStr">
        <is>
          <t>3</t>
        </is>
      </c>
      <c r="C11" s="11" t="inlineStr">
        <is>
          <t>Σκυροδέτηση Πασσάλων (Κουγκρί με 10% απώλεια)</t>
        </is>
      </c>
      <c r="D11" s="15">
        <f>'Τεχνικοί Υπολογισμοί'!D24</f>
        <v/>
      </c>
      <c r="E11" s="10" t="inlineStr">
        <is>
          <t>m³</t>
        </is>
      </c>
      <c r="F11" s="16" t="n">
        <v>115</v>
      </c>
      <c r="G11" s="14">
        <f>D11*F11</f>
        <v/>
      </c>
      <c r="H11" s="14">
        <f>G11*'Τεχνικοί Υπολογισμοί'!C19</f>
        <v/>
      </c>
    </row>
    <row r="12">
      <c r="B12" s="10" t="inlineStr">
        <is>
          <t>4</t>
        </is>
      </c>
      <c r="C12" s="11" t="inlineStr">
        <is>
          <t>Χάλυβας Οπλισμού (Σούστα &amp; Κάθετες Ράβδοι B500C)</t>
        </is>
      </c>
      <c r="D12" s="15">
        <f>'Τεχνικοί Υπολογισμοί'!D25</f>
        <v/>
      </c>
      <c r="E12" s="10" t="inlineStr">
        <is>
          <t>kg</t>
        </is>
      </c>
      <c r="F12" s="16" t="n">
        <v>1.1</v>
      </c>
      <c r="G12" s="14">
        <f>D12*F12</f>
        <v/>
      </c>
      <c r="H12" s="14">
        <f>G12*'Τεχνικοί Υπολογισμοί'!C19</f>
        <v/>
      </c>
    </row>
    <row r="13">
      <c r="B13" s="10" t="inlineStr">
        <is>
          <t>5</t>
        </is>
      </c>
      <c r="C13" s="11" t="inlineStr">
        <is>
          <t>Sleeves Προστασίας Starter Αναμονών (Debonding)</t>
        </is>
      </c>
      <c r="D13" s="15">
        <f>'Τεχνικοί Υπολογισμοί'!D26</f>
        <v/>
      </c>
      <c r="E13" s="10" t="inlineStr">
        <is>
          <t>τεμ.</t>
        </is>
      </c>
      <c r="F13" s="16" t="n">
        <v>3.5</v>
      </c>
      <c r="G13" s="14">
        <f>D13*F13</f>
        <v/>
      </c>
      <c r="H13" s="14">
        <f>G13*'Τεχνικοί Υπολογισμοί'!C19</f>
        <v/>
      </c>
    </row>
    <row r="14">
      <c r="B14" s="10" t="inlineStr">
        <is>
          <t>6</t>
        </is>
      </c>
      <c r="C14" s="11" t="inlineStr">
        <is>
          <t>Κεφαλοκοπή Πασσάλων / Pile Breaking (Σπάσιμο)</t>
        </is>
      </c>
      <c r="D14" s="15">
        <f>'Τεχνικοί Υπολογισμοί'!D27</f>
        <v/>
      </c>
      <c r="E14" s="10" t="inlineStr">
        <is>
          <t>τεμ.</t>
        </is>
      </c>
      <c r="F14" s="16" t="n">
        <v>60</v>
      </c>
      <c r="G14" s="14">
        <f>D14*F14</f>
        <v/>
      </c>
      <c r="H14" s="14">
        <f>G14*'Τεχνικοί Υπολογισμοί'!C19</f>
        <v/>
      </c>
    </row>
    <row r="15">
      <c r="B15" s="17" t="inlineStr">
        <is>
          <t>ΣΥΝΟΛΟ</t>
        </is>
      </c>
      <c r="C15" s="18" t="inlineStr">
        <is>
          <t>ΓΕΝΙΚΟ ΣΥΝΟΛΟ ΠΡΟΣΦΟΡΑΣ (GRAND TOTAL)</t>
        </is>
      </c>
      <c r="D15" s="17" t="inlineStr">
        <is>
          <t>-</t>
        </is>
      </c>
      <c r="E15" s="17" t="inlineStr">
        <is>
          <t>-</t>
        </is>
      </c>
      <c r="F15" s="17" t="inlineStr">
        <is>
          <t>-</t>
        </is>
      </c>
      <c r="G15" s="19">
        <f>SUM(G9:G14)</f>
        <v/>
      </c>
      <c r="H15" s="19">
        <f>SUM(H9:H14)</f>
        <v/>
      </c>
    </row>
    <row r="17">
      <c r="B17" s="20" t="inlineStr">
        <is>
          <t>ΟΡΟΙ &amp; ΠΑΡΑΤΗΡΗΣΕΙΣ ΠΡΟΣΦΟΡΑΣ:</t>
        </is>
      </c>
    </row>
    <row r="18">
      <c r="B18" s="21" t="inlineStr">
        <is>
          <t>1. Στις τιμές περιλαμβάνονται όλα τα απαιτούμενα υλικά, εργασία και μηχανολογικός εξοπλισμός για την πλήρη κατασκευή των πασσάλων.
2. Η τιμή μετακίνησης επιμερίζεται ισόποσα στο κόστος ανά πάσσαλο (εάν δεν χρεώνεται, θέστε 0.00 € στο κελί μετακινήσεων).
3. Το τρύπημα τιμολογείται σε τρέχοντα μέτρα (m) βάσει του συνολικού βάθους διάτρησης (καθαρό βάθος + κενή διάτρηση Δh).
4. Στο σκυρόδεμα υπολογίζεται συντελεστής απώλειας 10% και περιλαμβάνει υπερκάλυψη έως +2.0m πάνω από το cut-off για εξασφάλιση υγιούς κεφαλής.
5. Τα sleeves και η κεφαλοκοπή ενεργοποιούνται αυτόματα όταν υπάρχει υψομετρική διαφορά τρυπήματος έναντι cut-off (Δh &gt; 0).
6. Αναλυτική τεχνική τεκμηρίωση και μαθηματικοί τύποι παρατίθενται στη σελίδα 'Τεχνικοί Υπολογισμοί'.</t>
        </is>
      </c>
    </row>
    <row r="19"/>
    <row r="20"/>
    <row r="21"/>
    <row r="22"/>
    <row r="23"/>
  </sheetData>
  <mergeCells count="7">
    <mergeCell ref="B17:H17"/>
    <mergeCell ref="B18:H23"/>
    <mergeCell ref="B4:H4"/>
    <mergeCell ref="B2:H2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4" customWidth="1" min="5" max="5"/>
    <col width="22" customWidth="1" min="6" max="6"/>
    <col width="14" customWidth="1" min="7" max="7"/>
    <col width="28" customWidth="1" min="8" max="8"/>
    <col width="28" customWidth="1" min="9" max="9"/>
  </cols>
  <sheetData>
    <row r="2">
      <c r="B2" s="1" t="inlineStr">
        <is>
          <t>ΤΕΧΝΙΚΗ ΤΕΚΜΗΡΙΩΣΗ &amp; ΜΑΘΗΜΑΤΙΚΟΙ ΥΠΟΛΟΓΙΣΜΟΙ ΠΑΣΣΑΛΩΝ</t>
        </is>
      </c>
    </row>
    <row r="3">
      <c r="B3" s="2" t="inlineStr">
        <is>
          <t>Δεδομένα Σχεδίου, Υψόμετρα Cut-off, Τελικές Ποσότητες Προσφοράς, Σταθερές &amp; Αναλυτικά Μαθηματικά</t>
        </is>
      </c>
    </row>
    <row r="5">
      <c r="B5" s="6" t="inlineStr">
        <is>
          <t>1. ΔΕΔΟΜΕΝΑ ΠΟΥ ΔΙΑΒΑΣΤΗΚΑΝ ΑΠΟ ΤΟ ΣΧΕΔΙΟ &amp; ΥΨΟΜΕΤΡΑ (ΚΑΘΕΤΟΣ ΔΙΑΧΩΡΙΣΜΟΣ)</t>
        </is>
      </c>
    </row>
    <row r="6">
      <c r="B6" s="8" t="inlineStr">
        <is>
          <t>ΤΟΜΕΑΣ 1: ΜΕΤΑΚΙΝΗΣΕΙΣ (MOBILIZATION)</t>
        </is>
      </c>
      <c r="C6" s="64" t="n"/>
      <c r="D6" s="65" t="n"/>
      <c r="F6" s="8" t="inlineStr">
        <is>
          <t>ΤΟΜΕΑΣ 3: ΚΛΩΒΟΣ ΟΠΛΙΣΜΟΥ, SLEEVES &amp; BREAKING</t>
        </is>
      </c>
      <c r="G6" s="64" t="n"/>
      <c r="H6" s="64" t="n"/>
      <c r="I6" s="65" t="n"/>
    </row>
    <row r="7">
      <c r="B7" s="23" t="inlineStr">
        <is>
          <t>Συνολικό Ποσό Μετακινήσεων Γεωτρύπανου</t>
        </is>
      </c>
      <c r="C7" s="24" t="n">
        <v>500</v>
      </c>
      <c r="D7" s="22" t="inlineStr">
        <is>
          <t>€</t>
        </is>
      </c>
      <c r="F7" s="25" t="inlineStr">
        <is>
          <t>Κάθετες Ράβδοι - Πλήθος (Nvert)</t>
        </is>
      </c>
      <c r="G7" s="26" t="n">
        <v>12</v>
      </c>
      <c r="H7" s="10" t="inlineStr">
        <is>
          <t>τεμ.</t>
        </is>
      </c>
      <c r="I7" s="27" t="inlineStr">
        <is>
          <t>12 ράβδοι στην περίμετρο</t>
        </is>
      </c>
    </row>
    <row r="8">
      <c r="B8" s="28" t="inlineStr">
        <is>
          <t>Εφάπαξ κατ' αποκοπή ποσό για το εργοτάξιο (θέστε 0 αν δεν χρεώνεται)</t>
        </is>
      </c>
      <c r="C8" s="64" t="n"/>
      <c r="D8" s="65" t="n"/>
      <c r="F8" s="25" t="inlineStr">
        <is>
          <t>Κάθετες Ράβδοι - Διάμετρος (Yvert)</t>
        </is>
      </c>
      <c r="G8" s="26" t="n">
        <v>20</v>
      </c>
      <c r="H8" s="10" t="inlineStr">
        <is>
          <t>mm</t>
        </is>
      </c>
      <c r="I8" s="27" t="inlineStr">
        <is>
          <t>Y20 (Ø20 mm)</t>
        </is>
      </c>
    </row>
    <row r="9">
      <c r="B9" s="23" t="inlineStr">
        <is>
          <t>Τιμή Μετακίνησης ανά Πάσσαλο (Επιμερισμός)</t>
        </is>
      </c>
      <c r="C9" s="29">
        <f>C7/C19</f>
        <v/>
      </c>
      <c r="D9" s="22" t="inlineStr">
        <is>
          <t>€ / πάσσαλο</t>
        </is>
      </c>
      <c r="F9" s="25" t="inlineStr">
        <is>
          <t>Starter / Αναμονή στο Πέδιλο</t>
        </is>
      </c>
      <c r="G9" s="30" t="n">
        <v>0.5</v>
      </c>
      <c r="H9" s="10" t="inlineStr">
        <is>
          <t>m</t>
        </is>
      </c>
      <c r="I9" s="27" t="inlineStr">
        <is>
          <t>50 cm (Foundation height 0.50m)</t>
        </is>
      </c>
    </row>
    <row r="10">
      <c r="F10" s="23" t="inlineStr">
        <is>
          <t>Γωνία Πάνω (Top Bend / Hook)</t>
        </is>
      </c>
      <c r="G10" s="30" t="n">
        <v>0.5</v>
      </c>
      <c r="H10" s="10" t="inlineStr">
        <is>
          <t>m</t>
        </is>
      </c>
      <c r="I10" s="27" t="inlineStr">
        <is>
          <t>50 cm (Οριζόντιο άγκιστρο στο σχέδιο)</t>
        </is>
      </c>
    </row>
    <row r="11">
      <c r="B11" s="8" t="inlineStr">
        <is>
          <t>ΤΟΜΕΑΣ 2: ΣΚΥΡΟΔΕΜΑ, ΤΡΥΠΗΜΑ &amp; ΥΨΟΜΕΤΡΑ CUT-OFF</t>
        </is>
      </c>
      <c r="C11" s="64" t="n"/>
      <c r="D11" s="65" t="n"/>
      <c r="F11" s="23" t="inlineStr">
        <is>
          <t>Γωνία στον Πυθμένα (Bottom Bend)</t>
        </is>
      </c>
      <c r="G11" s="30" t="n">
        <v>0</v>
      </c>
      <c r="H11" s="10" t="inlineStr">
        <is>
          <t>m</t>
        </is>
      </c>
      <c r="I11" s="27" t="inlineStr">
        <is>
          <t>Δεν δίνεται στο σχέδιο (0.00 m) / Δεν απαιτείται</t>
        </is>
      </c>
    </row>
    <row r="12">
      <c r="B12" s="23" t="inlineStr">
        <is>
          <t>Διάμετρος Τρύπας Πασσάλου (D)</t>
        </is>
      </c>
      <c r="C12" s="26" t="n">
        <v>600</v>
      </c>
      <c r="D12" s="22" t="inlineStr">
        <is>
          <t>mm</t>
        </is>
      </c>
      <c r="F12" s="25" t="inlineStr">
        <is>
          <t>Επικάλυψη Οπλισμού (Cover)</t>
        </is>
      </c>
      <c r="G12" s="26" t="n">
        <v>75</v>
      </c>
      <c r="H12" s="10" t="inlineStr">
        <is>
          <t>mm</t>
        </is>
      </c>
      <c r="I12" s="27" t="inlineStr">
        <is>
          <t>7.5 cm ανά πλευρά (Προεπιλογή αν δεν δίνεται)</t>
        </is>
      </c>
    </row>
    <row r="13">
      <c r="B13" s="23" t="inlineStr">
        <is>
          <t>Ωφέλιμο Βάθος Πασσάλου στο Έδαφος (L_pile)</t>
        </is>
      </c>
      <c r="C13" s="30" t="n">
        <v>4</v>
      </c>
      <c r="D13" s="22" t="inlineStr">
        <is>
          <t>m</t>
        </is>
      </c>
      <c r="F13" s="25" t="inlineStr">
        <is>
          <t>Σούστα - Διάμετρος (Yspiral)</t>
        </is>
      </c>
      <c r="G13" s="26" t="n">
        <v>10</v>
      </c>
      <c r="H13" s="10" t="inlineStr">
        <is>
          <t>mm</t>
        </is>
      </c>
      <c r="I13" s="27" t="inlineStr">
        <is>
          <t>Y10 (Ø10 mm)</t>
        </is>
      </c>
    </row>
    <row r="14">
      <c r="B14" s="25" t="inlineStr">
        <is>
          <t>Στάθμη Πλατφόρμας Γεωτρύπανου (WPL)</t>
        </is>
      </c>
      <c r="C14" s="30" t="n">
        <v>0</v>
      </c>
      <c r="D14" s="22" t="inlineStr">
        <is>
          <t>m (υψόμετρο)</t>
        </is>
      </c>
      <c r="F14" s="25" t="inlineStr">
        <is>
          <t>Σούστα - Βήμα / Απόσταση (s)</t>
        </is>
      </c>
      <c r="G14" s="26" t="n">
        <v>150</v>
      </c>
      <c r="H14" s="10" t="inlineStr">
        <is>
          <t>mm</t>
        </is>
      </c>
      <c r="I14" s="27" t="inlineStr">
        <is>
          <t>Βήμα σπείρας ανά 15 cm</t>
        </is>
      </c>
    </row>
    <row r="15">
      <c r="B15" s="25" t="inlineStr">
        <is>
          <t>Στάθμη Αποκοπής Πασσάλου (Cut-off Level)</t>
        </is>
      </c>
      <c r="C15" s="30" t="n">
        <v>0</v>
      </c>
      <c r="D15" s="22" t="inlineStr">
        <is>
          <t>m (υψόμετρο)</t>
        </is>
      </c>
      <c r="F15" s="25" t="inlineStr">
        <is>
          <t>Αριθμός Ματίσεων ανά Ράβδο</t>
        </is>
      </c>
      <c r="G15" s="31">
        <f>IF((C13+G9+G10+G11)&gt;D33, INT(((C13+G9+G10+G11)-0.001)/D33), 0)</f>
        <v/>
      </c>
      <c r="H15" s="10" t="inlineStr">
        <is>
          <t>ματίσεις</t>
        </is>
      </c>
      <c r="I15" s="27" t="inlineStr">
        <is>
          <t>Αυτόματος υπολογισμός αν L_bar &gt; 12m</t>
        </is>
      </c>
    </row>
    <row r="16">
      <c r="B16" s="32" t="inlineStr">
        <is>
          <t>Διαφορά Υψομέτρου Τρυπήματος - Cut-off (Δh)</t>
        </is>
      </c>
      <c r="C16" s="33" t="n">
        <v>0</v>
      </c>
      <c r="D16" s="32" t="inlineStr">
        <is>
          <t>m (ΚΕΝΗ ΔΙΑΤΡΗΣΗ)</t>
        </is>
      </c>
      <c r="F16" s="23" t="inlineStr">
        <is>
          <t>Μήκος Μάτισης (Κανόνας 50×Φ)</t>
        </is>
      </c>
      <c r="G16" s="34">
        <f>D34*(G8/1000)</f>
        <v/>
      </c>
      <c r="H16" s="10" t="inlineStr">
        <is>
          <t>m</t>
        </is>
      </c>
      <c r="I16" s="27" t="inlineStr">
        <is>
          <t>50 φορές το πάχος: 50×20mm = 1.00m</t>
        </is>
      </c>
    </row>
    <row r="17">
      <c r="B17" s="23" t="inlineStr">
        <is>
          <t>Ύψος Υπερκάλυψης Σκυροδέματος (Overconcreting)</t>
        </is>
      </c>
      <c r="C17" s="34">
        <f>IF(C16&gt;0, MIN(D35, C16), 0.0)</f>
        <v/>
      </c>
      <c r="D17" s="22" t="inlineStr">
        <is>
          <t>m (έως +2m)</t>
        </is>
      </c>
      <c r="F17" s="23" t="inlineStr">
        <is>
          <t>Sleeves Προστασίας Starter ανά Πάσσαλο</t>
        </is>
      </c>
      <c r="G17" s="31">
        <f>IF(C16&gt;0, G7, 0)</f>
        <v/>
      </c>
      <c r="H17" s="10" t="inlineStr">
        <is>
          <t>τεμ./πάσσαλο</t>
        </is>
      </c>
      <c r="I17" s="27" t="inlineStr">
        <is>
          <t>Απαιτούνται όταν το σκυρόδεμα υπερκαλύπτει τα starter (Δh &gt; 0)</t>
        </is>
      </c>
    </row>
    <row r="18">
      <c r="B18" s="23" t="inlineStr">
        <is>
          <t>Συνολικό Βάθος Διάτρησης ανά Πάσσαλο (L_drill)</t>
        </is>
      </c>
      <c r="C18" s="34">
        <f>C13+C16</f>
        <v/>
      </c>
      <c r="D18" s="22" t="inlineStr">
        <is>
          <t>m</t>
        </is>
      </c>
      <c r="F18" s="23" t="inlineStr">
        <is>
          <t>Κεφαλοκοπή / Pile Breaking ανά Πάσσαλο</t>
        </is>
      </c>
      <c r="G18" s="31">
        <f>IF(C16&gt;0, 1, 0)</f>
        <v/>
      </c>
      <c r="H18" s="10" t="inlineStr">
        <is>
          <t>τεμ./πάσσαλο</t>
        </is>
      </c>
      <c r="I18" s="27" t="inlineStr">
        <is>
          <t>Σπάσιμο σκυροδέματος μέχρι το cutoff level (αν Δh &gt; 0)</t>
        </is>
      </c>
    </row>
    <row r="19">
      <c r="B19" s="23" t="inlineStr">
        <is>
          <t>Αριθμός Πασσάλων Έργου (Τρύπες)</t>
        </is>
      </c>
      <c r="C19" s="26" t="n">
        <v>8</v>
      </c>
      <c r="D19" s="22" t="inlineStr">
        <is>
          <t>τεμ.</t>
        </is>
      </c>
    </row>
    <row r="21">
      <c r="B21" s="6" t="inlineStr">
        <is>
          <t>2. ΤΕΛΙΚΕΣ ΠΟΣΟΤΗΤΕΣ ΓΙΑ ΤΗΝ ΟΙΚΟΝΟΜΙΚΗ ΠΡΟΣΦΟΡΑ (ΣΥΝΟΨΗ ΑΠΟΤΕΛΕΣΜΑΤΩΝ)</t>
        </is>
      </c>
    </row>
    <row r="22">
      <c r="B22" s="7" t="inlineStr">
        <is>
          <t>A/A</t>
        </is>
      </c>
      <c r="C22" s="8" t="inlineStr">
        <is>
          <t>Μέγεθος / Τελικός Υπολογισμός</t>
        </is>
      </c>
      <c r="D22" s="9" t="inlineStr">
        <is>
          <t>Ποσότητα ανά Πάσσαλο</t>
        </is>
      </c>
      <c r="E22" s="7" t="inlineStr">
        <is>
          <t>Μονάδα</t>
        </is>
      </c>
      <c r="F22" s="9" t="inlineStr">
        <is>
          <t>Σύνολο Έργου (όλοι οι πάσσαλοι)</t>
        </is>
      </c>
      <c r="G22" s="7" t="inlineStr">
        <is>
          <t>Μονάδα</t>
        </is>
      </c>
      <c r="H22" s="8" t="inlineStr">
        <is>
          <t>Μαθηματικός Τύπος &amp; Σημείωση</t>
        </is>
      </c>
      <c r="I22" s="65" t="n"/>
    </row>
    <row r="23">
      <c r="B23" s="35" t="inlineStr">
        <is>
          <t>1</t>
        </is>
      </c>
      <c r="C23" s="36" t="inlineStr">
        <is>
          <t>Τρέχοντα Μέτρα Τρυπήματος (Διάτρηση)</t>
        </is>
      </c>
      <c r="D23" s="37">
        <f>D41</f>
        <v/>
      </c>
      <c r="E23" s="35" t="inlineStr">
        <is>
          <t>m</t>
        </is>
      </c>
      <c r="F23" s="37">
        <f>D23*C19</f>
        <v/>
      </c>
      <c r="G23" s="35" t="inlineStr">
        <is>
          <t>m</t>
        </is>
      </c>
      <c r="H23" s="36" t="inlineStr">
        <is>
          <t>L_drill = L_pile + Δh = 4.00m ανά πάσσαλο (Σύνολο 32.00 m)</t>
        </is>
      </c>
      <c r="I23" s="66" t="n"/>
    </row>
    <row r="24">
      <c r="B24" s="35" t="inlineStr">
        <is>
          <t>2</t>
        </is>
      </c>
      <c r="C24" s="36" t="inlineStr">
        <is>
          <t>Όγκος Σκυροδέματος (Κουγκρί με 10% απώλεια)</t>
        </is>
      </c>
      <c r="D24" s="37">
        <f>D43</f>
        <v/>
      </c>
      <c r="E24" s="35" t="inlineStr">
        <is>
          <t>m³</t>
        </is>
      </c>
      <c r="F24" s="37">
        <f>D24*C19</f>
        <v/>
      </c>
      <c r="G24" s="35" t="inlineStr">
        <is>
          <t>m³</t>
        </is>
      </c>
      <c r="H24" s="36" t="inlineStr">
        <is>
          <t>V_conc = V_exc_conc × (1 + 10%) = 1.131 × 1.10 = 1.244 m³ ανά πάσσαλο</t>
        </is>
      </c>
      <c r="I24" s="66" t="n"/>
    </row>
    <row r="25">
      <c r="B25" s="35" t="inlineStr">
        <is>
          <t>3</t>
        </is>
      </c>
      <c r="C25" s="36" t="inlineStr">
        <is>
          <t>Συνολικό Βάρος Χάλυβα Οπλισμού (B500C)</t>
        </is>
      </c>
      <c r="D25" s="37">
        <f>D52</f>
        <v/>
      </c>
      <c r="E25" s="35" t="inlineStr">
        <is>
          <t>kg</t>
        </is>
      </c>
      <c r="F25" s="37">
        <f>D25*C19</f>
        <v/>
      </c>
      <c r="G25" s="35" t="inlineStr">
        <is>
          <t>kg</t>
        </is>
      </c>
      <c r="H25" s="36" t="inlineStr">
        <is>
          <t>W_steel = Κάθετες (147.97 kg) + Σούστα (23.53 kg) = 171.50 kg ανά πάσσαλο</t>
        </is>
      </c>
      <c r="I25" s="66" t="n"/>
    </row>
    <row r="26">
      <c r="B26" s="35" t="inlineStr">
        <is>
          <t>4</t>
        </is>
      </c>
      <c r="C26" s="36" t="inlineStr">
        <is>
          <t>Sleeves Προστασίας Starter Αναμονών</t>
        </is>
      </c>
      <c r="D26" s="39">
        <f>G17</f>
        <v/>
      </c>
      <c r="E26" s="35" t="inlineStr">
        <is>
          <t>τεμ.</t>
        </is>
      </c>
      <c r="F26" s="39">
        <f>D26*C19</f>
        <v/>
      </c>
      <c r="G26" s="35" t="inlineStr">
        <is>
          <t>τεμ.</t>
        </is>
      </c>
      <c r="H26" s="36" t="inlineStr">
        <is>
          <t>1 sleeve ανά κάθετη ράβδο πασσάλου όταν Δh &gt; 0 (Σύνολο 0 τεμ. προσωρινά)</t>
        </is>
      </c>
      <c r="I26" s="66" t="n"/>
    </row>
    <row r="27">
      <c r="B27" s="35" t="inlineStr">
        <is>
          <t>5</t>
        </is>
      </c>
      <c r="C27" s="36" t="inlineStr">
        <is>
          <t>Κεφαλοκοπή Πασσάλων / Pile Breaking</t>
        </is>
      </c>
      <c r="D27" s="39">
        <f>G18</f>
        <v/>
      </c>
      <c r="E27" s="35" t="inlineStr">
        <is>
          <t>τεμ.</t>
        </is>
      </c>
      <c r="F27" s="39">
        <f>D27*C19</f>
        <v/>
      </c>
      <c r="G27" s="35" t="inlineStr">
        <is>
          <t>τεμ.</t>
        </is>
      </c>
      <c r="H27" s="36" t="inlineStr">
        <is>
          <t>1 κεφαλοκοπή ανά πάσσαλο όταν Δh &gt; 0 (Σύνολο 0 τεμ. προσωρινά)</t>
        </is>
      </c>
      <c r="I27" s="66" t="n"/>
    </row>
    <row r="29">
      <c r="B29" s="6" t="inlineStr">
        <is>
          <t>3. ΣΤΑΘΕΡΕΣ ΤΕΧΝΙΚΕΣ ΠΑΡΑΔΟΧΕΣ &amp; ΚΑΝΟΝΕΣ (ΔΕΝ ΑΛΛΑΖΟΥΝ - ΔΕΝ ΠΕΡΙΛΑΜΒΑΝΟΝΤΑΙ ΣΤΑ ΔΕΔΟΜΕΝΑ ΣΧΕΔΙΟΥ)</t>
        </is>
      </c>
    </row>
    <row r="30">
      <c r="B30" s="7" t="inlineStr">
        <is>
          <t>A/A</t>
        </is>
      </c>
      <c r="C30" s="8" t="inlineStr">
        <is>
          <t>Σταθερά / Παραδοχή</t>
        </is>
      </c>
      <c r="D30" s="9" t="inlineStr">
        <is>
          <t>Τιμή</t>
        </is>
      </c>
      <c r="E30" s="7" t="inlineStr">
        <is>
          <t>Μονάδα</t>
        </is>
      </c>
      <c r="F30" s="8" t="inlineStr">
        <is>
          <t>Κανόνας &amp; Τεχνική Επεξήγηση</t>
        </is>
      </c>
      <c r="G30" s="64" t="n"/>
      <c r="H30" s="64" t="n"/>
      <c r="I30" s="65" t="n"/>
    </row>
    <row r="31">
      <c r="B31" s="10" t="inlineStr">
        <is>
          <t>1</t>
        </is>
      </c>
      <c r="C31" s="23" t="inlineStr">
        <is>
          <t>Συντελεστής Απώλειας Σκυροδέματος</t>
        </is>
      </c>
      <c r="D31" s="40" t="n">
        <v>0.1</v>
      </c>
      <c r="E31" s="10" t="inlineStr">
        <is>
          <t>%</t>
        </is>
      </c>
      <c r="F31" s="28" t="inlineStr">
        <is>
          <t>Πάγια υπερκατανάλωση κουγκριού 10% (loss factor) για πλήρωση κοιλοτήτων</t>
        </is>
      </c>
      <c r="G31" s="64" t="n"/>
      <c r="H31" s="64" t="n"/>
      <c r="I31" s="65" t="n"/>
    </row>
    <row r="32">
      <c r="B32" s="10" t="inlineStr">
        <is>
          <t>2</t>
        </is>
      </c>
      <c r="C32" s="23" t="inlineStr">
        <is>
          <t>Ειδικό Βάρος / Πυκνότητα Χάλυβα (ρ)</t>
        </is>
      </c>
      <c r="D32" s="41" t="n">
        <v>7850</v>
      </c>
      <c r="E32" s="10" t="inlineStr">
        <is>
          <t>kg/m³</t>
        </is>
      </c>
      <c r="F32" s="28" t="inlineStr">
        <is>
          <t>Φυσική πυκνότητα δομικού χάλυβα B500C για υπολογισμό βαρών</t>
        </is>
      </c>
      <c r="G32" s="64" t="n"/>
      <c r="H32" s="64" t="n"/>
      <c r="I32" s="65" t="n"/>
    </row>
    <row r="33">
      <c r="B33" s="10" t="inlineStr">
        <is>
          <t>3</t>
        </is>
      </c>
      <c r="C33" s="23" t="inlineStr">
        <is>
          <t>Μέγιστο Εμπορικό Μήκος Βέργας</t>
        </is>
      </c>
      <c r="D33" s="42" t="n">
        <v>12</v>
      </c>
      <c r="E33" s="10" t="inlineStr">
        <is>
          <t>m</t>
        </is>
      </c>
      <c r="F33" s="28" t="inlineStr">
        <is>
          <t>Βέργες εμπορίου 12 μέτρων (όριο για απαίτηση μάτισης ράβδων)</t>
        </is>
      </c>
      <c r="G33" s="64" t="n"/>
      <c r="H33" s="64" t="n"/>
      <c r="I33" s="65" t="n"/>
    </row>
    <row r="34">
      <c r="B34" s="10" t="inlineStr">
        <is>
          <t>4</t>
        </is>
      </c>
      <c r="C34" s="23" t="inlineStr">
        <is>
          <t>Συντελεστής Μήκους Μάτισης (Lapping)</t>
        </is>
      </c>
      <c r="D34" s="41" t="n">
        <v>50</v>
      </c>
      <c r="E34" s="10" t="inlineStr">
        <is>
          <t>× Φ</t>
        </is>
      </c>
      <c r="F34" s="28" t="inlineStr">
        <is>
          <t>Κανόνας επικάλυψης 50 φορές τη διάμετρο της ράβδου (50Φ)</t>
        </is>
      </c>
      <c r="G34" s="64" t="n"/>
      <c r="H34" s="64" t="n"/>
      <c r="I34" s="65" t="n"/>
    </row>
    <row r="35">
      <c r="B35" s="10" t="inlineStr">
        <is>
          <t>5</t>
        </is>
      </c>
      <c r="C35" s="23" t="inlineStr">
        <is>
          <t>Μέγιστο Ύψος Υπερκάλυψης Σκυροδέματος (+2m)</t>
        </is>
      </c>
      <c r="D35" s="42" t="n">
        <v>2</v>
      </c>
      <c r="E35" s="10" t="inlineStr">
        <is>
          <t>m</t>
        </is>
      </c>
      <c r="F35" s="28" t="inlineStr">
        <is>
          <t>Κανόνας καθαρού σκυροδέματος: έως +2.0m πάνω από το cut-off αν υπάρχει διαφορά</t>
        </is>
      </c>
      <c r="G35" s="64" t="n"/>
      <c r="H35" s="64" t="n"/>
      <c r="I35" s="65" t="n"/>
    </row>
    <row r="36">
      <c r="B36" s="10" t="inlineStr">
        <is>
          <t>6</t>
        </is>
      </c>
      <c r="C36" s="23" t="inlineStr">
        <is>
          <t>Μαθηματική Σταθερά π</t>
        </is>
      </c>
      <c r="D36" s="43">
        <f>PI()</f>
        <v/>
      </c>
      <c r="E36" s="10" t="inlineStr">
        <is>
          <t>-</t>
        </is>
      </c>
      <c r="F36" s="28" t="inlineStr">
        <is>
          <t>Ακριβής σταθερά κύκλου (3.14159...) για εμβαδά και περιμέτρους</t>
        </is>
      </c>
      <c r="G36" s="64" t="n"/>
      <c r="H36" s="64" t="n"/>
      <c r="I36" s="65" t="n"/>
    </row>
    <row r="39">
      <c r="B39" s="6" t="inlineStr">
        <is>
          <t>4. ΑΝΑΛΥΤΙΚΑ ΜΑΘΗΜΑΤΙΚΑ &amp; ΒΗΜΑ-ΒΗΜΑ ΥΠΟΛΟΓΙΣΜΟΙ (ΜΕ ΤΟΥΣ ΤΥΠΟΥΣ ΩΣ ΣΗΜΕΙΩΣΕΙΣ)</t>
        </is>
      </c>
    </row>
    <row r="40">
      <c r="B40" s="7" t="inlineStr">
        <is>
          <t>A/A</t>
        </is>
      </c>
      <c r="C40" s="8" t="inlineStr">
        <is>
          <t>Μέγεθος / Υπολογισμός</t>
        </is>
      </c>
      <c r="D40" s="9" t="inlineStr">
        <is>
          <t>Ποσότητα ανά Πάσσαλο</t>
        </is>
      </c>
      <c r="E40" s="7" t="inlineStr">
        <is>
          <t>Μονάδα</t>
        </is>
      </c>
      <c r="F40" s="9" t="inlineStr">
        <is>
          <t>Σύνολο Έργου (8 Πάσσαλοι)</t>
        </is>
      </c>
      <c r="G40" s="7" t="inlineStr">
        <is>
          <t>Μονάδα</t>
        </is>
      </c>
      <c r="H40" s="8" t="inlineStr">
        <is>
          <t>Μαθηματικός Τύπος &amp; Αναλυτικές Σημειώσεις</t>
        </is>
      </c>
      <c r="I40" s="65" t="n"/>
    </row>
    <row r="41">
      <c r="B41" s="44" t="inlineStr">
        <is>
          <t>1</t>
        </is>
      </c>
      <c r="C41" s="45" t="inlineStr">
        <is>
          <t>Τρύπημα / Διάτρηση Πασσάλου (L_drill)</t>
        </is>
      </c>
      <c r="D41" s="46">
        <f>C18</f>
        <v/>
      </c>
      <c r="E41" s="44" t="inlineStr">
        <is>
          <t>m</t>
        </is>
      </c>
      <c r="F41" s="46">
        <f>D41*C19</f>
        <v/>
      </c>
      <c r="G41" s="44" t="inlineStr">
        <is>
          <t>m</t>
        </is>
      </c>
      <c r="H41" s="47" t="inlineStr">
        <is>
          <t>L_drill = L_pile(4.00m) + Δh(0.00m) = 4.00 m ανά πάσσαλο</t>
        </is>
      </c>
      <c r="I41" s="65" t="n"/>
    </row>
    <row r="42">
      <c r="B42" s="49" t="inlineStr">
        <is>
          <t>2</t>
        </is>
      </c>
      <c r="C42" s="11" t="inlineStr">
        <is>
          <t>Γεωμετρικός Όγκος Εκσκαφής / Τρυπήματος</t>
        </is>
      </c>
      <c r="D42" s="50">
        <f>PI()*(C12/1000)^2/4 * C18</f>
        <v/>
      </c>
      <c r="E42" s="49" t="inlineStr">
        <is>
          <t>m³</t>
        </is>
      </c>
      <c r="F42" s="50">
        <f>D42*C19</f>
        <v/>
      </c>
      <c r="G42" s="49" t="inlineStr">
        <is>
          <t>m³</t>
        </is>
      </c>
      <c r="H42" s="51" t="inlineStr">
        <is>
          <t>V_exc = (π × D² / 4) × L_drill = π × 0.60² / 4 × 4.00 m = 1.131 m³</t>
        </is>
      </c>
      <c r="I42" s="65" t="n"/>
    </row>
    <row r="43">
      <c r="B43" s="52" t="inlineStr">
        <is>
          <t>3</t>
        </is>
      </c>
      <c r="C43" s="53" t="inlineStr">
        <is>
          <t>Όγκος Σκυροδέματος (Κουγκρί με 10% απώλεια)</t>
        </is>
      </c>
      <c r="D43" s="54">
        <f>PI()*(C12/1000)^2/4 * (C13+C17) * (1+D31)</f>
        <v/>
      </c>
      <c r="E43" s="52" t="inlineStr">
        <is>
          <t>m³</t>
        </is>
      </c>
      <c r="F43" s="54">
        <f>D43*C19</f>
        <v/>
      </c>
      <c r="G43" s="52" t="inlineStr">
        <is>
          <t>m³</t>
        </is>
      </c>
      <c r="H43" s="53" t="inlineStr">
        <is>
          <t>V_conc = (π × D² / 4) × (L_pile + h_overc) × 1.10 = 1.131 × 1.10 = 1.244 m³</t>
        </is>
      </c>
      <c r="I43" s="65" t="n"/>
    </row>
    <row r="44">
      <c r="B44" s="49" t="inlineStr">
        <is>
          <t>4</t>
        </is>
      </c>
      <c r="C44" s="11" t="inlineStr">
        <is>
          <t>Διάμετρος Κλωβού Οπλισμού (Dcage)</t>
        </is>
      </c>
      <c r="D44" s="56">
        <f>(C12-2*G12)/1000</f>
        <v/>
      </c>
      <c r="E44" s="49" t="inlineStr">
        <is>
          <t>m</t>
        </is>
      </c>
      <c r="F44" s="56">
        <f>(D44*1000)</f>
        <v/>
      </c>
      <c r="G44" s="49" t="inlineStr">
        <is>
          <t>mm</t>
        </is>
      </c>
      <c r="H44" s="51" t="inlineStr">
        <is>
          <t>Dcage = D - 2×Cover = 0.60m - 2×0.075m = 0.450 m (450 mm)</t>
        </is>
      </c>
      <c r="I44" s="65" t="n"/>
    </row>
    <row r="45">
      <c r="B45" s="44" t="inlineStr">
        <is>
          <t>5</t>
        </is>
      </c>
      <c r="C45" s="45" t="inlineStr">
        <is>
          <t>Περίμετρος Σπείρας Κλωβού (Πcage)</t>
        </is>
      </c>
      <c r="D45" s="57">
        <f>PI()*D44</f>
        <v/>
      </c>
      <c r="E45" s="44" t="inlineStr">
        <is>
          <t>m</t>
        </is>
      </c>
      <c r="F45" s="58" t="inlineStr">
        <is>
          <t>-</t>
        </is>
      </c>
      <c r="G45" s="44" t="inlineStr">
        <is>
          <t>-</t>
        </is>
      </c>
      <c r="H45" s="47" t="inlineStr">
        <is>
          <t>Πcage = π × Dcage = π × 0.450 m = 1.414 m</t>
        </is>
      </c>
      <c r="I45" s="65" t="n"/>
    </row>
    <row r="46">
      <c r="B46" s="49" t="inlineStr">
        <is>
          <t>6</t>
        </is>
      </c>
      <c r="C46" s="11" t="inlineStr">
        <is>
          <t>Ανεπτυγμένο Μήκος Κάθετης Ράβδου (L_bar)</t>
        </is>
      </c>
      <c r="D46" s="42">
        <f>C13+G9+G10+G11+(G15*G16)</f>
        <v/>
      </c>
      <c r="E46" s="49" t="inlineStr">
        <is>
          <t>m</t>
        </is>
      </c>
      <c r="F46" s="59" t="inlineStr">
        <is>
          <t>-</t>
        </is>
      </c>
      <c r="G46" s="49" t="inlineStr">
        <is>
          <t>-</t>
        </is>
      </c>
      <c r="H46" s="51" t="inlineStr">
        <is>
          <t>L_bar = L(4m) + Starter(0.5m) + Γωνία_πάνω(0.5m) + Γωνία_πυθμ(0m) + Lapping(0m) = 5.00 m</t>
        </is>
      </c>
      <c r="I46" s="65" t="n"/>
    </row>
    <row r="47">
      <c r="B47" s="44" t="inlineStr">
        <is>
          <t>7</t>
        </is>
      </c>
      <c r="C47" s="45" t="inlineStr">
        <is>
          <t>Μοναδιαίο Βάρος Κάθετων Ράβδων (Y20)</t>
        </is>
      </c>
      <c r="D47" s="57">
        <f>PI()*(G8/1000)^2/4 * D32</f>
        <v/>
      </c>
      <c r="E47" s="44" t="inlineStr">
        <is>
          <t>kg/m</t>
        </is>
      </c>
      <c r="F47" s="58" t="inlineStr">
        <is>
          <t>-</t>
        </is>
      </c>
      <c r="G47" s="44" t="inlineStr">
        <is>
          <t>-</t>
        </is>
      </c>
      <c r="H47" s="47" t="inlineStr">
        <is>
          <t>w_vert = (π × 0.020² / 4) × 7850 = 2.466 kg/m</t>
        </is>
      </c>
      <c r="I47" s="65" t="n"/>
    </row>
    <row r="48">
      <c r="B48" s="49" t="inlineStr">
        <is>
          <t>8</t>
        </is>
      </c>
      <c r="C48" s="11" t="inlineStr">
        <is>
          <t>Βάρος Κάθετου Οπλισμού (12Y20)</t>
        </is>
      </c>
      <c r="D48" s="50">
        <f>G7*D46*D47</f>
        <v/>
      </c>
      <c r="E48" s="49" t="inlineStr">
        <is>
          <t>kg</t>
        </is>
      </c>
      <c r="F48" s="50">
        <f>D48*C19</f>
        <v/>
      </c>
      <c r="G48" s="49" t="inlineStr">
        <is>
          <t>kg</t>
        </is>
      </c>
      <c r="H48" s="51" t="inlineStr">
        <is>
          <t>W_vert = N_vert(12) × L_bar(5.00m) × w_vert(2.466 kg/m) = 147.97 kg</t>
        </is>
      </c>
      <c r="I48" s="65" t="n"/>
    </row>
    <row r="49">
      <c r="B49" s="44" t="inlineStr">
        <is>
          <t>9</t>
        </is>
      </c>
      <c r="C49" s="45" t="inlineStr">
        <is>
          <t>Αριθμός Σπειρών Σούστας (Y10/150)</t>
        </is>
      </c>
      <c r="D49" s="60">
        <f>ROUNDUP(C13/(G14/1000),0)</f>
        <v/>
      </c>
      <c r="E49" s="44" t="inlineStr">
        <is>
          <t>σπείρες</t>
        </is>
      </c>
      <c r="F49" s="60">
        <f>D49*C19</f>
        <v/>
      </c>
      <c r="G49" s="44" t="inlineStr">
        <is>
          <t>σπείρες</t>
        </is>
      </c>
      <c r="H49" s="47" t="inlineStr">
        <is>
          <t>N_turns = ROUNDUP(L_pile / pitch, 0) = ROUNDUP(4.00m / 0.15m, 0) = 27 σπείρες</t>
        </is>
      </c>
      <c r="I49" s="65" t="n"/>
    </row>
    <row r="50">
      <c r="B50" s="49" t="inlineStr">
        <is>
          <t>10</t>
        </is>
      </c>
      <c r="C50" s="11" t="inlineStr">
        <is>
          <t>Μοναδιαίο Βάρος Σούστας (Y10)</t>
        </is>
      </c>
      <c r="D50" s="56">
        <f>PI()*(G13/1000)^2/4 * D32</f>
        <v/>
      </c>
      <c r="E50" s="49" t="inlineStr">
        <is>
          <t>kg/m</t>
        </is>
      </c>
      <c r="F50" s="59" t="inlineStr">
        <is>
          <t>-</t>
        </is>
      </c>
      <c r="G50" s="49" t="inlineStr">
        <is>
          <t>-</t>
        </is>
      </c>
      <c r="H50" s="51" t="inlineStr">
        <is>
          <t>w_spiral = (π × 0.010² / 4) × 7850 = 0.617 kg/m</t>
        </is>
      </c>
      <c r="I50" s="65" t="n"/>
    </row>
    <row r="51">
      <c r="B51" s="44" t="inlineStr">
        <is>
          <t>11</t>
        </is>
      </c>
      <c r="C51" s="45" t="inlineStr">
        <is>
          <t>Βάρος Σιδήρου Σούστας (Y10/150)</t>
        </is>
      </c>
      <c r="D51" s="46">
        <f>D49*D45*D50</f>
        <v/>
      </c>
      <c r="E51" s="44" t="inlineStr">
        <is>
          <t>kg</t>
        </is>
      </c>
      <c r="F51" s="46">
        <f>D51*C19</f>
        <v/>
      </c>
      <c r="G51" s="44" t="inlineStr">
        <is>
          <t>kg</t>
        </is>
      </c>
      <c r="H51" s="47" t="inlineStr">
        <is>
          <t>W_spiral = 27 σπείρες × 1.414 m × 0.617 kg/m = 23.53 kg</t>
        </is>
      </c>
      <c r="I51" s="65" t="n"/>
    </row>
    <row r="52">
      <c r="B52" s="52" t="inlineStr">
        <is>
          <t>12</t>
        </is>
      </c>
      <c r="C52" s="53" t="inlineStr">
        <is>
          <t>ΣΥΝΟΛΙΚΟ ΒΑΡΟΣ ΧΑΛΥΒΑ (TOTAL STEEL)</t>
        </is>
      </c>
      <c r="D52" s="54">
        <f>D48+D51</f>
        <v/>
      </c>
      <c r="E52" s="52" t="inlineStr">
        <is>
          <t>kg</t>
        </is>
      </c>
      <c r="F52" s="54">
        <f>D52*C19</f>
        <v/>
      </c>
      <c r="G52" s="52" t="inlineStr">
        <is>
          <t>kg</t>
        </is>
      </c>
      <c r="H52" s="53" t="inlineStr">
        <is>
          <t>W_total = Κάθετες (147.97 kg) + Σούστα (23.53 kg) = 171.50 kg (1.372 tn σύνολο)</t>
        </is>
      </c>
      <c r="I52" s="65" t="n"/>
    </row>
    <row r="53">
      <c r="B53" s="44" t="inlineStr">
        <is>
          <t>13</t>
        </is>
      </c>
      <c r="C53" s="45" t="inlineStr">
        <is>
          <t>Αναλογία Οπλισμού ανά m³ Σκυροδέματος</t>
        </is>
      </c>
      <c r="D53" s="61">
        <f>D52/D43</f>
        <v/>
      </c>
      <c r="E53" s="44" t="inlineStr">
        <is>
          <t>kg/m³</t>
        </is>
      </c>
      <c r="F53" s="61">
        <f>F52/F43</f>
        <v/>
      </c>
      <c r="G53" s="44" t="inlineStr">
        <is>
          <t>kg/m³</t>
        </is>
      </c>
      <c r="H53" s="47" t="inlineStr">
        <is>
          <t>Δείκτης = Συνολικός Χάλυβας / Σκυρόδεμα = 171.50 kg / 1.244 m³ = 137.9 kg/m³</t>
        </is>
      </c>
      <c r="I53" s="65" t="n"/>
    </row>
    <row r="54">
      <c r="B54" s="49" t="inlineStr">
        <is>
          <t>14</t>
        </is>
      </c>
      <c r="C54" s="11" t="inlineStr">
        <is>
          <t>Sleeves Προστασίας Starter Αναμονών</t>
        </is>
      </c>
      <c r="D54" s="41">
        <f>G17</f>
        <v/>
      </c>
      <c r="E54" s="49" t="inlineStr">
        <is>
          <t>τεμ.</t>
        </is>
      </c>
      <c r="F54" s="41">
        <f>D54*C19</f>
        <v/>
      </c>
      <c r="G54" s="49" t="inlineStr">
        <is>
          <t>τεμ.</t>
        </is>
      </c>
      <c r="H54" s="51" t="inlineStr">
        <is>
          <t>1 sleeve ανά ράβδο πασσάλου (αν Δh &gt; 0, προστασία starter από σκυρόδεμα)</t>
        </is>
      </c>
      <c r="I54" s="65" t="n"/>
    </row>
    <row r="55">
      <c r="B55" s="44" t="inlineStr">
        <is>
          <t>15</t>
        </is>
      </c>
      <c r="C55" s="45" t="inlineStr">
        <is>
          <t>Κεφαλοκοπή Πασσάλων (Pile Breaking)</t>
        </is>
      </c>
      <c r="D55" s="60">
        <f>G18</f>
        <v/>
      </c>
      <c r="E55" s="44" t="inlineStr">
        <is>
          <t>τεμ.</t>
        </is>
      </c>
      <c r="F55" s="60">
        <f>D55*C19</f>
        <v/>
      </c>
      <c r="G55" s="44" t="inlineStr">
        <is>
          <t>τεμ.</t>
        </is>
      </c>
      <c r="H55" s="47" t="inlineStr">
        <is>
          <t>1 σπάσιμο κεφαλής ανά πάσσαλο (αν Δh &gt; 0, αφαίρεση overconcreting)</t>
        </is>
      </c>
      <c r="I55" s="65" t="n"/>
    </row>
  </sheetData>
  <mergeCells count="39">
    <mergeCell ref="B11:D11"/>
    <mergeCell ref="H53:I53"/>
    <mergeCell ref="F31:I31"/>
    <mergeCell ref="B8:D8"/>
    <mergeCell ref="H43:I43"/>
    <mergeCell ref="H54:I54"/>
    <mergeCell ref="B3:I3"/>
    <mergeCell ref="H41:I41"/>
    <mergeCell ref="H55:I55"/>
    <mergeCell ref="H50:I50"/>
    <mergeCell ref="H44:I44"/>
    <mergeCell ref="H40:I40"/>
    <mergeCell ref="H25:I25"/>
    <mergeCell ref="B21:I21"/>
    <mergeCell ref="B39:I39"/>
    <mergeCell ref="H46:I46"/>
    <mergeCell ref="B2:I2"/>
    <mergeCell ref="H49:I49"/>
    <mergeCell ref="H51:I51"/>
    <mergeCell ref="F34:I34"/>
    <mergeCell ref="B6:D6"/>
    <mergeCell ref="H52:I52"/>
    <mergeCell ref="F6:I6"/>
    <mergeCell ref="B29:I29"/>
    <mergeCell ref="H45:I45"/>
    <mergeCell ref="F30:I30"/>
    <mergeCell ref="H22:I22"/>
    <mergeCell ref="H47:I47"/>
    <mergeCell ref="F33:I33"/>
    <mergeCell ref="H27:I27"/>
    <mergeCell ref="F36:I36"/>
    <mergeCell ref="F32:I32"/>
    <mergeCell ref="F35:I35"/>
    <mergeCell ref="H48:I48"/>
    <mergeCell ref="H24:I24"/>
    <mergeCell ref="H42:I42"/>
    <mergeCell ref="B5:I5"/>
    <mergeCell ref="H23:I23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2026-10-14T10:23:54Z</dcterms:created>
  <dcterms:modified xmlns:dcterms="http://purl.org/dc/terms/" xmlns:xsi="http://www.w3.org/2001/XMLSchema-instance" xsi:type="dcterms:W3CDTF">2026-10-14T10:54:15Z</dcterms:modified>
</cp:coreProperties>
</file>