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131D0ABE-ADC5-452D-A177-70AF71897DA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Υπολογισμοί'!$G$62</definedName>
    <definedName name="N_b2_breaking_price">'Τεχνικοί Υπολογισμοί'!$E$62</definedName>
    <definedName name="N_b2_breaking_qty">'Τεχνικοί Υπολογισμοί'!$D$62</definedName>
    <definedName name="N_b2_breaking_total">'Τεχνικοί Υπολογισμοί'!$F$62</definedName>
    <definedName name="N_b2_conc_note">'Τεχνικοί Υπολογισμοί'!$G$56</definedName>
    <definedName name="N_b2_conc_price">'Τεχνικοί Υπολογισμοί'!$E$56</definedName>
    <definedName name="N_b2_conc_qty">'Τεχνικοί Υπολογισμοί'!$D$56</definedName>
    <definedName name="N_b2_conc_total">'Τεχνικοί Υπολογισμοί'!$F$56</definedName>
    <definedName name="N_b2_drill_800_note">'Τεχνικοί Υπολογισμοί'!$G$55</definedName>
    <definedName name="N_b2_drill_800_price">'Τεχνικοί Υπολογισμοί'!$E$55</definedName>
    <definedName name="N_b2_drill_800_qty">'Τεχνικοί Υπολογισμοί'!$D$55</definedName>
    <definedName name="N_b2_drill_800_total">'Τεχνικοί Υπολογισμοί'!$F$55</definedName>
    <definedName name="N_b2_grand_total">'Τεχνικοί Υπολογισμοί'!$F$64</definedName>
    <definedName name="N_b2_grand_total_note">'Τεχνικοί Υπολογισμοί'!$G$64</definedName>
    <definedName name="N_b2_mob_note">'Τεχνικοί Υπολογισμοί'!$G$54</definedName>
    <definedName name="N_b2_mob_price">'Τεχνικοί Υπολογισμοί'!$E$54</definedName>
    <definedName name="N_b2_mob_qty">'Τεχνικοί Υπολογισμοί'!$D$54</definedName>
    <definedName name="N_b2_mob_total">'Τεχνικοί Υπολογισμοί'!$F$54</definedName>
    <definedName name="N_b2_sleeve_note">'Τεχνικοί Υπολογισμοί'!$G$61</definedName>
    <definedName name="N_b2_sleeve_price">'Τεχνικοί Υπολογισμοί'!$E$61</definedName>
    <definedName name="N_b2_sleeve_qty">'Τεχνικοί Υπολογισμοί'!$D$61</definedName>
    <definedName name="N_b2_sleeve_total">'Τεχνικοί Υπολογισμοί'!$F$61</definedName>
    <definedName name="N_b2_soil_note">'Τεχνικοί Υπολογισμοί'!$G$63</definedName>
    <definedName name="N_b2_soil_price">'Τεχνικοί Υπολογισμοί'!$E$63</definedName>
    <definedName name="N_b2_soil_qty">'Τεχνικοί Υπολογισμοί'!$D$63</definedName>
    <definedName name="N_b2_soil_total">'Τεχνικοί Υπολογισμοί'!$F$63</definedName>
    <definedName name="N_b2_steel_head_note">'Τεχνικοί Υπολογισμοί'!$G$59</definedName>
    <definedName name="N_b2_steel_head_price">'Τεχνικοί Υπολογισμοί'!$E$59</definedName>
    <definedName name="N_b2_steel_head_qty">'Τεχνικοί Υπολογισμοί'!$D$59</definedName>
    <definedName name="N_b2_steel_head_total">'Τεχνικοί Υπολογισμοί'!$F$59</definedName>
    <definedName name="N_b2_steel_note">'Τεχνικοί Υπολογισμοί'!$G$60</definedName>
    <definedName name="N_b2_steel_price">'Τεχνικοί Υπολογισμοί'!$E$60</definedName>
    <definedName name="N_b2_steel_qty">'Τεχνικοί Υπολογισμοί'!$D$60</definedName>
    <definedName name="N_b2_steel_spiral_note">'Τεχνικοί Υπολογισμοί'!$G$58</definedName>
    <definedName name="N_b2_steel_spiral_price">'Τεχνικοί Υπολογισμοί'!$E$58</definedName>
    <definedName name="N_b2_steel_spiral_qty">'Τεχνικοί Υπολογισμοί'!$D$58</definedName>
    <definedName name="N_b2_steel_spiral_total">'Τεχνικοί Υπολογισμοί'!$F$58</definedName>
    <definedName name="N_b2_steel_total">'Τεχνικοί Υπολογισμοί'!$F$60</definedName>
    <definedName name="N_b2_steel_vert_note">'Τεχνικοί Υπολογισμοί'!$G$57</definedName>
    <definedName name="N_b2_steel_vert_price">'Τεχνικοί Υπολογισμοί'!$E$57</definedName>
    <definedName name="N_b2_steel_vert_qty">'Τεχνικοί Υπολογισμοί'!$D$57</definedName>
    <definedName name="N_b2_steel_vert_total">'Τεχνικοί Υπολογισμοί'!$F$57</definedName>
    <definedName name="N_b2g_grand_total">'Τεχνικοί Υπολογισμοί'!$F$95</definedName>
    <definedName name="N_b2g_grand_total_note">'Τεχνικοί Υπολογισμοί'!$G$95</definedName>
    <definedName name="N_b2g0_breaking_note">'Τεχνικοί Υπολογισμοί'!$G$77</definedName>
    <definedName name="N_b2g0_breaking_price">'Τεχνικοί Υπολογισμοί'!$E$77</definedName>
    <definedName name="N_b2g0_breaking_qty">'Τεχνικοί Υπολογισμοί'!$D$77</definedName>
    <definedName name="N_b2g0_breaking_total">'Τεχνικοί Υπολογισμοί'!$F$77</definedName>
    <definedName name="N_b2g0_conc_note">'Τεχνικοί Υπολογισμοί'!$G$71</definedName>
    <definedName name="N_b2g0_conc_price">'Τεχνικοί Υπολογισμοί'!$E$71</definedName>
    <definedName name="N_b2g0_conc_qty">'Τεχνικοί Υπολογισμοί'!$D$71</definedName>
    <definedName name="N_b2g0_conc_total">'Τεχνικοί Υπολογισμοί'!$F$71</definedName>
    <definedName name="N_b2g0_drill_note">'Τεχνικοί Υπολογισμοί'!$G$70</definedName>
    <definedName name="N_b2g0_drill_price">'Τεχνικοί Υπολογισμοί'!$E$70</definedName>
    <definedName name="N_b2g0_drill_qty">'Τεχνικοί Υπολογισμοί'!$D$70</definedName>
    <definedName name="N_b2g0_drill_total">'Τεχνικοί Υπολογισμοί'!$F$70</definedName>
    <definedName name="N_b2g0_group_total">'Τεχνικοί Υπολογισμοί'!$F$80</definedName>
    <definedName name="N_b2g0_group_total_note">'Τεχνικοί Υπολογισμοί'!$G$80</definedName>
    <definedName name="N_b2g0_mob_note">'Τεχνικοί Υπολογισμοί'!$G$69</definedName>
    <definedName name="N_b2g0_mob_price">'Τεχνικοί Υπολογισμοί'!$E$69</definedName>
    <definedName name="N_b2g0_mob_qty">'Τεχνικοί Υπολογισμοί'!$D$69</definedName>
    <definedName name="N_b2g0_mob_total">'Τεχνικοί Υπολογισμοί'!$F$69</definedName>
    <definedName name="N_b2g0_pile_total">'Τεχνικοί Υπολογισμοί'!$F$79</definedName>
    <definedName name="N_b2g0_pile_total_note">'Τεχνικοί Υπολογισμοί'!$G$79</definedName>
    <definedName name="N_b2g0_sleeve_note">'Τεχνικοί Υπολογισμοί'!$G$76</definedName>
    <definedName name="N_b2g0_sleeve_price">'Τεχνικοί Υπολογισμοί'!$E$76</definedName>
    <definedName name="N_b2g0_sleeve_qty">'Τεχνικοί Υπολογισμοί'!$D$76</definedName>
    <definedName name="N_b2g0_sleeve_total">'Τεχνικοί Υπολογισμοί'!$F$76</definedName>
    <definedName name="N_b2g0_soil_note">'Τεχνικοί Υπολογισμοί'!$G$78</definedName>
    <definedName name="N_b2g0_soil_price">'Τεχνικοί Υπολογισμοί'!$E$78</definedName>
    <definedName name="N_b2g0_soil_qty">'Τεχνικοί Υπολογισμοί'!$D$78</definedName>
    <definedName name="N_b2g0_soil_total">'Τεχνικοί Υπολογισμοί'!$F$78</definedName>
    <definedName name="N_b2g0_steel_head_note">'Τεχνικοί Υπολογισμοί'!$G$74</definedName>
    <definedName name="N_b2g0_steel_head_price">'Τεχνικοί Υπολογισμοί'!$E$74</definedName>
    <definedName name="N_b2g0_steel_head_qty">'Τεχνικοί Υπολογισμοί'!$D$74</definedName>
    <definedName name="N_b2g0_steel_head_total">'Τεχνικοί Υπολογισμοί'!$F$74</definedName>
    <definedName name="N_b2g0_steel_note">'Τεχνικοί Υπολογισμοί'!$G$75</definedName>
    <definedName name="N_b2g0_steel_price">'Τεχνικοί Υπολογισμοί'!$E$75</definedName>
    <definedName name="N_b2g0_steel_qty">'Τεχνικοί Υπολογισμοί'!$D$75</definedName>
    <definedName name="N_b2g0_steel_spiral_note">'Τεχνικοί Υπολογισμοί'!$G$73</definedName>
    <definedName name="N_b2g0_steel_spiral_price">'Τεχνικοί Υπολογισμοί'!$E$73</definedName>
    <definedName name="N_b2g0_steel_spiral_qty">'Τεχνικοί Υπολογισμοί'!$D$73</definedName>
    <definedName name="N_b2g0_steel_spiral_total">'Τεχνικοί Υπολογισμοί'!$F$73</definedName>
    <definedName name="N_b2g0_steel_total">'Τεχνικοί Υπολογισμοί'!$F$75</definedName>
    <definedName name="N_b2g0_steel_vert_note">'Τεχνικοί Υπολογισμοί'!$G$72</definedName>
    <definedName name="N_b2g0_steel_vert_price">'Τεχνικοί Υπολογισμοί'!$E$72</definedName>
    <definedName name="N_b2g0_steel_vert_qty">'Τεχνικοί Υπολογισμοί'!$D$72</definedName>
    <definedName name="N_b2g0_steel_vert_total">'Τεχνικοί Υπολογισμοί'!$F$72</definedName>
    <definedName name="N_b2g1_breaking_note">'Τεχνικοί Υπολογισμοί'!$G$91</definedName>
    <definedName name="N_b2g1_breaking_price">'Τεχνικοί Υπολογισμοί'!$E$91</definedName>
    <definedName name="N_b2g1_breaking_qty">'Τεχνικοί Υπολογισμοί'!$D$91</definedName>
    <definedName name="N_b2g1_breaking_total">'Τεχνικοί Υπολογισμοί'!$F$91</definedName>
    <definedName name="N_b2g1_conc_note">'Τεχνικοί Υπολογισμοί'!$G$85</definedName>
    <definedName name="N_b2g1_conc_price">'Τεχνικοί Υπολογισμοί'!$E$85</definedName>
    <definedName name="N_b2g1_conc_qty">'Τεχνικοί Υπολογισμοί'!$D$85</definedName>
    <definedName name="N_b2g1_conc_total">'Τεχνικοί Υπολογισμοί'!$F$85</definedName>
    <definedName name="N_b2g1_drill_note">'Τεχνικοί Υπολογισμοί'!$G$84</definedName>
    <definedName name="N_b2g1_drill_price">'Τεχνικοί Υπολογισμοί'!$E$84</definedName>
    <definedName name="N_b2g1_drill_qty">'Τεχνικοί Υπολογισμοί'!$D$84</definedName>
    <definedName name="N_b2g1_drill_total">'Τεχνικοί Υπολογισμοί'!$F$84</definedName>
    <definedName name="N_b2g1_group_total">'Τεχνικοί Υπολογισμοί'!$F$94</definedName>
    <definedName name="N_b2g1_group_total_note">'Τεχνικοί Υπολογισμοί'!$G$94</definedName>
    <definedName name="N_b2g1_mob_note">'Τεχνικοί Υπολογισμοί'!$G$83</definedName>
    <definedName name="N_b2g1_mob_price">'Τεχνικοί Υπολογισμοί'!$E$83</definedName>
    <definedName name="N_b2g1_mob_qty">'Τεχνικοί Υπολογισμοί'!$D$83</definedName>
    <definedName name="N_b2g1_mob_total">'Τεχνικοί Υπολογισμοί'!$F$83</definedName>
    <definedName name="N_b2g1_pile_total">'Τεχνικοί Υπολογισμοί'!$F$93</definedName>
    <definedName name="N_b2g1_pile_total_note">'Τεχνικοί Υπολογισμοί'!$G$93</definedName>
    <definedName name="N_b2g1_sleeve_note">'Τεχνικοί Υπολογισμοί'!$G$90</definedName>
    <definedName name="N_b2g1_sleeve_price">'Τεχνικοί Υπολογισμοί'!$E$90</definedName>
    <definedName name="N_b2g1_sleeve_qty">'Τεχνικοί Υπολογισμοί'!$D$90</definedName>
    <definedName name="N_b2g1_sleeve_total">'Τεχνικοί Υπολογισμοί'!$F$90</definedName>
    <definedName name="N_b2g1_soil_note">'Τεχνικοί Υπολογισμοί'!$G$92</definedName>
    <definedName name="N_b2g1_soil_price">'Τεχνικοί Υπολογισμοί'!$E$92</definedName>
    <definedName name="N_b2g1_soil_qty">'Τεχνικοί Υπολογισμοί'!$D$92</definedName>
    <definedName name="N_b2g1_soil_total">'Τεχνικοί Υπολογισμοί'!$F$92</definedName>
    <definedName name="N_b2g1_steel_head_note">'Τεχνικοί Υπολογισμοί'!$G$88</definedName>
    <definedName name="N_b2g1_steel_head_price">'Τεχνικοί Υπολογισμοί'!$E$88</definedName>
    <definedName name="N_b2g1_steel_head_qty">'Τεχνικοί Υπολογισμοί'!$D$88</definedName>
    <definedName name="N_b2g1_steel_head_total">'Τεχνικοί Υπολογισμοί'!$F$88</definedName>
    <definedName name="N_b2g1_steel_note">'Τεχνικοί Υπολογισμοί'!$G$89</definedName>
    <definedName name="N_b2g1_steel_price">'Τεχνικοί Υπολογισμοί'!$E$89</definedName>
    <definedName name="N_b2g1_steel_qty">'Τεχνικοί Υπολογισμοί'!$D$89</definedName>
    <definedName name="N_b2g1_steel_spiral_note">'Τεχνικοί Υπολογισμοί'!$G$87</definedName>
    <definedName name="N_b2g1_steel_spiral_price">'Τεχνικοί Υπολογισμοί'!$E$87</definedName>
    <definedName name="N_b2g1_steel_spiral_qty">'Τεχνικοί Υπολογισμοί'!$D$87</definedName>
    <definedName name="N_b2g1_steel_spiral_total">'Τεχνικοί Υπολογισμοί'!$F$87</definedName>
    <definedName name="N_b2g1_steel_total">'Τεχνικοί Υπολογισμοί'!$F$89</definedName>
    <definedName name="N_b2g1_steel_vert_note">'Τεχνικοί Υπολογισμοί'!$G$86</definedName>
    <definedName name="N_b2g1_steel_vert_price">'Τεχνικοί Υπολογισμοί'!$E$86</definedName>
    <definedName name="N_b2g1_steel_vert_qty">'Τεχνικοί Υπολογισμοί'!$D$86</definedName>
    <definedName name="N_b2g1_steel_vert_total">'Τεχνικοί Υπολογισμοί'!$F$86</definedName>
    <definedName name="N_c_barlen">'Τεχνικοί Υπολογισμοί'!$D$101</definedName>
    <definedName name="N_c_density">'Τεχνικοί Υπολογισμοί'!$D$100</definedName>
    <definedName name="N_c_lap">'Τεχνικοί Υπολογισμοί'!$D$102</definedName>
    <definedName name="N_c_loss">'Τεχνικοί Υπολογισμοί'!$D$99</definedName>
    <definedName name="N_c_overc">'Τεχνικοί Υπολογισμοί'!$D$103</definedName>
    <definedName name="N_c_pi">'Τεχνικοί Υπολογισμοί'!$D$104</definedName>
    <definedName name="N_c_starter_off">'Τεχνικοί Υπολογισμοί'!$D$105</definedName>
    <definedName name="N_c_top_bend">'Τεχνικοί Υπολογισμοί'!$D$106</definedName>
    <definedName name="N_conc_class">'Τεχνικοί Υπολογισμοί'!$D$18</definedName>
    <definedName name="N_cover_mm">'Τεχνικοί Υπολογισμοί'!$D$19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Υπολογισμοί'!$D$32</definedName>
    <definedName name="N_g0_breaking">'Τεχνικοί Υπολογισμοί'!$D$131</definedName>
    <definedName name="N_g0_count">'Τεχνικοί Υπολογισμοί'!$D$23</definedName>
    <definedName name="N_g0_cutoff">'Τεχνικοί Υπολογισμοί'!$D$26</definedName>
    <definedName name="N_g0_D_cage">'Τεχνικοί Υπολογισμοί'!$D$116</definedName>
    <definedName name="N_g0_D_mm">'Τεχνικοί Υπολογισμοί'!$D$24</definedName>
    <definedName name="N_g0_dh">'Τεχνικοί Υπολογισμοί'!$D$110</definedName>
    <definedName name="N_g0_end_zone">'Τεχνικοί Υπολογισμοί'!$D$36</definedName>
    <definedName name="N_g0_extra_len">'Τεχνικοί Υπολογισμοί'!$D$41</definedName>
    <definedName name="N_g0_extra_n">'Τεχνικοί Υπολογισμοί'!$D$39</definedName>
    <definedName name="N_g0_extra_y">'Τεχνικοί Υπολογισμοί'!$D$40</definedName>
    <definedName name="N_g0_h_overc">'Τεχνικοί Υπολογισμοί'!$D$111</definedName>
    <definedName name="N_g0_head_links">'Τεχνικοί Υπολογισμοί'!$D$38</definedName>
    <definedName name="N_g0_L_bar">'Τεχνικοί Υπολογισμοί'!$D$120</definedName>
    <definedName name="N_g0_L_base">'Τεχνικοί Υπολογισμοί'!$D$118</definedName>
    <definedName name="N_g0_L_conc">'Τεχνικοί Υπολογισμοί'!$D$114</definedName>
    <definedName name="N_g0_L_drill">'Τεχνικοί Υπολογισμοί'!$D$112</definedName>
    <definedName name="N_g0_L_pile">'Τεχνικοί Υπολογισμοί'!$D$25</definedName>
    <definedName name="N_g0_lap_len">'Τεχνικοί Υπολογισμοί'!$D$33</definedName>
    <definedName name="N_g0_n_head">'Τεχνικοί Υπολογισμοί'!$D$126</definedName>
    <definedName name="N_g0_n_laps">'Τεχνικοί Υπολογισμοί'!$D$119</definedName>
    <definedName name="N_g0_n_turns">'Τεχνικοί Υπολογισμοί'!$D$123</definedName>
    <definedName name="N_g0_n_vert">'Τεχνικοί Υπολογισμοί'!$D$28</definedName>
    <definedName name="N_g0_P_cage">'Τεχνικοί Υπολογισμοί'!$D$117</definedName>
    <definedName name="N_g0_raft">'Τεχνικοί Υπολογισμοί'!$D$27</definedName>
    <definedName name="N_g0_s_end">'Τεχνικοί Υπολογισμοί'!$D$35</definedName>
    <definedName name="N_g0_s_mid">'Τεχνικοί Υπολογισμοί'!$D$37</definedName>
    <definedName name="N_g0_sleeves">'Τεχνικοί Υπολογισμοί'!$D$130</definedName>
    <definedName name="N_g0_starter">'Τεχνικοί Υπολογισμοί'!$D$30</definedName>
    <definedName name="N_g0_top_bend">'Τεχνικοί Υπολογισμοί'!$D$31</definedName>
    <definedName name="N_g0_V_conc">'Τεχνικοί Υπολογισμοί'!$D$115</definedName>
    <definedName name="N_g0_V_exc">'Τεχνικοί Υπολογισμοί'!$D$113</definedName>
    <definedName name="N_g0_W_extra">'Τεχνικοί Υπολογισμοί'!$D$128</definedName>
    <definedName name="N_g0_W_head">'Τεχνικοί Υπολογισμοί'!$D$127</definedName>
    <definedName name="N_g0_W_spiral">'Τεχνικοί Υπολογισμοί'!$D$125</definedName>
    <definedName name="N_g0_W_total">'Τεχνικοί Υπολογισμοί'!$D$129</definedName>
    <definedName name="N_g0_W_vert">'Τεχνικοί Υπολογισμοί'!$D$122</definedName>
    <definedName name="N_g0_y_spiral">'Τεχνικοί Υπολογισμοί'!$D$34</definedName>
    <definedName name="N_g0_y_vert">'Τεχνικοί Υπολογισμοί'!$D$29</definedName>
    <definedName name="N_g1_bottom_bend">'Τεχνικοί Υπολογισμοί'!$E$32</definedName>
    <definedName name="N_g1_breaking">'Τεχνικοί Υπολογισμοί'!$E$131</definedName>
    <definedName name="N_g1_count">'Τεχνικοί Υπολογισμοί'!$E$23</definedName>
    <definedName name="N_g1_cutoff">'Τεχνικοί Υπολογισμοί'!$E$26</definedName>
    <definedName name="N_g1_D_cage">'Τεχνικοί Υπολογισμοί'!$E$116</definedName>
    <definedName name="N_g1_D_mm">'Τεχνικοί Υπολογισμοί'!$E$24</definedName>
    <definedName name="N_g1_dh">'Τεχνικοί Υπολογισμοί'!$E$110</definedName>
    <definedName name="N_g1_end_zone">'Τεχνικοί Υπολογισμοί'!$E$36</definedName>
    <definedName name="N_g1_extra_len">'Τεχνικοί Υπολογισμοί'!$E$41</definedName>
    <definedName name="N_g1_extra_n">'Τεχνικοί Υπολογισμοί'!$E$39</definedName>
    <definedName name="N_g1_extra_y">'Τεχνικοί Υπολογισμοί'!$E$40</definedName>
    <definedName name="N_g1_h_overc">'Τεχνικοί Υπολογισμοί'!$E$111</definedName>
    <definedName name="N_g1_head_links">'Τεχνικοί Υπολογισμοί'!$E$38</definedName>
    <definedName name="N_g1_L_bar">'Τεχνικοί Υπολογισμοί'!$E$120</definedName>
    <definedName name="N_g1_L_base">'Τεχνικοί Υπολογισμοί'!$E$118</definedName>
    <definedName name="N_g1_L_conc">'Τεχνικοί Υπολογισμοί'!$E$114</definedName>
    <definedName name="N_g1_L_drill">'Τεχνικοί Υπολογισμοί'!$E$112</definedName>
    <definedName name="N_g1_L_pile">'Τεχνικοί Υπολογισμοί'!$E$25</definedName>
    <definedName name="N_g1_lap_len">'Τεχνικοί Υπολογισμοί'!$E$33</definedName>
    <definedName name="N_g1_n_head">'Τεχνικοί Υπολογισμοί'!$E$126</definedName>
    <definedName name="N_g1_n_laps">'Τεχνικοί Υπολογισμοί'!$E$119</definedName>
    <definedName name="N_g1_n_turns">'Τεχνικοί Υπολογισμοί'!$E$123</definedName>
    <definedName name="N_g1_n_vert">'Τεχνικοί Υπολογισμοί'!$E$28</definedName>
    <definedName name="N_g1_P_cage">'Τεχνικοί Υπολογισμοί'!$E$117</definedName>
    <definedName name="N_g1_raft">'Τεχνικοί Υπολογισμοί'!$E$27</definedName>
    <definedName name="N_g1_s_end">'Τεχνικοί Υπολογισμοί'!$E$35</definedName>
    <definedName name="N_g1_s_mid">'Τεχνικοί Υπολογισμοί'!$E$37</definedName>
    <definedName name="N_g1_sleeves">'Τεχνικοί Υπολογισμοί'!$E$130</definedName>
    <definedName name="N_g1_starter">'Τεχνικοί Υπολογισμοί'!$E$30</definedName>
    <definedName name="N_g1_top_bend">'Τεχνικοί Υπολογισμοί'!$E$31</definedName>
    <definedName name="N_g1_V_conc">'Τεχνικοί Υπολογισμοί'!$E$115</definedName>
    <definedName name="N_g1_V_exc">'Τεχνικοί Υπολογισμοί'!$E$113</definedName>
    <definedName name="N_g1_W_extra">'Τεχνικοί Υπολογισμοί'!$E$128</definedName>
    <definedName name="N_g1_W_head">'Τεχνικοί Υπολογισμοί'!$E$127</definedName>
    <definedName name="N_g1_W_spiral">'Τεχνικοί Υπολογισμοί'!$E$125</definedName>
    <definedName name="N_g1_W_total">'Τεχνικοί Υπολογισμοί'!$E$129</definedName>
    <definedName name="N_g1_W_vert">'Τεχνικοί Υπολογισμοί'!$E$122</definedName>
    <definedName name="N_g1_y_spiral">'Τεχνικοί Υπολογισμοί'!$E$34</definedName>
    <definedName name="N_g1_y_vert">'Τεχνικοί Υπολογισμοί'!$E$29</definedName>
    <definedName name="N_grand_total">'Οικονομική Προσφορά'!$F$15</definedName>
    <definedName name="N_inc_breaking">'Τιμές &amp; Έλεγχος'!$D$35</definedName>
    <definedName name="N_inc_soil">'Τιμές &amp; Έλεγχος'!$D$36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oil_desc">'Οικονομική Προσφορά'!$B$14</definedName>
    <definedName name="N_line_soil_price">'Οικονομική Προσφορά'!$E$14</definedName>
    <definedName name="N_line_soil_qty">'Οικονομική Προσφορά'!$C$14</definedName>
    <definedName name="N_line_soil_total">'Οικονομική Προσφορά'!$F$14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Υπολογισμοί'!$D$15</definedName>
    <definedName name="N_mob_police">'Τιμές &amp; Έλεγχος'!$D$31</definedName>
    <definedName name="N_mob_total">'Τεχνικοί Υπολογισμοί'!$D$13</definedName>
    <definedName name="N_n_piles">'Τεχνικοί Υπολογισμοί'!$D$14</definedName>
    <definedName name="N_p_breaking">'Τιμές &amp; Έλεγχος'!$D$11</definedName>
    <definedName name="N_p_conc">'Τιμές &amp; Έλεγχος'!$D$21</definedName>
    <definedName name="N_p_conc_buy">'Τιμές &amp; Έλεγχος'!$D$15</definedName>
    <definedName name="N_p_conc_place">'Τιμές &amp; Έλεγχος'!$D$16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piles_per_setup">'Τιμές &amp; Έλεγχος'!$D$18</definedName>
    <definedName name="N_p_police_km">'Τιμές &amp; Έλεγχος'!$D$30</definedName>
    <definedName name="N_p_pump_per_m3">'Τιμές &amp; Έλεγχος'!$D$20</definedName>
    <definedName name="N_p_pump_setup">'Τιμές &amp; Έλεγχος'!$D$17</definedName>
    <definedName name="N_p_sleeve">'Τιμές &amp; Έλεγχος'!$D$26</definedName>
    <definedName name="N_p_soil">'Τιμές &amp; Έλεγχος'!$D$37</definedName>
    <definedName name="N_p_steel">'Τιμές &amp; Έλεγχος'!$D$10</definedName>
    <definedName name="N_police_km">'Τιμές &amp; Έλεγχος'!$D$29</definedName>
    <definedName name="N_q_breaking">'Τεχνικοί Υπολογισμοί'!$D$49</definedName>
    <definedName name="N_q_breaking_n">'Τεχνικοί Υπολογισμοί'!$E$49</definedName>
    <definedName name="N_q_conc">'Τεχνικοί Υπολογισμοί'!$D$46</definedName>
    <definedName name="N_q_conc_n">'Τεχνικοί Υπολογισμοί'!$E$46</definedName>
    <definedName name="N_q_drill_800">'Τεχνικοί Υπολογισμοί'!$D$45</definedName>
    <definedName name="N_q_drill_800_n">'Τεχνικοί Υπολογισμοί'!$E$45</definedName>
    <definedName name="N_q_sleeve">'Τεχνικοί Υπολογισμοί'!$D$48</definedName>
    <definedName name="N_q_sleeve_n">'Τεχνικοί Υπολογισμοί'!$E$48</definedName>
    <definedName name="N_q_soil">'Τεχνικοί Υπολογισμοί'!$D$50</definedName>
    <definedName name="N_q_soil_n">'Τεχνικοί Υπολογισμοί'!$E$50</definedName>
    <definedName name="N_q_steel">'Τεχνικοί Υπολογισμοί'!$D$47</definedName>
    <definedName name="N_q_steel_n">'Τεχνικοί Υπολογισμοί'!$E$47</definedName>
    <definedName name="N_s1_note_1">'Οικονομική Προσφορά'!$A$18</definedName>
    <definedName name="N_s1_note_2">'Οικονομική Προσφορά'!$A$19</definedName>
    <definedName name="N_s1_note_3">'Οικονομική Προσφορά'!$A$20</definedName>
    <definedName name="N_s1_note_4">'Οικονομική Προσφορά'!$A$21</definedName>
    <definedName name="N_s1_note_5">'Οικονομική Προσφορά'!$A$22</definedName>
    <definedName name="N_s1_note_6">'Οικονομική Προσφορά'!$A$23</definedName>
    <definedName name="N_s1_note_7">'Οικονομική Προσφορά'!$A$24</definedName>
    <definedName name="N_s1_note_8">'Οικονομική Προσφορά'!$A$25</definedName>
    <definedName name="N_s2_dist_km">'Τεχνικοί Υπολογισμοί'!$D$7</definedName>
    <definedName name="N_s2_mob_police">'Τεχνικοί Υπολογισμοί'!$D$12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Έλεγχος'!$D$41</definedName>
    <definedName name="N_s3_soil_total">'Τιμές &amp; Έλεγχος'!$D$39</definedName>
    <definedName name="N_s3_v_exc">'Τιμές &amp; Έλεγχος'!$D$38</definedName>
    <definedName name="N_sl_raw_price">'Τιμές &amp; Έλεγχος'!$D$25</definedName>
    <definedName name="N_t_breaking">'Τεχνικοί Υπολογισμοί'!$F$131</definedName>
    <definedName name="N_t_count">'Τεχνικοί Υπολογισμοί'!$F$23</definedName>
    <definedName name="N_t_L_drill">'Τεχνικοί Υπολογισμοί'!$F$112</definedName>
    <definedName name="N_t_sleeves">'Τεχνικοί Υπολογισμοί'!$F$130</definedName>
    <definedName name="N_t_V_conc">'Τεχνικοί Υπολογισμοί'!$F$115</definedName>
    <definedName name="N_t_V_exc">'Τεχνικοί Υπολογισμοί'!$F$113</definedName>
    <definedName name="N_t_W_extra">'Τεχνικοί Υπολογισμοί'!$F$128</definedName>
    <definedName name="N_t_W_head">'Τεχνικοί Υπολογισμοί'!$F$127</definedName>
    <definedName name="N_t_W_spiral">'Τεχνικοί Υπολογισμοί'!$F$125</definedName>
    <definedName name="N_t_W_total">'Τεχνικοί Υπολογισμοί'!$F$129</definedName>
    <definedName name="N_t_W_vert">'Τεχνικοί Υπολογισμοί'!$F$122</definedName>
    <definedName name="N_v_per_setup">'Τιμές &amp; Έλεγχος'!$D$19</definedName>
    <definedName name="N_wpl">'Τεχνικοί Υπολογισμοί'!$D$17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G15" i="1" s="1"/>
  <c r="F35" i="3"/>
  <c r="F30" i="3"/>
  <c r="B30" i="3"/>
  <c r="F29" i="3"/>
  <c r="D29" i="3"/>
  <c r="A28" i="3"/>
  <c r="D25" i="3"/>
  <c r="F18" i="3"/>
  <c r="F17" i="3"/>
  <c r="F16" i="3"/>
  <c r="F15" i="3"/>
  <c r="F11" i="3"/>
  <c r="F10" i="3"/>
  <c r="F9" i="3"/>
  <c r="F8" i="3"/>
  <c r="B8" i="3"/>
  <c r="F7" i="3"/>
  <c r="E144" i="2"/>
  <c r="D144" i="2"/>
  <c r="E143" i="2"/>
  <c r="D143" i="2"/>
  <c r="E141" i="2"/>
  <c r="D141" i="2"/>
  <c r="D138" i="2"/>
  <c r="D137" i="2"/>
  <c r="D136" i="2"/>
  <c r="E126" i="2"/>
  <c r="D126" i="2"/>
  <c r="E123" i="2"/>
  <c r="D123" i="2"/>
  <c r="E118" i="2"/>
  <c r="D118" i="2"/>
  <c r="E116" i="2"/>
  <c r="D116" i="2"/>
  <c r="E112" i="2"/>
  <c r="E110" i="2"/>
  <c r="D110" i="2"/>
  <c r="D104" i="2"/>
  <c r="E92" i="2"/>
  <c r="C92" i="2"/>
  <c r="B92" i="2"/>
  <c r="A92" i="2"/>
  <c r="E91" i="2"/>
  <c r="C91" i="2"/>
  <c r="B91" i="2"/>
  <c r="A91" i="2"/>
  <c r="B90" i="2"/>
  <c r="E89" i="2"/>
  <c r="E88" i="2"/>
  <c r="E87" i="2"/>
  <c r="E86" i="2"/>
  <c r="B85" i="2"/>
  <c r="E84" i="2"/>
  <c r="D83" i="2"/>
  <c r="E78" i="2"/>
  <c r="C78" i="2"/>
  <c r="B78" i="2"/>
  <c r="A78" i="2"/>
  <c r="E77" i="2"/>
  <c r="C77" i="2"/>
  <c r="B77" i="2"/>
  <c r="A77" i="2"/>
  <c r="B76" i="2"/>
  <c r="E75" i="2"/>
  <c r="E74" i="2"/>
  <c r="E73" i="2"/>
  <c r="E72" i="2"/>
  <c r="B71" i="2"/>
  <c r="E70" i="2"/>
  <c r="D69" i="2"/>
  <c r="E63" i="2"/>
  <c r="C63" i="2"/>
  <c r="B63" i="2"/>
  <c r="A63" i="2"/>
  <c r="E62" i="2"/>
  <c r="C62" i="2"/>
  <c r="B62" i="2"/>
  <c r="A62" i="2"/>
  <c r="B61" i="2"/>
  <c r="E60" i="2"/>
  <c r="E59" i="2"/>
  <c r="E58" i="2"/>
  <c r="E57" i="2"/>
  <c r="B56" i="2"/>
  <c r="E55" i="2"/>
  <c r="G50" i="2"/>
  <c r="C50" i="2"/>
  <c r="B50" i="2"/>
  <c r="A50" i="2"/>
  <c r="G49" i="2"/>
  <c r="C49" i="2"/>
  <c r="B49" i="2"/>
  <c r="A49" i="2"/>
  <c r="B48" i="2"/>
  <c r="B46" i="2"/>
  <c r="E45" i="2"/>
  <c r="F23" i="2"/>
  <c r="D14" i="2"/>
  <c r="D11" i="2"/>
  <c r="D10" i="2"/>
  <c r="D9" i="2"/>
  <c r="D7" i="2"/>
  <c r="E14" i="1"/>
  <c r="D14" i="1"/>
  <c r="B14" i="1"/>
  <c r="A14" i="1"/>
  <c r="E13" i="1"/>
  <c r="D13" i="1"/>
  <c r="B13" i="1"/>
  <c r="A13" i="1"/>
  <c r="B12" i="1"/>
  <c r="E11" i="1"/>
  <c r="B11" i="1"/>
  <c r="B10" i="1"/>
  <c r="E9" i="1"/>
  <c r="C8" i="1"/>
  <c r="D31" i="3" l="1"/>
  <c r="B31" i="3"/>
  <c r="D26" i="3"/>
  <c r="E26" i="3" s="1"/>
  <c r="F25" i="3"/>
  <c r="E127" i="2"/>
  <c r="D88" i="2" s="1"/>
  <c r="E146" i="2"/>
  <c r="D146" i="2"/>
  <c r="E145" i="2"/>
  <c r="D145" i="2"/>
  <c r="E119" i="2"/>
  <c r="E120" i="2" s="1"/>
  <c r="D119" i="2"/>
  <c r="D120" i="2" s="1"/>
  <c r="D84" i="2"/>
  <c r="F84" i="2" s="1"/>
  <c r="G84" i="2" s="1"/>
  <c r="E131" i="2"/>
  <c r="D91" i="2" s="1"/>
  <c r="E111" i="2"/>
  <c r="E130" i="2"/>
  <c r="D90" i="2" s="1"/>
  <c r="D111" i="2"/>
  <c r="D112" i="2"/>
  <c r="D113" i="2" s="1"/>
  <c r="D131" i="2"/>
  <c r="D130" i="2"/>
  <c r="D121" i="2"/>
  <c r="E117" i="2"/>
  <c r="D117" i="2"/>
  <c r="E113" i="2"/>
  <c r="D92" i="2" s="1"/>
  <c r="E128" i="2"/>
  <c r="E124" i="2"/>
  <c r="D128" i="2"/>
  <c r="D124" i="2"/>
  <c r="E121" i="2"/>
  <c r="E46" i="2"/>
  <c r="E50" i="2"/>
  <c r="D135" i="2"/>
  <c r="E49" i="2"/>
  <c r="D54" i="2"/>
  <c r="E48" i="2"/>
  <c r="E47" i="2"/>
  <c r="F6" i="3"/>
  <c r="D142" i="2"/>
  <c r="E142" i="2"/>
  <c r="D127" i="2" l="1"/>
  <c r="F128" i="2"/>
  <c r="D13" i="2"/>
  <c r="F88" i="2"/>
  <c r="G88" i="2"/>
  <c r="F26" i="3"/>
  <c r="E76" i="2"/>
  <c r="E12" i="1"/>
  <c r="E61" i="2"/>
  <c r="E90" i="2"/>
  <c r="E122" i="2"/>
  <c r="D122" i="2"/>
  <c r="F91" i="2"/>
  <c r="G91" i="2"/>
  <c r="E114" i="2"/>
  <c r="E115" i="2" s="1"/>
  <c r="D85" i="2" s="1"/>
  <c r="D114" i="2"/>
  <c r="D115" i="2" s="1"/>
  <c r="D70" i="2"/>
  <c r="D45" i="2"/>
  <c r="F112" i="2"/>
  <c r="F131" i="2"/>
  <c r="D49" i="2" s="1"/>
  <c r="D77" i="2"/>
  <c r="F130" i="2"/>
  <c r="D48" i="2" s="1"/>
  <c r="D76" i="2"/>
  <c r="G87" i="2"/>
  <c r="E125" i="2"/>
  <c r="D87" i="2" s="1"/>
  <c r="F87" i="2" s="1"/>
  <c r="D125" i="2"/>
  <c r="F115" i="2"/>
  <c r="D46" i="2" s="1"/>
  <c r="D71" i="2"/>
  <c r="F113" i="2"/>
  <c r="D78" i="2"/>
  <c r="D12" i="2"/>
  <c r="E31" i="3"/>
  <c r="F92" i="2"/>
  <c r="G92" i="2"/>
  <c r="F127" i="2" l="1"/>
  <c r="D59" i="2" s="1"/>
  <c r="F59" i="2" s="1"/>
  <c r="D74" i="2"/>
  <c r="G59" i="2"/>
  <c r="E150" i="2"/>
  <c r="D15" i="2"/>
  <c r="A23" i="1"/>
  <c r="E147" i="2"/>
  <c r="D147" i="2"/>
  <c r="F90" i="2"/>
  <c r="G90" i="2"/>
  <c r="E129" i="2"/>
  <c r="D89" i="2" s="1"/>
  <c r="D86" i="2"/>
  <c r="F122" i="2"/>
  <c r="D57" i="2" s="1"/>
  <c r="D129" i="2"/>
  <c r="D72" i="2"/>
  <c r="F70" i="2"/>
  <c r="G70" i="2" s="1"/>
  <c r="F45" i="2"/>
  <c r="D55" i="2"/>
  <c r="C9" i="1"/>
  <c r="F9" i="1" s="1"/>
  <c r="C13" i="1"/>
  <c r="F49" i="2"/>
  <c r="D62" i="2"/>
  <c r="F77" i="2"/>
  <c r="G77" i="2"/>
  <c r="C12" i="1"/>
  <c r="F12" i="1" s="1"/>
  <c r="G12" i="1" s="1"/>
  <c r="D61" i="2"/>
  <c r="F48" i="2"/>
  <c r="D73" i="2"/>
  <c r="F125" i="2"/>
  <c r="D58" i="2" s="1"/>
  <c r="C10" i="1"/>
  <c r="F46" i="2"/>
  <c r="D56" i="2"/>
  <c r="D19" i="3"/>
  <c r="E19" i="3"/>
  <c r="D38" i="3"/>
  <c r="D39" i="3"/>
  <c r="D50" i="2"/>
  <c r="F76" i="2"/>
  <c r="G76" i="2" s="1"/>
  <c r="F78" i="2"/>
  <c r="G78" i="2"/>
  <c r="F74" i="2" l="1"/>
  <c r="G74" i="2" s="1"/>
  <c r="E8" i="1"/>
  <c r="E69" i="2"/>
  <c r="F69" i="2" s="1"/>
  <c r="G69" i="2"/>
  <c r="E83" i="2"/>
  <c r="F83" i="2" s="1"/>
  <c r="G83" i="2" s="1"/>
  <c r="E54" i="2"/>
  <c r="F54" i="2" s="1"/>
  <c r="G54" i="2"/>
  <c r="G9" i="1"/>
  <c r="A20" i="1"/>
  <c r="F86" i="2"/>
  <c r="G86" i="2" s="1"/>
  <c r="G57" i="2"/>
  <c r="F57" i="2"/>
  <c r="D75" i="2"/>
  <c r="F129" i="2"/>
  <c r="D47" i="2" s="1"/>
  <c r="F72" i="2"/>
  <c r="G72" i="2" s="1"/>
  <c r="D139" i="2"/>
  <c r="F55" i="2"/>
  <c r="G55" i="2" s="1"/>
  <c r="F13" i="1"/>
  <c r="E148" i="2" s="1"/>
  <c r="F62" i="2"/>
  <c r="G62" i="2" s="1"/>
  <c r="F61" i="2"/>
  <c r="G61" i="2" s="1"/>
  <c r="F73" i="2"/>
  <c r="G73" i="2" s="1"/>
  <c r="G58" i="2"/>
  <c r="F58" i="2"/>
  <c r="F19" i="3"/>
  <c r="D20" i="3"/>
  <c r="E20" i="3"/>
  <c r="F38" i="3"/>
  <c r="E39" i="3"/>
  <c r="F36" i="3"/>
  <c r="F37" i="3"/>
  <c r="C14" i="1"/>
  <c r="F50" i="2"/>
  <c r="D63" i="2"/>
  <c r="D150" i="2"/>
  <c r="F89" i="2"/>
  <c r="G89" i="2"/>
  <c r="A19" i="1" l="1"/>
  <c r="F8" i="1"/>
  <c r="G8" i="1" s="1"/>
  <c r="F75" i="2"/>
  <c r="G75" i="2" s="1"/>
  <c r="F47" i="2"/>
  <c r="D60" i="2"/>
  <c r="C11" i="1"/>
  <c r="F11" i="1" s="1"/>
  <c r="G13" i="1"/>
  <c r="D148" i="2"/>
  <c r="F20" i="3"/>
  <c r="D21" i="3"/>
  <c r="E21" i="3" s="1"/>
  <c r="F14" i="1"/>
  <c r="E149" i="2"/>
  <c r="F63" i="2"/>
  <c r="G63" i="2"/>
  <c r="F60" i="2" l="1"/>
  <c r="G60" i="2" s="1"/>
  <c r="A22" i="1"/>
  <c r="G11" i="1"/>
  <c r="F21" i="3"/>
  <c r="E10" i="1"/>
  <c r="E71" i="2"/>
  <c r="E85" i="2"/>
  <c r="E56" i="2"/>
  <c r="A24" i="1"/>
  <c r="G14" i="1"/>
  <c r="D149" i="2"/>
  <c r="E140" i="2" l="1"/>
  <c r="F10" i="1"/>
  <c r="A21" i="1" s="1"/>
  <c r="D140" i="2"/>
  <c r="F71" i="2"/>
  <c r="F85" i="2"/>
  <c r="F56" i="2"/>
  <c r="F93" i="2" l="1"/>
  <c r="G85" i="2"/>
  <c r="F64" i="2"/>
  <c r="G64" i="2" s="1"/>
  <c r="G56" i="2"/>
  <c r="G10" i="1"/>
  <c r="F79" i="2"/>
  <c r="G71" i="2"/>
  <c r="F94" i="2" l="1"/>
  <c r="G94" i="2" s="1"/>
  <c r="G93" i="2"/>
  <c r="A18" i="1"/>
  <c r="E41" i="3"/>
  <c r="D41" i="3"/>
  <c r="F80" i="2"/>
  <c r="G79" i="2"/>
  <c r="F95" i="2" l="1"/>
  <c r="G95" i="2" s="1"/>
  <c r="G80" i="2"/>
</calcChain>
</file>

<file path=xl/sharedStrings.xml><?xml version="1.0" encoding="utf-8"?>
<sst xmlns="http://schemas.openxmlformats.org/spreadsheetml/2006/main" count="618" uniqueCount="415">
  <si>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</si>
  <si>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(Μετακίνηση: 1.000€ Λεμεσός + 200€/10km + 8€/km Συνοδεία Αστυνομίας) | Τιμές &amp; Κουμπιά ΝΑΙ/ΟΧΙ στο Φύλλο 3: «Τιμές &amp; Έλεγχος»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</si>
  <si>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</si>
  <si>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</si>
  <si>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</si>
  <si>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</si>
  <si>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</si>
  <si>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</si>
  <si>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</si>
  <si>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</si>
  <si>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γεωτρύπανου &amp; Συνοδεία Αστυνομίας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</si>
  <si>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</si>
  <si>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</si>
  <si>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</si>
  <si>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</si>
  <si>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</si>
  <si>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</si>
  <si>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</si>
  <si>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</si>
  <si>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</si>
  <si>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</si>
  <si>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ΓΕΝΙΚΟ ΣΥΝΟΛΟ ΠΡΟΣΦΟΡΑΣ (ΧΩΡΙΣ Φ.Π.Α.)</t>
  </si>
  <si>
    <t>ΟΡΟΙ, ΠΑΡΑΔΟΧΕΣ &amp; ΠΑΡΑΤΗΡΗΣΕΙΣ (100% ΔΥΝΑΜΙΚΕΣ ΣΗΜΕΙΩΣΕΙΣ — ΕΝΗΜΕΡΩΝΟΝΤΑΙ ΑΥΤΟΜΑΤΑ ΑΠΟ ΤΟ ΦΥΛΛΟ «Τιμές &amp; Έλεγχος»):</t>
  </si>
  <si>
    <t>8. Πληρωμή βάσει επιμετρήσεων πραγματικά εκτελεσθέντων μέτρων διάτρησης, κυβικών σκυροδέματος και κιλών οπλισμού. Όλες οι τιμές μονάδας και τα κουμπιά επιλογής (ΝΑΙ/ΟΧΙ) ορίζονται στο Φύλλο 3 («Τιμές &amp; Έλεγχος»).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</si>
  <si>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</si>
  <si>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v5.8 (Τιμές &amp; Κουμπιά ΝΑΙ/ΟΧΙ στο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</si>
  <si>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</si>
  <si>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</si>
  <si>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</si>
  <si>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</si>
  <si>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</si>
  <si>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&amp; Συνοδεία Αστυνομίας (Τιμές από το Φύλλο 3: «Τιμές &amp; Έλεγχος»)</t>
  </si>
  <si>
    <t>1.1.1</t>
  </si>
  <si>
    <t>Χιλιόμετρα εκτός Λεμεσού (0 km αν το έργο είναι μέσα στη Λεμεσό)</t>
  </si>
  <si>
    <t>km</t>
  </si>
  <si>
    <t>Από Φύλλο 3 («Τιμές &amp; Έλεγχος» Τ.1)</t>
  </si>
  <si>
    <t>1.1.2</t>
  </si>
  <si>
    <t>Βήμα χιλιομετρικής χρέωσης εκτός Λεμεσού (ανά 10 km)</t>
  </si>
  <si>
    <t>Τιμοκατάλογος (γρ. 28)</t>
  </si>
  <si>
    <t>1.1.3</t>
  </si>
  <si>
    <t>Δεκάδες χιλιομέτρων εκτός Λεμεσού (ανά 10 km)</t>
  </si>
  <si>
    <t>ζώνες</t>
  </si>
  <si>
    <t>ROUNDUP(km εκτός Λεμεσού / 10, 0)</t>
  </si>
  <si>
    <t>1.1.4</t>
  </si>
  <si>
    <t>Μετακίνηση — βασική τιμή εντός Λεμεσού</t>
  </si>
  <si>
    <t>€</t>
  </si>
  <si>
    <t>Από Φύλλο 3 («Τιμές &amp; Έλεγχος» Τ.2 = 1.000,00 €)</t>
  </si>
  <si>
    <t>1.1.5</t>
  </si>
  <si>
    <t>Μετακίνηση — επιβάρυνση ανά 10 km εκτός Λεμεσού</t>
  </si>
  <si>
    <t>Από Φύλλο 3 («Τιμές &amp; Έλεγχος» Τ.3 = 200,00 €/10km)</t>
  </si>
  <si>
    <t>1.1.6</t>
  </si>
  <si>
    <t>Κόστος Συνοδείας Αστυνομίας (Χιλιόμετρα × 8,00 €/km)</t>
  </si>
  <si>
    <t>Από Φύλλο 3 («Τιμές &amp; Έλεγχος» Τ.Δ.3 = police_km × 8,00 €/km)</t>
  </si>
  <si>
    <t>1.1.7</t>
  </si>
  <si>
    <t>Συνολικό εφάπαξ ποσό μετακίνησης &amp; συνοδείας Αστυνομίας</t>
  </si>
  <si>
    <t>Βασική Λεμεσού (1.000€) + Δεκάδες km × 200€ + Συνοδεία Αστυνομίας</t>
  </si>
  <si>
    <t>1.1.8</t>
  </si>
  <si>
    <t>Συνολικό πλήθος πασσάλων έργου</t>
  </si>
  <si>
    <t>Άθροισμα ομάδων</t>
  </si>
  <si>
    <t>1.1.9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</si>
  <si>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</si>
  <si>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</si>
  <si>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</si>
  <si>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</si>
  <si>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</si>
  <si>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</si>
  <si>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</si>
  <si>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</si>
  <si>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</si>
  <si>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</si>
  <si>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</si>
  <si>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</si>
  <si>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</si>
  <si>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</si>
  <si>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</si>
  <si>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</si>
  <si>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</si>
  <si>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</si>
  <si>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</si>
  <si>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</si>
  <si>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</si>
  <si>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</si>
  <si>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</si>
  <si>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</si>
  <si>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</si>
  <si>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</si>
  <si>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</si>
  <si>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</si>
  <si>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</si>
  <si>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</si>
  <si>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</si>
  <si>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</si>
  <si>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</si>
  <si>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</si>
  <si>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</si>
  <si>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</si>
  <si>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</si>
  <si>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</si>
  <si>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</si>
  <si>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</si>
  <si>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</si>
  <si>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</si>
  <si>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</si>
  <si>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</si>
  <si>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</si>
  <si>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</si>
  <si>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</si>
  <si>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</si>
  <si>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</si>
  <si>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</si>
  <si>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</si>
  <si>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</si>
  <si>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</si>
  <si>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</si>
  <si>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</si>
  <si>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</si>
  <si>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</si>
  <si>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</si>
  <si>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</si>
  <si>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</si>
  <si>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</si>
  <si>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</si>
  <si>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</si>
  <si>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</si>
  <si>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</si>
  <si>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</si>
  <si>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</si>
  <si>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</si>
  <si>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</si>
  <si>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</si>
  <si>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</si>
  <si>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</si>
  <si>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</si>
  <si>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</si>
  <si>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</si>
  <si>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</si>
  <si>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</si>
  <si>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</si>
  <si>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</si>
  <si>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</si>
  <si>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</si>
  <si>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</si>
  <si>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</si>
  <si>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</si>
  <si>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</si>
  <si>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</si>
  <si>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</si>
  <si>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</si>
  <si>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</si>
  <si>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</si>
  <si>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</si>
  <si>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2Β. ΣΥΓΚΕΝΤΡΩΤΙΚΟΣ ΠΙΝΑΚΑΣ ΠΡΑΞΕΩΝ, ΠΟΣΟΤΗΤΩΝ &amp; ΤΙΜΩΝ — ΣΥΝΟΛΟ ΕΡΓΟΥ (ΤΙΜΕΣ ΑΠΟ ΦΥΛΛΟ 3: «Τιμές &amp; Έλεγχος»)</t>
  </si>
  <si>
    <t>Πράξη / Εργασία (Σύνολο Έργου)</t>
  </si>
  <si>
    <t>Συνολική Ποσότητα</t>
  </si>
  <si>
    <t>Συνολικό Κόστος (€)</t>
  </si>
  <si>
    <t>Ανθρώπινη Επεξήγηση Πράξεων (Για Έλεγχο από Μηχανικό / Μάστρο — 100% Δυναμική)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</si>
  <si>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</si>
  <si>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</si>
  <si>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</si>
  <si>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</si>
  <si>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</si>
  <si>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</si>
  <si>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</si>
  <si>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</si>
  <si>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</si>
  <si>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</si>
  <si>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</si>
  <si>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</si>
  <si>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</si>
  <si>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ΓΕΝΙΚΟ ΣΥΝΟΛΟ ΕΡΓΟΥ (ΑΘΡΟΙΣΜΑ ΚΥΡΙΩΝ ΠΡΑΞΕΩΝ 2Β — ΧΩΡΙΣ Φ.Π.Α.)</t>
  </si>
  <si>
    <t>2Γ. ΛΙΣΤΑ ΑΝΑ ΤΥΠΟ ΠΑΣΣΑΛΟΥ — ΠΟΣΟΤΗΤΑ ΑΝΑ 1 ΠΑΣΣΑΛΟ &amp; ΚΟΣΤΟΣ ΑΝΑ 1 ΠΑΣΣΑΛΟ ΓΙΑ ΚΑΘΕ ΠΡΑΞΗ</t>
  </si>
  <si>
    <t>ΤΥΠΟΣ ΠΑΣΣΑΛΟΥ 1: Ø800 (Cut-Off -3.475m) — Κωδικοί: P1–P6, P8–P18 (Πλήθος Ομάδας: 17 πασσ.) — ΠΟΣΟΤΗΤΑ &amp; ΚΟΣΤΟΣ ΑΝΑ 1 ΠΑΣΣΑΛΟ</t>
  </si>
  <si>
    <t>Πράξη / Εργασία (Ανά 1 Πάσσαλο Τύπου 1)</t>
  </si>
  <si>
    <t>Ποσότητα ανά 1 Πάσσαλο</t>
  </si>
  <si>
    <t>Κόστος ανά 1 Πάσσαλο (€)</t>
  </si>
  <si>
    <t>Ανθρώπινη Επεξήγηση για 1 Πάσσαλο &amp; Σύνολο Ομάδας (17 πασσ.) — 100% Δυναμική</t>
  </si>
  <si>
    <t>2Γ.1.1</t>
  </si>
  <si>
    <t>Μετακινήσεις γεωτρύπανου &amp; Συνοδεία Αστυνομίας (επιμερισμός σε 1 πάσσαλο)</t>
  </si>
  <si>
    <t>2Γ.1.2</t>
  </si>
  <si>
    <t>Εκσκαφή / Διάτρηση πασσάλου Ø800mm (μέτρα ανά 1 πάσσαλο)</t>
  </si>
  <si>
    <t>2Γ.1.3</t>
  </si>
  <si>
    <t>2Γ.1.4α</t>
  </si>
  <si>
    <t xml:space="preserve">   ↳ Οπλισμός: Κάθετα σίδερα κλωβού (kg ανά 1 πάσσαλο)</t>
  </si>
  <si>
    <t>2Γ.1.4β</t>
  </si>
  <si>
    <t xml:space="preserve">   ↳ Οπλισμός: Σούστα σώματος κάτω από Cut-Off, με +1 (kg ανά 1 πάσσαλο)</t>
  </si>
  <si>
    <t>2Γ.1.4γ</t>
  </si>
  <si>
    <t xml:space="preserve">   ↳ Οπλισμός: Στεφάνια αναμονής starter πάνω από Cut-Off, χωρίς +1 (kg ανά 1 πάσσαλο)</t>
  </si>
  <si>
    <t>2Γ.1.4</t>
  </si>
  <si>
    <t>Χάλυβας οπλισμού B500C — ΣΥΝΟΛΟ ΚΛΩΒΟΥ ΑΝΑ 1 ΠΑΣΣΑΛΟ (4α + 4β + 4γ)</t>
  </si>
  <si>
    <t>2Γ.1.5</t>
  </si>
  <si>
    <t>ΣΥΝΟΛΙΚΟ ΚΟΣΤΟΣ ΓΙΑ 1 ΠΑΣΣΑΛΟ ΤΥΠΟΥ 1 (Ø800 (Cut-Off -3.475m)) — ΧΩΡΙΣ Φ.Π.Α.:</t>
  </si>
  <si>
    <t>ΣΥΝΟΛΙΚΟ ΚΟΣΤΟΣ ΟΜΑΔΑΣ 1 (17 ΠΑΣΣΑΛΟΙ × ΚΟΣΤΟΣ 1 ΠΑΣΣΑΛΟΥ):</t>
  </si>
  <si>
    <t>ΤΥΠΟΣ ΠΑΣΣΑΛΟΥ 2: Ø800 (Cut-Off -4.375m) — Κωδικοί: P7 (Ανελκυστήρας) (Πλήθος Ομάδας: 1 πασσ.) — ΠΟΣΟΤΗΤΑ &amp; ΚΟΣΤΟΣ ΑΝΑ 1 ΠΑΣΣΑΛΟ</t>
  </si>
  <si>
    <t>Πράξη / Εργασία (Ανά 1 Πάσσαλο Τύπου 2)</t>
  </si>
  <si>
    <t>Ανθρώπινη Επεξήγηση για 1 Πάσσαλο &amp; Σύνολο Ομάδας (1 πασσ.) — 100% Δυναμική</t>
  </si>
  <si>
    <t>2Γ.2.1</t>
  </si>
  <si>
    <t>2Γ.2.2</t>
  </si>
  <si>
    <t>2Γ.2.3</t>
  </si>
  <si>
    <t>2Γ.2.4α</t>
  </si>
  <si>
    <t>2Γ.2.4β</t>
  </si>
  <si>
    <t>2Γ.2.4γ</t>
  </si>
  <si>
    <t>2Γ.2.4</t>
  </si>
  <si>
    <t>2Γ.2.5</t>
  </si>
  <si>
    <t>ΣΥΝΟΛΙΚΟ ΚΟΣΤΟΣ ΓΙΑ 1 ΠΑΣΣΑΛΟ ΤΥΠΟΥ 2 (Ø800 (Cut-Off -4.375m)) — ΧΩΡΙΣ Φ.Π.Α.:</t>
  </si>
  <si>
    <t>ΣΥΝΟΛΙΚΟ ΚΟΣΤΟΣ ΟΜΑΔΑΣ 2 (1 ΠΑΣΣΑΛΟΙ × ΚΟΣΤΟΣ 1 ΠΑΣΣΑΛΟΥ):</t>
  </si>
  <si>
    <t>ΓΕΝΙΚΟ ΣΥΝΟΛΟ ΕΡΓΟΥ ΑΠΟ ΑΘΡΟΙΣΜΑ ΤΥΠΩΝ ΠΑΣΣΑΛΩΝ (2Γ = 2Β = ΦΥΛΛΟ 1):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</si>
  <si>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</si>
  <si>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</si>
  <si>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</si>
  <si>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</si>
  <si>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</si>
  <si>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</si>
  <si>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</si>
  <si>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</si>
  <si>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</si>
  <si>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</si>
  <si>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</si>
  <si>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</si>
  <si>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</si>
  <si>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</si>
  <si>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</si>
  <si>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</si>
  <si>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</si>
  <si>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</si>
  <si>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</si>
  <si>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</si>
  <si>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</si>
  <si>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</si>
  <si>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</si>
  <si>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</si>
  <si>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</si>
  <si>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</si>
  <si>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</si>
  <si>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</si>
  <si>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</si>
  <si>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</si>
  <si>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</si>
  <si>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</si>
  <si>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</si>
  <si>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</si>
  <si>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</si>
  <si>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</si>
  <si>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</si>
  <si>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</si>
  <si>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</si>
  <si>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</si>
  <si>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 (κυβικά χώματος ανά πάσσαλο)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</si>
  <si>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</si>
  <si>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</si>
  <si>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</si>
  <si>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6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</si>
  <si>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</si>
  <si>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</si>
  <si>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</si>
  <si>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</si>
  <si>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</si>
  <si>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</si>
  <si>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</si>
  <si>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</si>
  <si>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</si>
  <si>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</si>
  <si>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</si>
  <si>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</si>
  <si>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</si>
  <si>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</si>
  <si>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</si>
  <si>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</si>
  <si>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</si>
  <si>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</si>
  <si>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</si>
  <si>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</si>
  <si>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</si>
  <si>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</si>
  <si>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</si>
  <si>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</si>
  <si>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</si>
  <si>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</si>
  <si>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</si>
  <si>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</si>
  <si>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</si>
  <si>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</si>
  <si>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</si>
  <si>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</si>
  <si>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</si>
  <si>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</si>
  <si>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</si>
  <si>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</si>
  <si>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</si>
  <si>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</si>
  <si>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</si>
  <si>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</si>
  <si>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</si>
  <si>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</si>
  <si>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</si>
  <si>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</si>
  <si>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</si>
  <si>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</si>
  <si>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</si>
  <si>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(στρογγυλοποίηση στο 0,50 € στο Φύλλο 3)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</si>
  <si>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</si>
  <si>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</si>
  <si>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 &amp; Κουμπί 1 = ΝΑΙ)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</si>
  <si>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</si>
  <si>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</si>
  <si>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</si>
  <si>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</si>
  <si>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</si>
  <si>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</si>
  <si>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</si>
  <si>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</si>
  <si>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</si>
  <si>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</si>
  <si>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</si>
  <si>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</si>
  <si>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</si>
  <si>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</si>
  <si>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</si>
  <si>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 (Κουτάκια Φύλλου 3 — Στρογγυλοποιημένη στο Τ.Β.7 / D21)</t>
  </si>
  <si>
    <t>Κάθετα σίδερα κλωβού &amp; Τιμή Χάλυβα</t>
  </si>
  <si>
    <t>Ύψος αναμονής (Starter) &amp; Γωνίες (Πάνω / Κάτω)</t>
  </si>
  <si>
    <t>Ύψος μάτισης κάθετων σιδήρων</t>
  </si>
  <si>
    <t>Σούστα σώματος πασσάλου (κάτω από Cut-Off, με +1)</t>
  </si>
  <si>
    <t>ΚΑΝΟΝΑΣ</t>
  </si>
  <si>
    <t>Στεφάνια αναμονής starter (πάνω από Cut-Off, χωρίς +1)</t>
  </si>
  <si>
    <t>Τιμή Sleeve της συγκεκριμένης δουλειάς (×1,30 &amp; Στρογγυλοποίηση στο πλησιέστερο 0,50 €)</t>
  </si>
  <si>
    <t>ΤΙΜΟΚΑΤΑΛΟΓΟΣ</t>
  </si>
  <si>
    <t>Κεφαλοκοπή Πασσάλων (Κουμπί Επιλογής ΝΑΙ / ΟΧΙ στο Φύλλο 3: Τ.Ε.1)</t>
  </si>
  <si>
    <t>Απομάκρυνση Εκσκαπτόμενου Χώματος &amp; Λατομικά Τέλη (Κουμπί Επιλογής ΝΑΙ / ΟΧΙ στο Φύλλο 3: Τ.Ε.2)</t>
  </si>
  <si>
    <t>Μετακινήσεις γεωτρύπανου &amp; Συνοδεία Αστυνομίας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</si>
  <si>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</si>
  <si>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ΤΙΜΩΝ, ΚΟΥΜΠΙΩΝ (ΝΑΙ/ΟΧΙ) &amp; ΕΛΕΓΧΟΥ ΕΡΓΟΥ</t>
  </si>
  <si>
    <t>ΝΑΙ</t>
  </si>
  <si>
    <t>Όλες οι τιμές μονάδας, τα κουτάκια σκυροδέματος/sleeve (άτομα, λεπτά, εργατοώρα, τέλλα) και τα κουμπιά ΝΑΙ/ΟΧΙ ορίζονται ΕΔΩ και ενημερώνουν αυτόματα όλα τα φύλλα και όλες τις σημειώσεις!</t>
  </si>
  <si>
    <t>ΟΧΙ</t>
  </si>
  <si>
    <t>Α. ΚΥΡΙΕΣ ΤΙΜΕΣ ΜΟΝΑΔΑΣ &amp; ΜΕΤΑΚΙΝΗΣΕΙΣ (ΚΙΤΡΙΝΟ = ΑΛΛΑΖΕΙΣ ΕΔΩ)</t>
  </si>
  <si>
    <t>Περιγραφή Τιμής / Παραμέτρου</t>
  </si>
  <si>
    <t>Τιμή [ΑΛΛΑΖΕΙΣ ΕΔΩ]</t>
  </si>
  <si>
    <t>Πού Εφαρμόζεται (100% Δυναμική Σημείωση)</t>
  </si>
  <si>
    <t>Τ.1</t>
  </si>
  <si>
    <t>Απόσταση έργου εκτός Λεμεσού (Λάρνακα) — αλλάζει δυναμικά στο κελί Τ.1 του Φύλλου 3</t>
  </si>
  <si>
    <t>Τ.2</t>
  </si>
  <si>
    <t>Μετακίνηση γεωτρύπανου — Βασική τιμή (Μέσα στη Λεμεσό)</t>
  </si>
  <si>
    <t>Τιμοκατάλογος (γρ. 5)</t>
  </si>
  <si>
    <t>Τ.3</t>
  </si>
  <si>
    <t>Τιμοκατάλογος (γρ. 6)</t>
  </si>
  <si>
    <t>Τ.4.1</t>
  </si>
  <si>
    <t>Τρύπημα / Διάτρηση Πασσάλων Ø800mm</t>
  </si>
  <si>
    <t>Τιμοκατάλογος (γρ. 11)</t>
  </si>
  <si>
    <t>Τ.5</t>
  </si>
  <si>
    <t>Χάλυβας οπλισμού B500C (Κάθετα σίδερα &amp; Σούστα) — Τιμή κιλού</t>
  </si>
  <si>
    <t>Τιμοκατάλογος (γρ. 19)</t>
  </si>
  <si>
    <t>Τ.6</t>
  </si>
  <si>
    <t>Κεφαλοκοπή πασσάλων (Pile Breaking) — Τιμή τεμαχίου</t>
  </si>
  <si>
    <t>Τιμοκατάλογος (γρ. 23)</t>
  </si>
  <si>
    <t>Β. ΥΠΟΛΟΓΙΣΜΟΣ ΤΙΜΗΣ ΚΑΝΟΝΙΚΟΥ ΣΚΥΡΟΔΕΜΑΤΟΣ (C40/50) — ΚΟΥΤΑΚΙΑ ΜΗΧΑΝΙΚΟΥ</t>
  </si>
  <si>
    <t>Παράμετρος Κόστους Σκυροδέτησης</t>
  </si>
  <si>
    <t>Τιμή / Κουτάκι</t>
  </si>
  <si>
    <t>Προέλευση / Τύπος</t>
  </si>
  <si>
    <t>Δυναμική Επεξήγηση</t>
  </si>
  <si>
    <t>Τ.Β.1</t>
  </si>
  <si>
    <t>Τιμή αγοράς σκυροδέματος (C40/50) από προμηθευτή [ΚΟΥΤΑΚΙ ΜΗΧΑΝΙΚΟΥ]</t>
  </si>
  <si>
    <t>Κουτάκι Μηχανικού (Τιμή αγοράς κουγκριού)</t>
  </si>
  <si>
    <t>Τ.Β.2</t>
  </si>
  <si>
    <t>Κόστος τοποθέτησης σκυροδέματος (σταθερό ανά κυβικό)</t>
  </si>
  <si>
    <t>Τιμοκατάλογος (γρ. 18)</t>
  </si>
  <si>
    <t>Τ.Β.3</t>
  </si>
  <si>
    <t>Κόστος στησίματος αντλίας (πρέσας) ανά στήσιμο [ΚΟΥΤΑΚΙ ΜΗΧΑΝΙΚΟΥ]</t>
  </si>
  <si>
    <t>Κουτάκι Μηχανικού (Κόστος στησίματος αντλίας)</t>
  </si>
  <si>
    <t>Τ.Β.4</t>
  </si>
  <si>
    <t>Πόσες τρύπες (πασσάλους) θα κάνει η αντλία ανά στήσιμο [ΚΟΥΤΑΚΙ ΜΗΧΑΝΙΚΟΥ]</t>
  </si>
  <si>
    <t>τρύπες</t>
  </si>
  <si>
    <t>Κουτάκι Μηχανικού (Τρύπες/πασσάλους ανά στήσιμο αντλίας)</t>
  </si>
  <si>
    <t>Τ.Β.5</t>
  </si>
  <si>
    <t>Κυβικά κουγκριού που αντλεί η αντλία ανά στήσιμο (Τρύπες × m³/τρύπα)</t>
  </si>
  <si>
    <t>Τ.Β.6</t>
  </si>
  <si>
    <t>Επιβάρυνση στησίματος αντλίας ανά κυβικό (Στήσιμο ÷ m³ ανά στήσιμο)</t>
  </si>
  <si>
    <t>Τ.Β.7</t>
  </si>
  <si>
    <t>ΤΕΛΙΚΗ ΤΙΜΗ ΣΚΥΡΟΔΕΤΗΣΗΣ (C40/50) ΑΝΑ ΚΥΒΙΚΟ [ΣΤΡΟΓΓΥΛΟΠΟΙΗΜΕΝΗ ΣΕ ΑΚΕΡΑΙΟ €]</t>
  </si>
  <si>
    <t>Γ. ΚΟΣΤΟΛΟΓΗΣΗ SLEEVE ΕΡΓΟΥ — ΜΟΝΟ ΓΙΑ SLEEVE Φ32 (ΓΙΑ ΚΆΘΕΤΟ ΣΊΔΕΡΟ Φ20 ≤ Φ20)</t>
  </si>
  <si>
    <t>Στοιχείο Κόστους Sleeve Έργου</t>
  </si>
  <si>
    <t>Τ.Γ.1</t>
  </si>
  <si>
    <t>Τελικό Αποτέλεσμα Sleeve (Sleeve Φ32): ((Κόστος αγοράς + Κόστος τοποθέτησης) × Profit, Waste, Overhead)</t>
  </si>
  <si>
    <t>Από Τιμοκατάλογο Εταιρείας: ((Κόστος αγοράς + Κόστος τοποθέτησης) × Profit, Waste, Overhead)</t>
  </si>
  <si>
    <t>Τ.Γ.2</t>
  </si>
  <si>
    <t>ΣΤΡΟΓΓΥΛΕΜΕΝΟ ΤΕΛΙΚΟ ΑΠΟΤΕΛΕΣΜΑ SLEEVE (Sleeve Φ32) [ΣΤΟ ΠΛΗΣΙΕΣΤΕΡΟ 0,50 €]</t>
  </si>
  <si>
    <t>Τ.Δ.1</t>
  </si>
  <si>
    <t>Χιλιόμετρα Συνοδείας Αστυνομίας (Πάσσαλοι Θεμελίωσης / Νέφκες — βάλε 0 αν δεν έχει)</t>
  </si>
  <si>
    <t>Συνδεδεμένο με την απόσταση Τ.1 (ή γράψε 0 αν δεν απαιτείται συνοδεία)</t>
  </si>
  <si>
    <t>Τ.Δ.2</t>
  </si>
  <si>
    <t>€/km</t>
  </si>
  <si>
    <t>Τιμοκατάλογος (γρ. 48)</t>
  </si>
  <si>
    <t>Τ.Δ.3</t>
  </si>
  <si>
    <t>Προστίθεται αυτόματα στις Μετακινήσεις (Φύλλο 1 Γρ. 1 &amp; Φύλλο 2 2Β.1 &amp; 2Γ)</t>
  </si>
  <si>
    <t>Ε. ΚΟΥΜΠΙΑ ΕΠΙΛΟΓΗΣ ΕΡΓΑΣΙΩΝ (ΠΑΤΗΣΕ «ΝΑΙ» Ή «ΟΧΙ») — ΚΕΦΑΛΟΚΟΠΗ &amp; ΑΠΟΜΑΚΡΥΝΣΗ ΧΩΜΑΤΟΣ</t>
  </si>
  <si>
    <t>Εργασία / Ερώτηση Ευθύνης (Πάνω μας ή Πάνω τους;)</t>
  </si>
  <si>
    <t>ΚΟΥΜΠΙ / ΤΙΜΗ
[ΠΑΤΗΣΕ ΕΔΩ]</t>
  </si>
  <si>
    <t>Προέλευση / Επιλογή</t>
  </si>
  <si>
    <t>Τι κάνει όταν πατήσεις ΝΑΙ ή ΟΧΙ (100% Δυναμική Σημείωση)</t>
  </si>
  <si>
    <t>Τ.Ε.1</t>
  </si>
  <si>
    <t>ΚΟΥΜΠΙ 1 — Η Κεφαλοκοπή Πασσάλων (Pile Breaking) είναι πάνω μας; [Πάτησε το βελάκι: ΝΑΙ / ΟΧΙ]</t>
  </si>
  <si>
    <t>ΝΑΙ / ΟΧΙ</t>
  </si>
  <si>
    <t>Κουμπί Επιλογής Μηχανικού (Dropdown: ΝΑΙ ή ΟΧΙ)</t>
  </si>
  <si>
    <t>Τ.Ε.2</t>
  </si>
  <si>
    <t>ΚΟΥΜΠΙ 2 — Η Απομάκρυνση Εκσκαπτόμενου Χώματος &amp; Λατομικά Τέλη είναι πάνω μας; [Πάτησε το βελάκι: ΝΑΙ / ΟΧΙ]</t>
  </si>
  <si>
    <t>Τ.Ε.3</t>
  </si>
  <si>
    <t>Τιμή Απομάκρυνσης Εκσκαπτόμενου Χώματος &amp; Λατομικών Τελών (ανά m³ εκσκαφής)</t>
  </si>
  <si>
    <t>Τιμή χρήστη (εκτός τιμοκαταλόγου)</t>
  </si>
  <si>
    <t>Τ.Ε.4</t>
  </si>
  <si>
    <t>Συνολικά Κυβικά Εκσκαπτόμενου Χώματος Έργου (V_exc από Τεχνικούς Υπολογισμούς)</t>
  </si>
  <si>
    <t>Αυτόματος υπολογισμός: Άθροισμα (π × Διάμετρος² / 4 × Βάθος Τρυπήματος) όλων των πασσάλων</t>
  </si>
  <si>
    <t>Τ.Ε.5</t>
  </si>
  <si>
    <t>Συνολικό Κόστος Απομάκρυνσης Χώματος &amp; Λατομικών Τελών (όταν Κουμπί 2 = ΝΑΙ)</t>
  </si>
  <si>
    <t>Τροφοδοτεί Φύλλο 1 (Γρ. 7) &amp; Φύλλο 2 (2Β.7 &amp; 2Γ)</t>
  </si>
  <si>
    <t>ΓΕΝΙΚΟ ΣΥΝΟΛΟ ΠΡΟΣΦΟΡΑΣ (ΧΩΡΙΣ Φ.Π.Α.):</t>
  </si>
  <si>
    <t>Στρογγυλοποιηση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</si>
</sst>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#,##0.00\ &quot;€&quot;"/>
    <numFmt numFmtId="166" formatCode="#,##0\ &quot;€&quot;"/>
    <numFmt numFmtId="167" formatCode="#,##0.00\ &quot;€/km&quot;"/>
    <numFmt numFmtId="168" formatCode="0.00000"/>
    <numFmt numFmtId="169" formatCode="#,##0.0"/>
    <numFmt numFmtId="170" formatCode="#,##0;\-#,##0;&quot;&quot;"/>
    <numFmt numFmtId="171" formatCode="0.00;\-0.00;&quot;&quot;"/>
    <numFmt numFmtId="172" formatCode="#,##0.00\ &quot;€&quot;;\-#,##0.00\ &quot;€&quot;;&quot;&quot;"/>
    <numFmt numFmtId="173" formatCode="0.0%"/>
    <numFmt numFmtId="174" formatCode="0.00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374151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sz val="11"/>
      <color rgb="FFFFFFFF"/>
      <name val="Calibri"/>
    </font>
    <font>
      <b/>
      <sz val="11"/>
      <color rgb="FF065F46"/>
      <name val="Calibri"/>
    </font>
    <font>
      <i/>
      <sz val="9"/>
      <color rgb="FF334155"/>
      <name val="Calibri"/>
    </font>
    <font>
      <b/>
      <sz val="10"/>
      <color rgb="FF1E40A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DE047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172" fontId="5" fillId="0" borderId="1" xfId="0" applyNumberFormat="1" applyFont="1" applyBorder="1" applyAlignment="1">
      <alignment horizontal="right" vertical="center"/>
    </xf>
    <xf numFmtId="172" fontId="0" fillId="0" borderId="1" xfId="0" applyNumberFormat="1" applyBorder="1" applyAlignment="1">
      <alignment horizontal="right" vertical="center"/>
    </xf>
    <xf numFmtId="171" fontId="0" fillId="0" borderId="1" xfId="0" applyNumberFormat="1" applyBorder="1" applyAlignment="1">
      <alignment horizontal="right" vertical="center"/>
    </xf>
    <xf numFmtId="165" fontId="8" fillId="8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2" fontId="7" fillId="6" borderId="3" xfId="0" applyNumberFormat="1" applyFont="1" applyFill="1" applyBorder="1"/>
    <xf numFmtId="3" fontId="7" fillId="6" borderId="3" xfId="0" applyNumberFormat="1" applyFont="1" applyFill="1" applyBorder="1"/>
    <xf numFmtId="169" fontId="7" fillId="6" borderId="3" xfId="0" applyNumberFormat="1" applyFont="1" applyFill="1" applyBorder="1"/>
    <xf numFmtId="170" fontId="7" fillId="6" borderId="3" xfId="0" applyNumberFormat="1" applyFont="1" applyFill="1" applyBorder="1"/>
    <xf numFmtId="171" fontId="7" fillId="6" borderId="3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169" fontId="11" fillId="9" borderId="1" xfId="0" applyNumberFormat="1" applyFont="1" applyFill="1" applyBorder="1" applyAlignment="1">
      <alignment horizontal="right" vertical="center"/>
    </xf>
    <xf numFmtId="165" fontId="11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right" vertical="center"/>
    </xf>
    <xf numFmtId="170" fontId="5" fillId="0" borderId="1" xfId="0" applyNumberFormat="1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right" vertical="center"/>
    </xf>
    <xf numFmtId="0" fontId="8" fillId="8" borderId="4" xfId="0" applyFont="1" applyFill="1" applyBorder="1" applyAlignment="1">
      <alignment horizontal="left" vertical="center" wrapText="1"/>
    </xf>
    <xf numFmtId="165" fontId="7" fillId="6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center" wrapText="1"/>
    </xf>
    <xf numFmtId="173" fontId="0" fillId="0" borderId="1" xfId="0" applyNumberFormat="1" applyBorder="1" applyAlignment="1">
      <alignment horizontal="right" vertical="center"/>
    </xf>
    <xf numFmtId="174" fontId="0" fillId="0" borderId="1" xfId="0" applyNumberFormat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6" fontId="7" fillId="6" borderId="3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8" fillId="8" borderId="4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8" borderId="4" xfId="0" applyFill="1" applyBorder="1"/>
    <xf numFmtId="0" fontId="4" fillId="3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left" vertical="center" wrapText="1"/>
    </xf>
    <xf numFmtId="0" fontId="7" fillId="6" borderId="3" xfId="0" applyFont="1" applyFill="1" applyBorder="1" applyAlignment="1">
      <alignment horizontal="right" vertical="center"/>
    </xf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F15" sqref="F15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8" ht="28" customHeight="1" x14ac:dyDescent="0.35">
      <c r="A1" s="67" t="s">
        <v>0</v>
      </c>
      <c r="B1" s="64"/>
      <c r="C1" s="64"/>
      <c r="D1" s="64"/>
      <c r="E1" s="64"/>
      <c r="F1" s="64"/>
      <c r="G1" s="64"/>
    </row>
    <row r="2" spans="1:8" x14ac:dyDescent="0.35">
      <c r="A2" s="1" t="s">
        <v>1</v>
      </c>
    </row>
    <row r="7" spans="1:8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8" ht="30" customHeight="1" x14ac:dyDescent="0.35">
      <c r="A8" s="3" t="s">
        <v>9</v>
      </c>
      <c r="B8" s="4" t="s">
        <v>10</v>
      </c>
      <c r="C8" s="5">
        <f>'Τεχνικοί Υπολογισμοί'!$D$14</f>
        <v>18</v>
      </c>
      <c r="D8" s="3" t="s">
        <v>11</v>
      </c>
      <c r="E8" s="6">
        <f>'Τεχνικοί Υπολογισμοί'!$D$15</f>
        <v>177.77777777777777</v>
      </c>
      <c r="F8" s="7">
        <f>$C$8*$E$8</f>
        <v>3200</v>
      </c>
      <c r="G8" s="7">
        <f>$F$8/'Τεχνικοί Υπολογισμοί'!$D$14</f>
        <v>177.77777777777777</v>
      </c>
    </row>
    <row r="9" spans="1:8" ht="30" customHeight="1" x14ac:dyDescent="0.35">
      <c r="A9" s="3" t="s">
        <v>12</v>
      </c>
      <c r="B9" s="4" t="s">
        <v>13</v>
      </c>
      <c r="C9" s="8">
        <f>'Τεχνικοί Υπολογισμοί'!$D$45</f>
        <v>342.9</v>
      </c>
      <c r="D9" s="3" t="s">
        <v>14</v>
      </c>
      <c r="E9" s="6">
        <f>'Τιμές &amp; Έλεγχος'!$D$9</f>
        <v>90</v>
      </c>
      <c r="F9" s="7">
        <f>$C$9*$E$9</f>
        <v>30860.999999999996</v>
      </c>
      <c r="G9" s="7">
        <f>$F$9/'Τεχνικοί Υπολογισμοί'!$D$14</f>
        <v>1714.4999999999998</v>
      </c>
    </row>
    <row r="10" spans="1:8" ht="30" customHeight="1" x14ac:dyDescent="0.35">
      <c r="A10" s="3" t="s">
        <v>15</v>
      </c>
      <c r="B10" s="4" t="str">
        <f>"Σκυροδέτηση πασσάλων "&amp;'Τεχνικοί Υπολογισμοί'!$D$18&amp;" (με απώλεια +"&amp;ROUND('Τεχνικοί Υπολογισμοί'!$D$99*100,0)&amp;"%)"</f>
        <v>Σκυροδέτηση πασσάλων C40/50 (με απώλεια +10%)</v>
      </c>
      <c r="C10" s="8">
        <f>'Τεχνικοί Υπολογισμοί'!$D$46</f>
        <v>174.41871085318246</v>
      </c>
      <c r="D10" s="3" t="s">
        <v>16</v>
      </c>
      <c r="E10" s="9">
        <f>'Τιμές &amp; Έλεγχος'!$D$21</f>
        <v>116</v>
      </c>
      <c r="F10" s="7">
        <f>$C$10*$E$10</f>
        <v>20232.570458969167</v>
      </c>
      <c r="G10" s="7">
        <f>$F$10/'Τεχνικοί Υπολογισμοί'!$D$14</f>
        <v>1124.0316921649537</v>
      </c>
    </row>
    <row r="11" spans="1:8" ht="30" customHeight="1" x14ac:dyDescent="0.35">
      <c r="A11" s="3" t="s">
        <v>17</v>
      </c>
      <c r="B11" s="4" t="str">
        <f>"Χάλυβας οπλισμού B500C (κάθετα σίδερα "&amp;'Τεχνικοί Υπολογισμοί'!$D$28&amp;"Φ"&amp;'Τεχνικοί Υπολογισμοί'!$D$29&amp;", σούστα Φ"&amp;'Τεχνικοί Υπολογισμοί'!$D$34&amp;"/"&amp;ROUND('Τεχνικοί Υπολογισμοί'!$D$37/10,0)&amp;" &amp; στεφάνια αναμονής)"</f>
        <v>Χάλυβας οπλισμού B500C (κάθετα σίδερα 16Φ20, σούστα Φ10/15 &amp; στεφάνια αναμονής)</v>
      </c>
      <c r="C11" s="10">
        <f>'Τεχνικοί Υπολογισμοί'!$D$47</f>
        <v>15091.817831819826</v>
      </c>
      <c r="D11" s="3" t="s">
        <v>18</v>
      </c>
      <c r="E11" s="6">
        <f>'Τιμές &amp; Έλεγχος'!$D$10</f>
        <v>1.1000000000000001</v>
      </c>
      <c r="F11" s="7">
        <f>$C$11*$E$11</f>
        <v>16600.999615001809</v>
      </c>
      <c r="G11" s="7">
        <f>$F$11/'Τεχνικοί Υπολογισμοί'!$D$14</f>
        <v>922.27775638898936</v>
      </c>
    </row>
    <row r="12" spans="1:8" ht="30" customHeight="1" x14ac:dyDescent="0.35">
      <c r="A12" s="3" t="s">
        <v>19</v>
      </c>
      <c r="B12" s="4" t="str">
        <f>"Sleeves προστασίας αναμονών starter (Sleeve Φ32 για κάθετα σίδερα Φ"&amp;'Τεχνικοί Υπολογισμοί'!$D$29&amp;")"</f>
        <v>Sleeves προστασίας αναμονών starter (Sleeve Φ32 για κάθετα σίδερα Φ20)</v>
      </c>
      <c r="C12" s="5">
        <f>'Τεχνικοί Υπολογισμοί'!$D$48</f>
        <v>288</v>
      </c>
      <c r="D12" s="3" t="s">
        <v>20</v>
      </c>
      <c r="E12" s="6">
        <f>'Τιμές &amp; Έλεγχος'!$D$26</f>
        <v>3</v>
      </c>
      <c r="F12" s="7">
        <f>$C$12*$E$12</f>
        <v>864</v>
      </c>
      <c r="G12" s="7">
        <f>$F$12/'Τεχνικοί Υπολογισμοί'!$D$14</f>
        <v>48</v>
      </c>
    </row>
    <row r="13" spans="1:8" ht="30" customHeight="1" x14ac:dyDescent="0.35">
      <c r="A13" s="3" t="str">
        <f>IF('Τιμές &amp; Έλεγχος'!$D$35="ΝΑΙ","6","")</f>
        <v/>
      </c>
      <c r="B13" s="4" t="str">
        <f>IF('Τιμές &amp; Έλεγχος'!$D$35="ΝΑΙ","Κεφαλοκοπή πασσάλων / Pile Breaking","")</f>
        <v/>
      </c>
      <c r="C13" s="11">
        <f>IF('Τιμές &amp; Έλεγχος'!$D$35="ΝΑΙ",'Τεχνικοί Υπολογισμοί'!$D$49,0)</f>
        <v>0</v>
      </c>
      <c r="D13" s="3" t="str">
        <f>IF('Τιμές &amp; Έλεγχος'!$D$35="ΝΑΙ","τεμ.","")</f>
        <v/>
      </c>
      <c r="E13" s="12">
        <f>IF('Τιμές &amp; Έλεγχος'!$D$35="ΝΑΙ",'Τιμές &amp; Έλεγχος'!$D$11,0)</f>
        <v>0</v>
      </c>
      <c r="F13" s="13">
        <f>$C$13*$E$13</f>
        <v>0</v>
      </c>
      <c r="G13" s="13">
        <f>$F$13/'Τεχνικοί Υπολογισμοί'!$D$14</f>
        <v>0</v>
      </c>
    </row>
    <row r="14" spans="1:8" ht="30" customHeight="1" x14ac:dyDescent="0.35">
      <c r="A14" s="3" t="str">
        <f>IF('Τιμές &amp; Έλεγχος'!$D$36="ΝΑΙ",IF('Τιμές &amp; Έλεγχος'!$D$35="ΝΑΙ","7","6"),"")</f>
        <v/>
      </c>
      <c r="B14" s="4" t="str">
        <f>IF('Τιμές &amp; Έλεγχος'!$D$36="ΝΑΙ","Απομάκρυνση εκσκαπτόμενου χώματος &amp; Λατομικά τέλη","")</f>
        <v/>
      </c>
      <c r="C14" s="14">
        <f>IF('Τιμές &amp; Έλεγχος'!$D$36="ΝΑΙ",'Τεχνικοί Υπολογισμοί'!$D$50,0)</f>
        <v>0</v>
      </c>
      <c r="D14" s="3" t="str">
        <f>IF('Τιμές &amp; Έλεγχος'!$D$36="ΝΑΙ","m³","")</f>
        <v/>
      </c>
      <c r="E14" s="12">
        <f>IF('Τιμές &amp; Έλεγχος'!$D$36="ΝΑΙ",'Τιμές &amp; Έλεγχος'!$D$37,0)</f>
        <v>0</v>
      </c>
      <c r="F14" s="13">
        <f>$C$14*$E$14</f>
        <v>0</v>
      </c>
      <c r="G14" s="13">
        <f>$F$14/'Τεχνικοί Υπολογισμοί'!$D$14</f>
        <v>0</v>
      </c>
    </row>
    <row r="15" spans="1:8" ht="26" customHeight="1" x14ac:dyDescent="0.35">
      <c r="A15" s="66" t="s">
        <v>21</v>
      </c>
      <c r="B15" s="69"/>
      <c r="C15" s="69"/>
      <c r="D15" s="69"/>
      <c r="E15" s="69"/>
      <c r="F15" s="15">
        <f>ROUNDUP($F$8+$F$9+$F$10+$F$11+$F$12+$F$13+$F$14,-3)</f>
        <v>72000</v>
      </c>
      <c r="G15" s="15">
        <f>ROUNDUP($F$15/'Τεχνικοί Υπολογισμοί'!$D$14,-3)</f>
        <v>4000</v>
      </c>
      <c r="H15" t="s">
        <v>414</v>
      </c>
    </row>
    <row r="17" spans="1:7" x14ac:dyDescent="0.35">
      <c r="A17" s="16" t="s">
        <v>22</v>
      </c>
    </row>
    <row r="18" spans="1:7" ht="24" customHeight="1" x14ac:dyDescent="0.35">
      <c r="A18" s="68" t="str">
        <f>"1. Στις τιμές ΔΕΝ περιλαμβάνεται ο Φ.Π.Α. — Γενικό Σύνολο Προσφοράς: "&amp;ROUND($F$15,2)&amp;" € (Μέσο κόστος ανά πάσσαλο: "&amp;ROUND($F$15/'Τεχνικοί Υπολογισμοί'!$D$14,2)&amp;" € για "&amp;'Τεχνικοί Υπολογισμοί'!$D$14&amp;" πασσάλους)."</f>
        <v>1. Στις τιμές ΔΕΝ περιλαμβάνεται ο Φ.Π.Α. — Γενικό Σύνολο Προσφοράς: 72000 € (Μέσο κόστος ανά πάσσαλο: 4000 € για 18 πασσάλους).</v>
      </c>
      <c r="B18" s="64"/>
      <c r="C18" s="64"/>
      <c r="D18" s="64"/>
      <c r="E18" s="64"/>
      <c r="F18" s="64"/>
      <c r="G18" s="64"/>
    </row>
    <row r="19" spans="1:7" ht="24" customHeight="1" x14ac:dyDescent="0.35">
      <c r="A19" s="68" t="str">
        <f>"2. Μετακινήσεις γεωτρύπανου: Βασική Λεμεσού ("&amp;ROUND('Τιμές &amp; Έλεγχος'!$D$7,2)&amp;" €) + Εκτός Λεμεσού ανά "&amp;ROUND('Τεχνικοί Υπολογισμοί'!$D$8,0)&amp;"km ("&amp;'Τεχνικοί Υπολογισμοί'!$D$9&amp;" × "&amp;ROUND('Τιμές &amp; Έλεγχος'!$D$8,2)&amp;" € = "&amp;ROUND('Τεχνικοί Υπολογισμοί'!$D$9*'Τιμές &amp; Έλεγχος'!$D$8,2)&amp;" €) + Συνοδεία Αστυνομίας ("&amp;ROUND('Τιμές &amp; Έλεγχος'!$D$29,1)&amp;" km × "&amp;ROUND('Τιμές &amp; Έλεγχος'!$D$30,2)&amp;" €/km = "&amp;ROUND('Τιμές &amp; Έλεγχος'!$D$31,2)&amp;" €) = "&amp;ROUND('Τεχνικοί Υπολογισμοί'!$D$13,2)&amp;" € ("&amp;ROUND($E$8,2)&amp;" €/πάσσαλο)."</f>
        <v>2. Μετακινήσεις γεωτρύπανου: Βασική Λεμεσού (1000 €) + Εκτός Λεμεσού ανά 10km (8 × 200 € = 1600 €) + Συνοδεία Αστυνομίας (75 km × 8 €/km = 600 €) = 3200 € (177.78 €/πάσσαλο).</v>
      </c>
      <c r="B19" s="64"/>
      <c r="C19" s="64"/>
      <c r="D19" s="64"/>
      <c r="E19" s="64"/>
      <c r="F19" s="64"/>
      <c r="G19" s="64"/>
    </row>
    <row r="20" spans="1:7" ht="24" customHeight="1" x14ac:dyDescent="0.35">
      <c r="A20" s="68" t="str">
        <f>"3. Εκσκαφή / Διάτρηση (από στάθμη πλατφόρμας WPL "&amp;ROUND('Τεχνικοί Υπολογισμοί'!$D$17,2)&amp;"m): Ύψος σκυροδετημένου πασσάλου = "&amp;ROUND('Τεχνικοί Υπολογισμοί'!$D$25,3)&amp;"m, Συνολικά μέτρα διάτρησης = "&amp;ROUND('Τεχνικοί Υπολογισμοί'!$D$45,2)&amp;"m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(90 €) = 30861 €.</v>
      </c>
      <c r="B20" s="64"/>
      <c r="C20" s="64"/>
      <c r="D20" s="64"/>
      <c r="E20" s="64"/>
      <c r="F20" s="64"/>
      <c r="G20" s="64"/>
    </row>
    <row r="21" spans="1:7" ht="24" customHeight="1" x14ac:dyDescent="0.35">
      <c r="A21" s="68" t="str">
        <f>"4. Σκυρόδεμα "&amp;'Τεχνικοί Υπολογισμοί'!$D$18&amp;": ROUND(Αγορά "&amp;ROUND('Τιμές &amp; Έλεγχος'!$D$15,2)&amp;" €/m³ + Τοποθέτηση "&amp;ROUND('Τιμές &amp; Έλεγχος'!$D$16,2)&amp;" €/m³ + Αντλία "&amp;ROUND('Τιμές &amp; Έλεγχος'!$D$20,2)&amp;" €/m³, 0) = "&amp;ROUND($E$10,0)&amp;" €/m³ × "&amp;ROUND('Τεχνικοί Υπολογισμοί'!$D$46,2)&amp;" m³ = "&amp;ROUND($F$10,2)&amp;" €."</f>
        <v>4. Σκυρόδεμα C40/50: ROUND(Αγορά 94 €/m³ + Τοποθέτηση 15 €/m³ + Αντλία 6.71 €/m³, 0) = 116 €/m³ × 174.42 m³ = 20232.57 €.</v>
      </c>
      <c r="B21" s="64"/>
      <c r="C21" s="64"/>
      <c r="D21" s="64"/>
      <c r="E21" s="64"/>
      <c r="F21" s="64"/>
      <c r="G21" s="64"/>
    </row>
    <row r="22" spans="1:7" ht="24" customHeight="1" x14ac:dyDescent="0.35">
      <c r="A22" s="68" t="str">
        <f>"5. Οπλισμός κλωβού ("&amp;'Τεχνικοί Υπολογισμοί'!$D$28&amp;"Φ"&amp;'Τεχνικοί Υπολογισμοί'!$D$29&amp;" + σούστα Φ"&amp;'Τεχνικοί Υπολογισμοί'!$D$34&amp;"/"&amp;ROUND('Τεχνικοί Υπολογισμοί'!$D$37/10,0)&amp;"): Αναμονή starter = "&amp;ROUND('Τεχνικοί Υπολογισμοί'!$D$30,2)&amp;"m, Γωνία πάνω = "&amp;ROUND('Τεχνικοί Υπολογισμοί'!$D$31,2)&amp;"m, Γωνία κάτω = "&amp;ROUND('Τεχνικοί Υπολογισμοί'!$D$32,2)&amp;"m, Ύψος μάτισης = "&amp;ROUND('Τεχνικοί Υπολογισμοί'!$D$33,2)&amp;"m ("&amp;'Τεχνικοί Υπολογισμοί'!$D$119&amp;" μάτιση), Σπείρες σούστας = "&amp;'Τεχνικοί Υπολογισμοί'!$D$123&amp;" (με +1) + "&amp;'Τεχνικοί Υπολογισμοί'!$D$126&amp;" στεφάνια αναμονής (χωρίς +1) → "&amp;ROUND('Τεχνικοί Υπολογισμοί'!$D$129,2)&amp;" kg/πασσ., Σύνολο = "&amp;ROUND('Τεχνικοί Υπολογισμοί'!$D$47,1)&amp;"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2" s="64"/>
      <c r="C22" s="64"/>
      <c r="D22" s="64"/>
      <c r="E22" s="64"/>
      <c r="F22" s="64"/>
      <c r="G22" s="64"/>
    </row>
    <row r="23" spans="1:7" ht="24" customHeight="1" x14ac:dyDescent="0.35">
      <c r="A23" s="68" t="str">
        <f>"6. Sleeves αναμονών (Sleeve Φ32 για Φ"&amp;'Τεχνικοί Υπολογισμοί'!$D$29&amp;"): ((Κόστος αγοράς + Κόστος τοποθέτησης) × Profit, Waste, Overhead) = "&amp;ROUND('Τιμές &amp; Έλεγχος'!$D$25,2)&amp;" € → Στρογγυλεμένο τελικό αποτέλεσμα = "&amp;ROUND($E$12,2)&amp;" €/τεμ. × "&amp;'Τεχνικοί Υπολογισμοί'!$D$48&amp;" τεμ. = "&amp;ROUND($F$12,2)&amp;" €."</f>
        <v>6. Sleeves αναμονών (Sleeve Φ32 για Φ20): ((Κόστος αγοράς + Κόστος τοποθέτησης) × Profit, Waste, Overhead) = 2.87 € → Στρογγυλεμένο τελικό αποτέλεσμα = 3 €/τεμ. × 288 τεμ. = 864 €.</v>
      </c>
      <c r="B23" s="64"/>
      <c r="C23" s="64"/>
      <c r="D23" s="64"/>
      <c r="E23" s="64"/>
      <c r="F23" s="64"/>
      <c r="G23" s="64"/>
    </row>
    <row r="24" spans="1:7" ht="24" customHeight="1" x14ac:dyDescent="0.35">
      <c r="A24" s="68" t="str">
        <f>"7. Κεφαλοκοπή πασσάλων (Κουμπί Τ.Ε.1 = "&amp;'Τιμές &amp; Έλεγχος'!$D$35&amp;"): "&amp;IF('Τιμές &amp; Έλεγχος'!$D$35="ΝΑΙ","ΠΕΡΙΛΑΜΒΑΝΕΤΑΙ στην προσφορά ("&amp;$C$13&amp;" τεμ. × "&amp;ROUND($E$13,2)&amp;" € = "&amp;ROUND($F$13,2)&amp;" €).","ΔΕΝ ΠΕΡΙΛΑΜΒΑΝΕΤΑΙ στην προσφορά (Ευθύνη Πελάτη / Εργολάβου — 0,00 €).")&amp;" | Απομάκρυνση εκσκαπτόμενου χώματος &amp; Λατομικά τέλη (Κουμπί Τ.Ε.2 = "&amp;'Τιμές &amp; Έλεγχος'!$D$36&amp;"): "&amp;IF('Τιμές &amp; Έλεγχος'!$D$36="ΝΑΙ","ΠΕΡΙΛΑΜΒΑΝΕΤΑΙ στην προσφορά ("&amp;ROUND($C$14,2)&amp;" m³ × "&amp;ROUND($E$14,2)&amp;" €/m³ = "&amp;ROUND($F$14,2)&amp;" €).","ΔΕΝ ΠΕΡΙΛΑΜΒΑΝΕΤΑΙ στην προσφορά (Ευθύνη Πελάτη / Εργολάβου — 0,00 €).")</f>
        <v>7. Κεφαλοκοπή πασσάλων (Κουμπί Τ.Ε.1 = ΟΧΙ): ΔΕΝ ΠΕΡΙΛΑΜΒΑΝΕΤΑΙ στην προσφορά (Ευθύνη Πελάτη / Εργολάβου — 0,00 €). | Απομάκρυνση εκσκαπτόμενου χώματος &amp; Λατομικά τέλη (Κουμπί Τ.Ε.2 = ΟΧΙ): ΔΕΝ ΠΕΡΙΛΑΜΒΑΝΕΤΑΙ στην προσφορά (Ευθύνη Πελάτη / Εργολάβου — 0,00 €).</v>
      </c>
      <c r="B24" s="64"/>
      <c r="C24" s="64"/>
      <c r="D24" s="64"/>
      <c r="E24" s="64"/>
      <c r="F24" s="64"/>
      <c r="G24" s="64"/>
    </row>
    <row r="25" spans="1:7" ht="24" customHeight="1" x14ac:dyDescent="0.35">
      <c r="A25" s="68" t="s">
        <v>23</v>
      </c>
      <c r="B25" s="64"/>
      <c r="C25" s="64"/>
      <c r="D25" s="64"/>
      <c r="E25" s="64"/>
      <c r="F25" s="64"/>
      <c r="G25" s="64"/>
    </row>
  </sheetData>
  <mergeCells count="10">
    <mergeCell ref="A24:G24"/>
    <mergeCell ref="A25:G25"/>
    <mergeCell ref="A19:G19"/>
    <mergeCell ref="A23:G23"/>
    <mergeCell ref="A1:G1"/>
    <mergeCell ref="A18:G18"/>
    <mergeCell ref="A15:E15"/>
    <mergeCell ref="A21:G21"/>
    <mergeCell ref="A22:G22"/>
    <mergeCell ref="A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tabSelected="1" workbookViewId="0">
      <pane xSplit="3" ySplit="3" topLeftCell="D25" activePane="bottomRight" state="frozen"/>
      <selection pane="topRight"/>
      <selection pane="bottomLeft"/>
      <selection pane="bottomRight" activeCell="D27" sqref="D27:E27"/>
    </sheetView>
  </sheetViews>
  <sheetFormatPr defaultRowHeight="14.5" x14ac:dyDescent="0.35"/>
  <cols>
    <col min="1" max="1" width="10" customWidth="1"/>
    <col min="2" max="2" width="56" customWidth="1"/>
    <col min="3" max="3" width="11" customWidth="1"/>
    <col min="4" max="5" width="16" customWidth="1"/>
    <col min="6" max="6" width="18" customWidth="1"/>
    <col min="7" max="7" width="76" customWidth="1"/>
  </cols>
  <sheetData>
    <row r="1" spans="1:7" ht="28" customHeight="1" x14ac:dyDescent="0.35">
      <c r="A1" s="67" t="s">
        <v>24</v>
      </c>
      <c r="B1" s="64"/>
      <c r="C1" s="64"/>
      <c r="D1" s="64"/>
      <c r="E1" s="64"/>
      <c r="F1" s="64"/>
      <c r="G1" s="64"/>
    </row>
    <row r="2" spans="1:7" x14ac:dyDescent="0.35">
      <c r="A2" s="1" t="s">
        <v>25</v>
      </c>
    </row>
    <row r="4" spans="1:7" x14ac:dyDescent="0.35">
      <c r="A4" s="18" t="s">
        <v>26</v>
      </c>
    </row>
    <row r="5" spans="1:7" ht="30" customHeight="1" x14ac:dyDescent="0.35">
      <c r="A5" s="2" t="s">
        <v>27</v>
      </c>
      <c r="B5" s="2" t="s">
        <v>28</v>
      </c>
      <c r="C5" s="2" t="s">
        <v>5</v>
      </c>
      <c r="D5" s="2" t="s">
        <v>29</v>
      </c>
      <c r="E5" s="2"/>
      <c r="F5" s="2"/>
      <c r="G5" s="2" t="s">
        <v>30</v>
      </c>
    </row>
    <row r="6" spans="1:7" x14ac:dyDescent="0.35">
      <c r="A6" s="18" t="s">
        <v>31</v>
      </c>
    </row>
    <row r="7" spans="1:7" x14ac:dyDescent="0.35">
      <c r="A7" s="3" t="s">
        <v>32</v>
      </c>
      <c r="B7" s="19" t="s">
        <v>33</v>
      </c>
      <c r="C7" s="3" t="s">
        <v>34</v>
      </c>
      <c r="D7" s="20">
        <f>'Τιμές &amp; Έλεγχος'!$D$6</f>
        <v>75</v>
      </c>
      <c r="G7" s="17" t="s">
        <v>35</v>
      </c>
    </row>
    <row r="8" spans="1:7" x14ac:dyDescent="0.35">
      <c r="A8" s="3" t="s">
        <v>36</v>
      </c>
      <c r="B8" s="19" t="s">
        <v>37</v>
      </c>
      <c r="C8" s="3" t="s">
        <v>34</v>
      </c>
      <c r="D8" s="21">
        <v>10</v>
      </c>
      <c r="G8" s="17" t="s">
        <v>38</v>
      </c>
    </row>
    <row r="9" spans="1:7" x14ac:dyDescent="0.35">
      <c r="A9" s="3" t="s">
        <v>39</v>
      </c>
      <c r="B9" s="19" t="s">
        <v>40</v>
      </c>
      <c r="C9" s="3" t="s">
        <v>41</v>
      </c>
      <c r="D9" s="22">
        <f>IF('Τιμές &amp; Έλεγχος'!$D$6&gt;0,ROUNDUP(ROUND('Τιμές &amp; Έλεγχος'!$D$6/$D$8,9),0),0)</f>
        <v>8</v>
      </c>
      <c r="G9" s="17" t="s">
        <v>42</v>
      </c>
    </row>
    <row r="10" spans="1:7" x14ac:dyDescent="0.35">
      <c r="A10" s="3" t="s">
        <v>43</v>
      </c>
      <c r="B10" s="19" t="s">
        <v>44</v>
      </c>
      <c r="C10" s="3" t="s">
        <v>45</v>
      </c>
      <c r="D10" s="6">
        <f>'Τιμές &amp; Έλεγχος'!$D$7</f>
        <v>1000</v>
      </c>
      <c r="G10" s="17" t="s">
        <v>46</v>
      </c>
    </row>
    <row r="11" spans="1:7" x14ac:dyDescent="0.35">
      <c r="A11" s="3" t="s">
        <v>47</v>
      </c>
      <c r="B11" s="19" t="s">
        <v>48</v>
      </c>
      <c r="C11" s="3" t="s">
        <v>45</v>
      </c>
      <c r="D11" s="6">
        <f>'Τιμές &amp; Έλεγχος'!$D$8</f>
        <v>200</v>
      </c>
      <c r="G11" s="17" t="s">
        <v>49</v>
      </c>
    </row>
    <row r="12" spans="1:7" x14ac:dyDescent="0.35">
      <c r="A12" s="3" t="s">
        <v>50</v>
      </c>
      <c r="B12" s="19" t="s">
        <v>51</v>
      </c>
      <c r="C12" s="3" t="s">
        <v>45</v>
      </c>
      <c r="D12" s="6">
        <f>'Τιμές &amp; Έλεγχος'!$D$31</f>
        <v>600</v>
      </c>
      <c r="G12" s="17" t="s">
        <v>52</v>
      </c>
    </row>
    <row r="13" spans="1:7" x14ac:dyDescent="0.35">
      <c r="A13" s="3" t="s">
        <v>53</v>
      </c>
      <c r="B13" s="19" t="s">
        <v>54</v>
      </c>
      <c r="C13" s="3" t="s">
        <v>45</v>
      </c>
      <c r="D13" s="7">
        <f>'Τιμές &amp; Έλεγχος'!$D$7+$D$9*'Τιμές &amp; Έλεγχος'!$D$8+'Τιμές &amp; Έλεγχος'!$D$31</f>
        <v>3200</v>
      </c>
      <c r="G13" s="17" t="s">
        <v>55</v>
      </c>
    </row>
    <row r="14" spans="1:7" x14ac:dyDescent="0.35">
      <c r="A14" s="3" t="s">
        <v>56</v>
      </c>
      <c r="B14" s="19" t="s">
        <v>57</v>
      </c>
      <c r="C14" s="3" t="s">
        <v>20</v>
      </c>
      <c r="D14" s="5">
        <f>$D$23+$E$23</f>
        <v>18</v>
      </c>
      <c r="G14" s="17" t="s">
        <v>58</v>
      </c>
    </row>
    <row r="15" spans="1:7" x14ac:dyDescent="0.35">
      <c r="A15" s="3" t="s">
        <v>59</v>
      </c>
      <c r="B15" s="19" t="s">
        <v>60</v>
      </c>
      <c r="C15" s="3" t="s">
        <v>45</v>
      </c>
      <c r="D15" s="7">
        <f>$D$13/$D$14</f>
        <v>177.77777777777777</v>
      </c>
      <c r="G15" s="17" t="s">
        <v>61</v>
      </c>
    </row>
    <row r="16" spans="1:7" x14ac:dyDescent="0.35">
      <c r="A16" s="18" t="s">
        <v>62</v>
      </c>
    </row>
    <row r="17" spans="1:7" x14ac:dyDescent="0.35">
      <c r="A17" s="3" t="s">
        <v>63</v>
      </c>
      <c r="B17" s="19" t="s">
        <v>64</v>
      </c>
      <c r="C17" s="3" t="s">
        <v>14</v>
      </c>
      <c r="D17" s="8">
        <v>0</v>
      </c>
      <c r="G17" s="17" t="s">
        <v>65</v>
      </c>
    </row>
    <row r="18" spans="1:7" x14ac:dyDescent="0.35">
      <c r="A18" s="3" t="s">
        <v>66</v>
      </c>
      <c r="B18" s="19" t="s">
        <v>67</v>
      </c>
      <c r="C18" s="3" t="s">
        <v>68</v>
      </c>
      <c r="D18" s="23" t="s">
        <v>69</v>
      </c>
      <c r="G18" s="17" t="s">
        <v>70</v>
      </c>
    </row>
    <row r="19" spans="1:7" x14ac:dyDescent="0.35">
      <c r="A19" s="3" t="s">
        <v>71</v>
      </c>
      <c r="B19" s="19" t="s">
        <v>72</v>
      </c>
      <c r="C19" s="3" t="s">
        <v>73</v>
      </c>
      <c r="D19" s="22">
        <v>75</v>
      </c>
      <c r="G19" s="17" t="s">
        <v>74</v>
      </c>
    </row>
    <row r="20" spans="1:7" x14ac:dyDescent="0.35">
      <c r="A20" s="18" t="s">
        <v>75</v>
      </c>
    </row>
    <row r="21" spans="1:7" ht="30" customHeight="1" x14ac:dyDescent="0.35">
      <c r="A21" s="2" t="s">
        <v>27</v>
      </c>
      <c r="B21" s="2" t="s">
        <v>28</v>
      </c>
      <c r="C21" s="2" t="s">
        <v>5</v>
      </c>
      <c r="D21" s="2" t="s">
        <v>76</v>
      </c>
      <c r="E21" s="2" t="s">
        <v>77</v>
      </c>
      <c r="F21" s="2"/>
      <c r="G21" s="2" t="s">
        <v>78</v>
      </c>
    </row>
    <row r="22" spans="1:7" ht="30" customHeight="1" x14ac:dyDescent="0.35">
      <c r="A22" s="3" t="s">
        <v>79</v>
      </c>
      <c r="B22" s="19" t="s">
        <v>80</v>
      </c>
      <c r="D22" s="24" t="s">
        <v>81</v>
      </c>
      <c r="E22" s="24" t="s">
        <v>82</v>
      </c>
    </row>
    <row r="23" spans="1:7" x14ac:dyDescent="0.35">
      <c r="A23" s="3" t="s">
        <v>83</v>
      </c>
      <c r="B23" s="19" t="s">
        <v>84</v>
      </c>
      <c r="C23" s="3" t="s">
        <v>20</v>
      </c>
      <c r="D23" s="5">
        <v>17</v>
      </c>
      <c r="E23" s="5">
        <v>1</v>
      </c>
      <c r="F23" s="25">
        <f>$D$23+$E$23</f>
        <v>18</v>
      </c>
      <c r="G23" s="17" t="s">
        <v>85</v>
      </c>
    </row>
    <row r="24" spans="1:7" x14ac:dyDescent="0.35">
      <c r="A24" s="3" t="s">
        <v>86</v>
      </c>
      <c r="B24" s="19" t="s">
        <v>87</v>
      </c>
      <c r="C24" s="3" t="s">
        <v>73</v>
      </c>
      <c r="D24" s="22">
        <v>800</v>
      </c>
      <c r="E24" s="22">
        <v>800</v>
      </c>
      <c r="G24" s="17" t="s">
        <v>88</v>
      </c>
    </row>
    <row r="25" spans="1:7" ht="36" x14ac:dyDescent="0.35">
      <c r="A25" s="3" t="s">
        <v>89</v>
      </c>
      <c r="B25" s="19" t="s">
        <v>90</v>
      </c>
      <c r="C25" s="3" t="s">
        <v>14</v>
      </c>
      <c r="D25" s="8">
        <v>15.525</v>
      </c>
      <c r="E25" s="8">
        <v>15.525</v>
      </c>
      <c r="G25" s="17" t="s">
        <v>91</v>
      </c>
    </row>
    <row r="26" spans="1:7" ht="24" x14ac:dyDescent="0.35">
      <c r="A26" s="3" t="s">
        <v>92</v>
      </c>
      <c r="B26" s="19" t="s">
        <v>93</v>
      </c>
      <c r="C26" s="3" t="s">
        <v>14</v>
      </c>
      <c r="D26" s="8">
        <v>-3.4750000000000001</v>
      </c>
      <c r="E26" s="8">
        <v>-4.375</v>
      </c>
      <c r="G26" s="17" t="s">
        <v>94</v>
      </c>
    </row>
    <row r="27" spans="1:7" ht="24" x14ac:dyDescent="0.35">
      <c r="A27" s="3" t="s">
        <v>95</v>
      </c>
      <c r="B27" s="19" t="s">
        <v>96</v>
      </c>
      <c r="C27" s="3" t="s">
        <v>14</v>
      </c>
      <c r="D27" s="8"/>
      <c r="E27" s="8"/>
      <c r="G27" s="17" t="s">
        <v>97</v>
      </c>
    </row>
    <row r="28" spans="1:7" x14ac:dyDescent="0.35">
      <c r="A28" s="3" t="s">
        <v>98</v>
      </c>
      <c r="B28" s="19" t="s">
        <v>99</v>
      </c>
      <c r="C28" s="3" t="s">
        <v>20</v>
      </c>
      <c r="D28" s="5">
        <v>16</v>
      </c>
      <c r="E28" s="5">
        <v>16</v>
      </c>
      <c r="G28" s="17" t="s">
        <v>100</v>
      </c>
    </row>
    <row r="29" spans="1:7" x14ac:dyDescent="0.35">
      <c r="A29" s="3" t="s">
        <v>101</v>
      </c>
      <c r="B29" s="19" t="s">
        <v>102</v>
      </c>
      <c r="C29" s="3" t="s">
        <v>73</v>
      </c>
      <c r="D29" s="22">
        <v>20</v>
      </c>
      <c r="E29" s="22">
        <v>20</v>
      </c>
      <c r="G29" s="17" t="s">
        <v>103</v>
      </c>
    </row>
    <row r="30" spans="1:7" x14ac:dyDescent="0.35">
      <c r="A30" s="3" t="s">
        <v>104</v>
      </c>
      <c r="B30" s="19" t="s">
        <v>105</v>
      </c>
      <c r="C30" s="3" t="s">
        <v>14</v>
      </c>
      <c r="D30" s="8">
        <v>1</v>
      </c>
      <c r="E30" s="8">
        <v>1</v>
      </c>
      <c r="G30" s="17" t="s">
        <v>106</v>
      </c>
    </row>
    <row r="31" spans="1:7" x14ac:dyDescent="0.35">
      <c r="A31" s="3" t="s">
        <v>107</v>
      </c>
      <c r="B31" s="19" t="s">
        <v>108</v>
      </c>
      <c r="C31" s="3" t="s">
        <v>14</v>
      </c>
      <c r="D31" s="8">
        <v>0</v>
      </c>
      <c r="E31" s="8">
        <v>0</v>
      </c>
      <c r="G31" s="17" t="s">
        <v>109</v>
      </c>
    </row>
    <row r="32" spans="1:7" x14ac:dyDescent="0.35">
      <c r="A32" s="3" t="s">
        <v>110</v>
      </c>
      <c r="B32" s="19" t="s">
        <v>111</v>
      </c>
      <c r="C32" s="3" t="s">
        <v>14</v>
      </c>
      <c r="D32" s="8">
        <v>0</v>
      </c>
      <c r="E32" s="8">
        <v>0</v>
      </c>
      <c r="G32" s="17" t="s">
        <v>112</v>
      </c>
    </row>
    <row r="33" spans="1:7" ht="24" x14ac:dyDescent="0.35">
      <c r="A33" s="3" t="s">
        <v>113</v>
      </c>
      <c r="B33" s="19" t="s">
        <v>114</v>
      </c>
      <c r="C33" s="3" t="s">
        <v>14</v>
      </c>
      <c r="D33" s="8">
        <v>1.1499999999999999</v>
      </c>
      <c r="E33" s="8">
        <v>1.1499999999999999</v>
      </c>
      <c r="G33" s="17" t="s">
        <v>115</v>
      </c>
    </row>
    <row r="34" spans="1:7" x14ac:dyDescent="0.35">
      <c r="A34" s="3" t="s">
        <v>116</v>
      </c>
      <c r="B34" s="19" t="s">
        <v>117</v>
      </c>
      <c r="C34" s="3" t="s">
        <v>73</v>
      </c>
      <c r="D34" s="22">
        <v>10</v>
      </c>
      <c r="E34" s="22">
        <v>10</v>
      </c>
      <c r="G34" s="17" t="s">
        <v>118</v>
      </c>
    </row>
    <row r="35" spans="1:7" x14ac:dyDescent="0.35">
      <c r="A35" s="3" t="s">
        <v>119</v>
      </c>
      <c r="B35" s="19" t="s">
        <v>120</v>
      </c>
      <c r="C35" s="3" t="s">
        <v>73</v>
      </c>
      <c r="D35" s="22">
        <v>150</v>
      </c>
      <c r="E35" s="22">
        <v>150</v>
      </c>
      <c r="G35" s="17" t="s">
        <v>121</v>
      </c>
    </row>
    <row r="36" spans="1:7" x14ac:dyDescent="0.35">
      <c r="A36" s="3" t="s">
        <v>122</v>
      </c>
      <c r="B36" s="19" t="s">
        <v>123</v>
      </c>
      <c r="C36" s="3" t="s">
        <v>14</v>
      </c>
      <c r="D36" s="8">
        <v>0</v>
      </c>
      <c r="E36" s="8">
        <v>0</v>
      </c>
      <c r="G36" s="17" t="s">
        <v>124</v>
      </c>
    </row>
    <row r="37" spans="1:7" x14ac:dyDescent="0.35">
      <c r="A37" s="3" t="s">
        <v>125</v>
      </c>
      <c r="B37" s="19" t="s">
        <v>126</v>
      </c>
      <c r="C37" s="3" t="s">
        <v>73</v>
      </c>
      <c r="D37" s="22">
        <v>150</v>
      </c>
      <c r="E37" s="22">
        <v>150</v>
      </c>
      <c r="G37" s="17" t="s">
        <v>127</v>
      </c>
    </row>
    <row r="38" spans="1:7" x14ac:dyDescent="0.35">
      <c r="A38" s="3" t="s">
        <v>128</v>
      </c>
      <c r="B38" s="19" t="s">
        <v>129</v>
      </c>
      <c r="C38" s="3" t="s">
        <v>20</v>
      </c>
      <c r="D38" s="5" t="s">
        <v>130</v>
      </c>
      <c r="E38" s="5" t="s">
        <v>130</v>
      </c>
      <c r="G38" s="17" t="s">
        <v>131</v>
      </c>
    </row>
    <row r="39" spans="1:7" x14ac:dyDescent="0.35">
      <c r="A39" s="3" t="s">
        <v>132</v>
      </c>
      <c r="B39" s="19" t="s">
        <v>133</v>
      </c>
      <c r="C39" s="3" t="s">
        <v>20</v>
      </c>
      <c r="D39" s="5">
        <v>0</v>
      </c>
      <c r="E39" s="5">
        <v>0</v>
      </c>
      <c r="G39" s="17" t="s">
        <v>134</v>
      </c>
    </row>
    <row r="40" spans="1:7" x14ac:dyDescent="0.35">
      <c r="A40" s="3" t="s">
        <v>135</v>
      </c>
      <c r="B40" s="19" t="s">
        <v>136</v>
      </c>
      <c r="C40" s="3" t="s">
        <v>73</v>
      </c>
      <c r="D40" s="22">
        <v>0</v>
      </c>
      <c r="E40" s="22">
        <v>0</v>
      </c>
      <c r="G40" s="17" t="s">
        <v>130</v>
      </c>
    </row>
    <row r="41" spans="1:7" x14ac:dyDescent="0.35">
      <c r="A41" s="3" t="s">
        <v>137</v>
      </c>
      <c r="B41" s="19" t="s">
        <v>138</v>
      </c>
      <c r="C41" s="3" t="s">
        <v>14</v>
      </c>
      <c r="D41" s="8">
        <v>0</v>
      </c>
      <c r="E41" s="8">
        <v>0</v>
      </c>
      <c r="G41" s="17" t="s">
        <v>130</v>
      </c>
    </row>
    <row r="43" spans="1:7" x14ac:dyDescent="0.35">
      <c r="A43" s="26" t="s">
        <v>139</v>
      </c>
    </row>
    <row r="44" spans="1:7" ht="30" customHeight="1" x14ac:dyDescent="0.35">
      <c r="A44" s="2" t="s">
        <v>27</v>
      </c>
      <c r="B44" s="2" t="s">
        <v>4</v>
      </c>
      <c r="C44" s="2" t="s">
        <v>5</v>
      </c>
      <c r="D44" s="2" t="s">
        <v>140</v>
      </c>
      <c r="E44" s="2" t="s">
        <v>141</v>
      </c>
      <c r="F44" s="2" t="s">
        <v>142</v>
      </c>
      <c r="G44" s="2" t="s">
        <v>143</v>
      </c>
    </row>
    <row r="45" spans="1:7" x14ac:dyDescent="0.35">
      <c r="A45" s="27" t="s">
        <v>144</v>
      </c>
      <c r="B45" s="28" t="s">
        <v>145</v>
      </c>
      <c r="C45" s="27" t="s">
        <v>14</v>
      </c>
      <c r="D45" s="29">
        <f>$D$23*$D$112+$E$23*$E$112</f>
        <v>342.9</v>
      </c>
      <c r="E45" s="30">
        <f>$D$23+$E$23</f>
        <v>18</v>
      </c>
      <c r="F45" s="29">
        <f>$D$45/$E$45</f>
        <v>19.049999999999997</v>
      </c>
      <c r="G45" s="27" t="s">
        <v>146</v>
      </c>
    </row>
    <row r="46" spans="1:7" x14ac:dyDescent="0.35">
      <c r="A46" s="27" t="s">
        <v>147</v>
      </c>
      <c r="B46" s="28" t="str">
        <f>"Σκυρόδεμα "&amp;$D$18&amp;" με απώλεια"</f>
        <v>Σκυρόδεμα C40/50 με απώλεια</v>
      </c>
      <c r="C46" s="27" t="s">
        <v>16</v>
      </c>
      <c r="D46" s="29">
        <f>$F$115</f>
        <v>174.41871085318246</v>
      </c>
      <c r="E46" s="30">
        <f>$D$14</f>
        <v>18</v>
      </c>
      <c r="F46" s="29">
        <f>$D$46/$E$46</f>
        <v>9.6899283807323595</v>
      </c>
      <c r="G46" s="27" t="s">
        <v>146</v>
      </c>
    </row>
    <row r="47" spans="1:7" x14ac:dyDescent="0.35">
      <c r="A47" s="27" t="s">
        <v>148</v>
      </c>
      <c r="B47" s="28" t="s">
        <v>149</v>
      </c>
      <c r="C47" s="27" t="s">
        <v>18</v>
      </c>
      <c r="D47" s="31">
        <f>$F$129</f>
        <v>15091.817831819826</v>
      </c>
      <c r="E47" s="30">
        <f>$D$14</f>
        <v>18</v>
      </c>
      <c r="F47" s="31">
        <f>$D$47/$E$47</f>
        <v>838.43432398999039</v>
      </c>
      <c r="G47" s="27" t="s">
        <v>146</v>
      </c>
    </row>
    <row r="48" spans="1:7" x14ac:dyDescent="0.35">
      <c r="A48" s="27" t="s">
        <v>150</v>
      </c>
      <c r="B48" s="28" t="str">
        <f>"Sleeves προστασίας αναμονών starter (Sleeve Φ32 για Φ"&amp;$D$29&amp;")"</f>
        <v>Sleeves προστασίας αναμονών starter (Sleeve Φ32 για Φ20)</v>
      </c>
      <c r="C48" s="27" t="s">
        <v>20</v>
      </c>
      <c r="D48" s="30">
        <f>$F$130</f>
        <v>288</v>
      </c>
      <c r="E48" s="30">
        <f>$D$14</f>
        <v>18</v>
      </c>
      <c r="F48" s="30">
        <f>$D$48/$E$48</f>
        <v>16</v>
      </c>
      <c r="G48" s="27" t="s">
        <v>146</v>
      </c>
    </row>
    <row r="49" spans="1:7" x14ac:dyDescent="0.35">
      <c r="A49" s="27" t="str">
        <f>IF('Τιμές &amp; Έλεγχος'!$D$35="ΝΑΙ","2.5","")</f>
        <v/>
      </c>
      <c r="B49" s="28" t="str">
        <f>IF('Τιμές &amp; Έλεγχος'!$D$35="ΝΑΙ","Κεφαλοκοπή πασσάλων (σπάσιμο κεφαλής)","")</f>
        <v/>
      </c>
      <c r="C49" s="27" t="str">
        <f>IF('Τιμές &amp; Έλεγχος'!$D$35="ΝΑΙ","τεμ.","")</f>
        <v/>
      </c>
      <c r="D49" s="32">
        <f>IF('Τιμές &amp; Έλεγχος'!$D$35="ΝΑΙ",$F$131,0)</f>
        <v>0</v>
      </c>
      <c r="E49" s="32">
        <f>IF('Τιμές &amp; Έλεγχος'!$D$35="ΝΑΙ",$D$14,0)</f>
        <v>0</v>
      </c>
      <c r="F49" s="32">
        <f>IF('Τιμές &amp; Έλεγχος'!$D$35="ΝΑΙ",$D$49/$E$49,0)</f>
        <v>0</v>
      </c>
      <c r="G49" s="27" t="str">
        <f>IF('Τιμές &amp; Έλεγχος'!$D$35="ΝΑΙ","Φύλλο 1","")</f>
        <v/>
      </c>
    </row>
    <row r="50" spans="1:7" x14ac:dyDescent="0.35">
      <c r="A50" s="27" t="str">
        <f>IF('Τιμές &amp; Έλεγχος'!$D$36="ΝΑΙ","2.6","")</f>
        <v/>
      </c>
      <c r="B50" s="28" t="str">
        <f>IF('Τιμές &amp; Έλεγχος'!$D$36="ΝΑΙ","Απομάκρυνση εκσκαπτόμενου χώματος &amp; Λατομικά τέλη","")</f>
        <v/>
      </c>
      <c r="C50" s="27" t="str">
        <f>IF('Τιμές &amp; Έλεγχος'!$D$36="ΝΑΙ","m³","")</f>
        <v/>
      </c>
      <c r="D50" s="33">
        <f>IF('Τιμές &amp; Έλεγχος'!$D$36="ΝΑΙ",$F$113,0)</f>
        <v>0</v>
      </c>
      <c r="E50" s="32">
        <f>IF('Τιμές &amp; Έλεγχος'!$D$36="ΝΑΙ",$D$14,0)</f>
        <v>0</v>
      </c>
      <c r="F50" s="33">
        <f>IF('Τιμές &amp; Έλεγχος'!$D$36="ΝΑΙ",$D$50/$E$50,0)</f>
        <v>0</v>
      </c>
      <c r="G50" s="27" t="str">
        <f>IF('Τιμές &amp; Έλεγχος'!$D$36="ΝΑΙ","Φύλλο 1","")</f>
        <v/>
      </c>
    </row>
    <row r="52" spans="1:7" x14ac:dyDescent="0.35">
      <c r="A52" s="18" t="s">
        <v>151</v>
      </c>
    </row>
    <row r="53" spans="1:7" ht="30" customHeight="1" x14ac:dyDescent="0.35">
      <c r="A53" s="2" t="s">
        <v>27</v>
      </c>
      <c r="B53" s="2" t="s">
        <v>152</v>
      </c>
      <c r="C53" s="2" t="s">
        <v>5</v>
      </c>
      <c r="D53" s="2" t="s">
        <v>153</v>
      </c>
      <c r="E53" s="2" t="s">
        <v>6</v>
      </c>
      <c r="F53" s="2" t="s">
        <v>154</v>
      </c>
      <c r="G53" s="2" t="s">
        <v>155</v>
      </c>
    </row>
    <row r="54" spans="1:7" ht="34" customHeight="1" x14ac:dyDescent="0.35">
      <c r="A54" s="24" t="s">
        <v>156</v>
      </c>
      <c r="B54" s="34" t="s">
        <v>10</v>
      </c>
      <c r="C54" s="24" t="s">
        <v>11</v>
      </c>
      <c r="D54" s="25">
        <f>$D$14</f>
        <v>18</v>
      </c>
      <c r="E54" s="6">
        <f>$D$15</f>
        <v>177.77777777777777</v>
      </c>
      <c r="F54" s="35">
        <f>$D$54*$E$54</f>
        <v>3200</v>
      </c>
      <c r="G54" s="36" t="str">
        <f>"Βασική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Έλεγχος'!$D$29,1)&amp;" km × "&amp;ROUND('Τιμές &amp; Έλεγχος'!$D$30,2)&amp;" €/km = "&amp;ROUND('Τιμές &amp; Έλεγχος'!$D$31,2)&amp;" €) = Σύνολο ("&amp;ROUND($D$13,2)&amp;" €) ÷ Πάσσαλοι ("&amp;$D$14&amp;") = "&amp;ROUND($D$15,2)&amp;" €/πάσσαλο"</f>
        <v>Βασική Λεμεσού (1000 €) + Εκτός Λεμεσού ανά 10km (8 × 200 € = 1600 €) + Συνοδεία Αστυνομίας (75 km × 8 €/km = 600 €) = Σύνολο (3200 €) ÷ Πάσσαλοι (18) = 177.78 €/πάσσαλο</v>
      </c>
    </row>
    <row r="55" spans="1:7" ht="34" customHeight="1" x14ac:dyDescent="0.35">
      <c r="A55" s="24" t="s">
        <v>157</v>
      </c>
      <c r="B55" s="34" t="s">
        <v>158</v>
      </c>
      <c r="C55" s="24" t="s">
        <v>14</v>
      </c>
      <c r="D55" s="37">
        <f>$D$45</f>
        <v>342.9</v>
      </c>
      <c r="E55" s="6">
        <f>'Τιμές &amp; Έλεγχος'!$D$9</f>
        <v>90</v>
      </c>
      <c r="F55" s="35">
        <f>$D$55*$E$55</f>
        <v>30860.999999999996</v>
      </c>
      <c r="G55" s="36" t="str">
        <f>"Τρύπημα: "&amp;$D$23&amp;" πασσ. × [Ύψος πασσάλου ("&amp;ROUND($D$25,3)&amp;"m) + Κενό τρύπημα ("&amp;ROUND($D$110,3)&amp;"m) = "&amp;ROUND($D$112,2)&amp;"m]" &amp; " + " &amp; $E$23&amp;" πασσ. × [Ύψος πασσάλου ("&amp;ROUND($E$25,3)&amp;"m) + Κενό τρύπημα ("&amp;ROUND($E$110,3)&amp;"m) = "&amp;ROUND($E$112,2)&amp;"m]"&amp;" = Σύνολο ("&amp;ROUND($D$55,2)&amp;"m) × Τιμή μέτρου ("&amp;ROUND($E$55,2)&amp;" €) = "&amp;ROUND($F$55,2)&amp;"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(90 €) = 30861 €</v>
      </c>
    </row>
    <row r="56" spans="1:7" ht="34" customHeight="1" x14ac:dyDescent="0.35">
      <c r="A56" s="24" t="s">
        <v>159</v>
      </c>
      <c r="B56" s="34" t="str">
        <f>"Σκυρόδεμα πασσάλων "&amp;$D$18&amp;" (με +"&amp;ROUND($D$99*100,0)&amp;"% απώλεια)"</f>
        <v>Σκυρόδεμα πασσάλων C40/50 (με +10% απώλεια)</v>
      </c>
      <c r="C56" s="24" t="s">
        <v>16</v>
      </c>
      <c r="D56" s="37">
        <f>$D$46</f>
        <v>174.41871085318246</v>
      </c>
      <c r="E56" s="9">
        <f>'Τιμές &amp; Έλεγχος'!$D$21</f>
        <v>116</v>
      </c>
      <c r="F56" s="35">
        <f>$D$56*$E$56</f>
        <v>20232.570458969167</v>
      </c>
      <c r="G56" s="36" t="str">
        <f>"Κουγκρί ανά πάσσαλο: Εμβαδόν Ø"&amp;$D$24&amp;"mm × [Ύψος πασσάλου ("&amp;ROUND($D$25,3)&amp;"m) + Υπερκάλυψη ("&amp;ROUND($D$111,2)&amp;"m) = "&amp;ROUND($D$114,3)&amp;"m] × Απώλεια (+"&amp;ROUND($D$99*100,0)&amp;"%) = "&amp;ROUND($D$115,3)&amp;" m³/πασσ. → Σύνολο ("&amp;ROUND($D$56,2)&amp;" m³) × Στρογγυλοποιημένη Τιμή κυβικού [ROUND(Αγορά "&amp;ROUND('Τιμές &amp; Έλεγχος'!$D$15,2)&amp;" € + Τοποθέτηση "&amp;ROUND('Τιμές &amp; Έλεγχος'!$D$16,2)&amp;" € + Αντλία "&amp;ROUND('Τιμές &amp; Έλεγχος'!$D$20,2)&amp;" €, 0) = "&amp;ROUND($E$56,0)&amp;" €/m³] = "&amp;ROUND($F$56,2)&amp;" €"</f>
        <v>Κουγκρί ανά πάσσαλο: Εμβαδόν Ø800mm × [Ύψος πασσάλου (15.525m) + Υπερκάλυψη (2m) = 17.525m] × Απώλεια (+10%) = 9.69 m³/πασσ. → Σύνολο (174.42 m³) × Στρογγυλοποιημένη Τιμή κυβικού [ROUND(Αγορά 94 € + Τοποθέτηση 15 € + Αντλία 6.71 €, 0) = 116 €/m³] = 20232.57 €</v>
      </c>
    </row>
    <row r="57" spans="1:7" ht="34" customHeight="1" x14ac:dyDescent="0.35">
      <c r="A57" s="38" t="s">
        <v>160</v>
      </c>
      <c r="B57" s="39" t="s">
        <v>161</v>
      </c>
      <c r="C57" s="38" t="s">
        <v>18</v>
      </c>
      <c r="D57" s="40">
        <f>$F$122</f>
        <v>12553.691146409281</v>
      </c>
      <c r="E57" s="41">
        <f>'Τιμές &amp; Έλεγχος'!$D$10</f>
        <v>1.1000000000000001</v>
      </c>
      <c r="F57" s="41">
        <f>$D$57*$E$57</f>
        <v>13809.06026105021</v>
      </c>
      <c r="G57" s="42" t="str">
        <f>"Μήκος κάθετης βέργας = Ύψος πασσάλου ("&amp;ROUND($D$25,3)&amp;"m) + Ύψος αναμονής starter ("&amp;ROUND($D$30,2)&amp;"m) + Γωνία πάνω ("&amp;ROUND($D$31,2)&amp;"m) + Γωνία κάτω ("&amp;ROUND($D$32,2)&amp;"m) + Ύψος μάτισης ("&amp;$D$119&amp;" μάτιση × "&amp;ROUND($D$33,2)&amp;"m) = "&amp;ROUND($D$120,3)&amp;"m → "&amp;$D$28&amp;" σίδερα Φ"&amp;$D$29&amp;" × "&amp;ROUND($D$120,3)&amp;"m × Βάρος μέτρου ("&amp;ROUND($D$121,3)&amp;" kg/m) = "&amp;ROUND($D$122,2)&amp;" kg/πασσ. → Σύνολο ("&amp;ROUND($D$57,1)&amp;" kg) × "&amp;ROUND($E$57,2)&amp;" € = "&amp;ROUND($F$57,2)&amp;"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8" spans="1:7" ht="34" customHeight="1" x14ac:dyDescent="0.35">
      <c r="A58" s="38" t="s">
        <v>162</v>
      </c>
      <c r="B58" s="39" t="s">
        <v>163</v>
      </c>
      <c r="C58" s="38" t="s">
        <v>18</v>
      </c>
      <c r="D58" s="40">
        <f>$F$125</f>
        <v>2379.4937675723863</v>
      </c>
      <c r="E58" s="41">
        <f>'Τιμές &amp; Έλεγχος'!$D$10</f>
        <v>1.1000000000000001</v>
      </c>
      <c r="F58" s="41">
        <f>$D$58*$E$58</f>
        <v>2617.4431443296253</v>
      </c>
      <c r="G58" s="42" t="str">
        <f>"Αριθμός σπειρών σούστας = [Ύψος πασσάλου ("&amp;ROUND($D$25,3)&amp;"m) ÷ Βήμα σούστας ("&amp;ROUND($D$37/1000,3)&amp;"m) = "&amp;($D$123-1)&amp;"] + 1 = "&amp;$D$123&amp;" σπείρες × Περίμετρος στεφανιού κλωβού ("&amp;ROUND($D$117,3)&amp;"m) × Βάρος μέτρου Φ"&amp;$D$34&amp;" ("&amp;ROUND($D$124,3)&amp;" kg/m) = "&amp;ROUND($D$125,2)&amp;" kg/πασσ. → Σύνολο ("&amp;ROUND($D$58,1)&amp;" kg) × "&amp;ROUND($E$58,2)&amp;" € = "&amp;ROUND($F$58,2)&amp;"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9" spans="1:7" ht="34" customHeight="1" x14ac:dyDescent="0.35">
      <c r="A59" s="38" t="s">
        <v>164</v>
      </c>
      <c r="B59" s="39" t="s">
        <v>165</v>
      </c>
      <c r="C59" s="38" t="s">
        <v>18</v>
      </c>
      <c r="D59" s="40">
        <f>$F$127</f>
        <v>158.6329178381591</v>
      </c>
      <c r="E59" s="41">
        <f>'Τιμές &amp; Έλεγχος'!$D$10</f>
        <v>1.1000000000000001</v>
      </c>
      <c r="F59" s="41">
        <f>$D$59*$E$59</f>
        <v>174.49620962197503</v>
      </c>
      <c r="G59" s="42" t="str">
        <f>"Αριθμός στεφανιών αναμονής = Ύψος αναμονής starter ("&amp;ROUND($D$30,2)&amp;"m) ÷ Βήμα ("&amp;ROUND($D$37/1000,3)&amp;"m) = "&amp;$D$126&amp;" στεφάνια (χωρίς +1) × Περίμετρος στεφανιού κλωβού ("&amp;ROUND($D$117,3)&amp;"m) × Βάρος μέτρου Φ"&amp;$D$34&amp;" ("&amp;ROUND($D$124,3)&amp;" kg/m) = "&amp;ROUND($D$127,2)&amp;" kg/πασσ. → Σύνολο ("&amp;ROUND($D$59,1)&amp;" kg) × "&amp;ROUND($E$59,2)&amp;" € = "&amp;ROUND($F$59,2)&amp;"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60" spans="1:7" ht="34" customHeight="1" x14ac:dyDescent="0.35">
      <c r="A60" s="24" t="s">
        <v>166</v>
      </c>
      <c r="B60" s="34" t="s">
        <v>167</v>
      </c>
      <c r="C60" s="24" t="s">
        <v>18</v>
      </c>
      <c r="D60" s="43">
        <f>$D$47</f>
        <v>15091.817831819826</v>
      </c>
      <c r="E60" s="6">
        <f>'Τιμές &amp; Έλεγχος'!$D$10</f>
        <v>1.1000000000000001</v>
      </c>
      <c r="F60" s="35">
        <f>$D$60*$E$60</f>
        <v>16600.999615001809</v>
      </c>
      <c r="G60" s="36" t="str">
        <f>"Συνολικό βάρος ανά πάσσαλο = Κάθετα σίδερα ("&amp;ROUND($D$122,2)&amp;" kg) + Σούστα σώματος ("&amp;ROUND($D$125,2)&amp;" kg) + Στεφάνια αναμονής ("&amp;ROUND($D$127,2)&amp;" kg) = "&amp;ROUND($D$129,2)&amp;" kg/πασσ. → Σύνολο έργου ("&amp;ROUND($D$60,1)&amp;" kg) × Τιμή κιλού ("&amp;ROUND($E$60,2)&amp;" €) = "&amp;ROUND($F$60,2)&amp;" € ("&amp;ROUND($F$60/$D$14,2)&amp;"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61" spans="1:7" ht="34" customHeight="1" x14ac:dyDescent="0.35">
      <c r="A61" s="24" t="s">
        <v>168</v>
      </c>
      <c r="B61" s="34" t="str">
        <f>"Sleeves προστασίας αναμονών starter (Sleeve Φ32 για κάθετα σίδερα Φ"&amp;$D$29&amp;")"</f>
        <v>Sleeves προστασίας αναμονών starter (Sleeve Φ32 για κάθετα σίδερα Φ20)</v>
      </c>
      <c r="C61" s="24" t="s">
        <v>20</v>
      </c>
      <c r="D61" s="25">
        <f>$D$48</f>
        <v>288</v>
      </c>
      <c r="E61" s="6">
        <f>'Τιμές &amp; Έλεγχος'!$D$26</f>
        <v>3</v>
      </c>
      <c r="F61" s="35">
        <f>$D$61*$E$61</f>
        <v>864</v>
      </c>
      <c r="G61" s="36" t="str">
        <f>"Sleeve Φ32 (για σίδερα Φ"&amp;$D$29&amp;"): ((Κόστος αγοράς + Κόστος τοποθέτησης) × Profit, Waste, Overhead) = "&amp;ROUND('Τιμές &amp; Έλεγχος'!$D$25,2)&amp;" € → Στρογγυλεμένο τελικό αποτέλεσμα = "&amp;ROUND($E$61,2)&amp;" €/τεμ. × "&amp;$D$61&amp;" τεμ. = "&amp;ROUND($F$61,2)&amp;" €"</f>
        <v>Sleeve Φ32 (για σίδερα Φ20): ((Κόστος αγοράς + Κόστος τοποθέτησης) × Profit, Waste, Overhead) = 2.87 € → Στρογγυλεμένο τελικό αποτέλεσμα = 3 €/τεμ. × 288 τεμ. = 864 €</v>
      </c>
    </row>
    <row r="62" spans="1:7" ht="34" customHeight="1" x14ac:dyDescent="0.35">
      <c r="A62" s="24" t="str">
        <f>IF('Τιμές &amp; Έλεγχος'!$D$35="ΝΑΙ","2Β.6","")</f>
        <v/>
      </c>
      <c r="B62" s="34" t="str">
        <f>IF('Τιμές &amp; Έλεγχος'!$D$35="ΝΑΙ","Κεφαλοκοπή πασσάλων (σπάσιμο κεφαλής / Pile Breaking)","")</f>
        <v/>
      </c>
      <c r="C62" s="24" t="str">
        <f>IF('Τιμές &amp; Έλεγχος'!$D$35="ΝΑΙ","τεμ.","")</f>
        <v/>
      </c>
      <c r="D62" s="44">
        <f>IF('Τιμές &amp; Έλεγχος'!$D$35="ΝΑΙ",$D$49,0)</f>
        <v>0</v>
      </c>
      <c r="E62" s="12">
        <f>IF('Τιμές &amp; Έλεγχος'!$D$35="ΝΑΙ",'Τιμές &amp; Έλεγχος'!$D$11,0)</f>
        <v>0</v>
      </c>
      <c r="F62" s="12">
        <f>$D$62*$E$62</f>
        <v>0</v>
      </c>
      <c r="G62" s="36" t="str">
        <f>IF('Τιμές &amp; Έλεγχος'!$D$35="ΝΑΙ","Κεφαλοκοπή (Κουμπί Τ.Ε.1 = ΝΑΙ): "&amp;$D$131&amp;" σπάσιμο κεφαλής/πάσσαλο × "&amp;$D$14&amp;" πασσάλους = "&amp;$D$62&amp;" τεμάχια × Τιμή τεμαχίου ("&amp;ROUND($E$62,2)&amp;" €) = "&amp;ROUND($F$62,2)&amp;" € ("&amp;ROUND($F$62/$D$14,2)&amp;" €/πασσ.)","")</f>
        <v/>
      </c>
    </row>
    <row r="63" spans="1:7" ht="34" customHeight="1" x14ac:dyDescent="0.35">
      <c r="A63" s="24" t="str">
        <f>IF('Τιμές &amp; Έλεγχος'!$D$36="ΝΑΙ",IF('Τιμές &amp; Έλεγχος'!$D$35="ΝΑΙ","2Β.7","2Β.6"),"")</f>
        <v/>
      </c>
      <c r="B63" s="34" t="str">
        <f>IF('Τιμές &amp; Έλεγχος'!$D$36="ΝΑΙ","Απομάκρυνση εκσκαπτόμενου χώματος &amp; Λατομικά τέλη","")</f>
        <v/>
      </c>
      <c r="C63" s="24" t="str">
        <f>IF('Τιμές &amp; Έλεγχος'!$D$36="ΝΑΙ","m³","")</f>
        <v/>
      </c>
      <c r="D63" s="45">
        <f>IF('Τιμές &amp; Έλεγχος'!$D$36="ΝΑΙ",$D$50,0)</f>
        <v>0</v>
      </c>
      <c r="E63" s="12">
        <f>IF('Τιμές &amp; Έλεγχος'!$D$36="ΝΑΙ",'Τιμές &amp; Έλεγχος'!$D$37,0)</f>
        <v>0</v>
      </c>
      <c r="F63" s="12">
        <f>$D$63*$E$63</f>
        <v>0</v>
      </c>
      <c r="G63" s="36" t="str">
        <f>IF('Τιμές &amp; Έλεγχος'!$D$36="ΝΑΙ","Απομάκρυνση εκσκαπτόμενου χώματος &amp; Λατομικά τέλη (Κουμπί Τ.Ε.2 = ΝΑΙ): Συνολικός όγκος εκσκαφής τρυπών ("&amp;ROUND($D$63,2)&amp;" m³) × Τιμή κυβικού ("&amp;ROUND($E$63,2)&amp;" €/m³) = "&amp;ROUND($F$63,2)&amp;" € ("&amp;ROUND($F$63/$D$14,2)&amp;" €/πασσ.)","")</f>
        <v/>
      </c>
    </row>
    <row r="64" spans="1:7" ht="26" customHeight="1" x14ac:dyDescent="0.35">
      <c r="A64" s="66" t="s">
        <v>169</v>
      </c>
      <c r="B64" s="69"/>
      <c r="C64" s="69"/>
      <c r="D64" s="69"/>
      <c r="E64" s="69"/>
      <c r="F64" s="15">
        <f>$F$54+$F$55+$F$56+$F$60+$F$61+$F$62+$F$63</f>
        <v>71758.570073970972</v>
      </c>
      <c r="G64" s="46" t="str">
        <f>"Σύνολο Προσφοράς = "&amp;ROUND($F$64,2)&amp;" € | Μέσο Κόστος ανά Πάσσαλο = "&amp;ROUND($F$64/$D$14,2)&amp;" €/πάσσαλο ("&amp;$D$14&amp;" πάσσαλοι)"</f>
        <v>Σύνολο Προσφοράς = 71758.57 € | Μέσο Κόστος ανά Πάσσαλο = 3986.59 €/πάσσαλο (18 πάσσαλοι)</v>
      </c>
    </row>
    <row r="66" spans="1:7" x14ac:dyDescent="0.35">
      <c r="A66" s="18" t="s">
        <v>170</v>
      </c>
    </row>
    <row r="67" spans="1:7" ht="24" customHeight="1" x14ac:dyDescent="0.35">
      <c r="A67" s="71" t="s">
        <v>171</v>
      </c>
      <c r="B67" s="64"/>
      <c r="C67" s="64"/>
      <c r="D67" s="64"/>
      <c r="E67" s="64"/>
      <c r="F67" s="64"/>
      <c r="G67" s="64"/>
    </row>
    <row r="68" spans="1:7" ht="28" customHeight="1" x14ac:dyDescent="0.35">
      <c r="A68" s="2" t="s">
        <v>27</v>
      </c>
      <c r="B68" s="2" t="s">
        <v>172</v>
      </c>
      <c r="C68" s="2" t="s">
        <v>5</v>
      </c>
      <c r="D68" s="2" t="s">
        <v>173</v>
      </c>
      <c r="E68" s="2" t="s">
        <v>6</v>
      </c>
      <c r="F68" s="2" t="s">
        <v>174</v>
      </c>
      <c r="G68" s="2" t="s">
        <v>175</v>
      </c>
    </row>
    <row r="69" spans="1:7" ht="30" customHeight="1" x14ac:dyDescent="0.35">
      <c r="A69" s="24" t="s">
        <v>176</v>
      </c>
      <c r="B69" s="34" t="s">
        <v>177</v>
      </c>
      <c r="C69" s="24" t="s">
        <v>11</v>
      </c>
      <c r="D69" s="25">
        <f>1</f>
        <v>1</v>
      </c>
      <c r="E69" s="6">
        <f>$D$15</f>
        <v>177.77777777777777</v>
      </c>
      <c r="F69" s="35">
        <f>$D$69*$E$69</f>
        <v>177.77777777777777</v>
      </c>
      <c r="G69" s="36" t="str">
        <f>"1 πάσσαλος × Επιμερισμένη μετακίνηση ("&amp;ROUND($D$15,2)&amp;" €) = "&amp;ROUND($F$69,2)&amp;" €/πάσσαλο (× "&amp;$D$23&amp;" πασσ. ομάδας = "&amp;ROUND($D$23*$F$69,2)&amp;" €)"</f>
        <v>1 πάσσαλος × Επιμερισμένη μετακίνηση (177.78 €) = 177.78 €/πάσσαλο (× 17 πασσ. ομάδας = 3022.22 €)</v>
      </c>
    </row>
    <row r="70" spans="1:7" ht="30" customHeight="1" x14ac:dyDescent="0.35">
      <c r="A70" s="24" t="s">
        <v>178</v>
      </c>
      <c r="B70" s="34" t="s">
        <v>179</v>
      </c>
      <c r="C70" s="24" t="s">
        <v>14</v>
      </c>
      <c r="D70" s="37">
        <f>$D$112</f>
        <v>19</v>
      </c>
      <c r="E70" s="6">
        <f>'Τιμές &amp; Έλεγχος'!$D$9</f>
        <v>90</v>
      </c>
      <c r="F70" s="35">
        <f>$D$70*$E$70</f>
        <v>1710</v>
      </c>
      <c r="G70" s="36" t="str">
        <f>"Μέτρα τρυπήματος/πάσσαλο = Ύψος πασσάλου ("&amp;ROUND($D$25,3)&amp;"m) + Κενό τρύπημα ("&amp;ROUND($D$110,3)&amp;"m) = "&amp;ROUND($D$70,2)&amp;" m/πάσσαλο × "&amp;ROUND($E$70,2)&amp;" €/m = "&amp;ROUND($F$70,2)&amp;" €/πάσσαλο (× "&amp;$D$23&amp;" πασσ. = "&amp;ROUND($D$23*$F$70,2)&amp;" €)"</f>
        <v>Μέτρα τρυπήματος/πάσσαλο = Ύψος πασσάλου (15.525m) + Κενό τρύπημα (3.475m) = 19 m/πάσσαλο × 90 €/m = 1710 €/πάσσαλο (× 17 πασσ. = 29070 €)</v>
      </c>
    </row>
    <row r="71" spans="1:7" ht="30" customHeight="1" x14ac:dyDescent="0.35">
      <c r="A71" s="24" t="s">
        <v>180</v>
      </c>
      <c r="B71" s="34" t="str">
        <f>"Σκυρόδεμα πασσάλου "&amp;$D$18&amp;" με +"&amp;ROUND($D$99*100,0)&amp;"% απώλεια (m³ ανά 1 πάσσαλο)"</f>
        <v>Σκυρόδεμα πασσάλου C40/50 με +10% απώλεια (m³ ανά 1 πάσσαλο)</v>
      </c>
      <c r="C71" s="24" t="s">
        <v>16</v>
      </c>
      <c r="D71" s="37">
        <f>$D$115</f>
        <v>9.6899283807323577</v>
      </c>
      <c r="E71" s="9">
        <f>'Τιμές &amp; Έλεγχος'!$D$21</f>
        <v>116</v>
      </c>
      <c r="F71" s="35">
        <f>$D$71*$E$71</f>
        <v>1124.0316921649535</v>
      </c>
      <c r="G71" s="36" t="str">
        <f>"Κυβικά κουγκριού/πάσσαλο = Εμβαδόν Ø"&amp;$D$24&amp;"mm × [Ύψος ("&amp;ROUND($D$25,3)&amp;"m) + Υπερκάλυψη ("&amp;ROUND($D$111,2)&amp;"m) = "&amp;ROUND($D$114,3)&amp;"m] × 1.10 = "&amp;ROUND($D$71,3)&amp;" m³/πάσσαλο × "&amp;ROUND($E$71,0)&amp;" €/m³ = "&amp;ROUND($F$71,2)&amp;" €/πάσσαλο (× "&amp;$D$23&amp;" πασσ. = "&amp;ROUND($D$23*$F$71,2)&amp;" €)"</f>
        <v>Κυβικά κουγκριού/πάσσαλο = Εμβαδόν Ø800mm × [Ύψος (15.525m) + Υπερκάλυψη (2m) = 17.525m] × 1.10 = 9.69 m³/πάσσαλο × 116 €/m³ = 1124.03 €/πάσσαλο (× 17 πασσ. = 19108.54 €)</v>
      </c>
    </row>
    <row r="72" spans="1:7" ht="30" customHeight="1" x14ac:dyDescent="0.35">
      <c r="A72" s="38" t="s">
        <v>181</v>
      </c>
      <c r="B72" s="39" t="s">
        <v>182</v>
      </c>
      <c r="C72" s="38" t="s">
        <v>18</v>
      </c>
      <c r="D72" s="40">
        <f>$D$122</f>
        <v>697.42728591162677</v>
      </c>
      <c r="E72" s="41">
        <f>'Τιμές &amp; Έλεγχος'!$D$10</f>
        <v>1.1000000000000001</v>
      </c>
      <c r="F72" s="41">
        <f>$D$72*$E$72</f>
        <v>767.17001450278951</v>
      </c>
      <c r="G72" s="42" t="str">
        <f>$D$28&amp;" σίδερα Φ"&amp;$D$29&amp;" × Μήκος βέργας ("&amp;ROUND($D$120,3)&amp;"m με μάτιση "&amp;ROUND($D$33,2)&amp;"m) × "&amp;ROUND($D$121,3)&amp;" kg/m = "&amp;ROUND($D$72,2)&amp;" kg/πάσσαλο × "&amp;ROUND($E$72,2)&amp;" €/kg = "&amp;ROUND($F$72,2)&amp;" €/πάσσαλο"</f>
        <v>16 σίδερα Φ20 × Μήκος βέργας (17.675m με μάτιση 1.15m) × 2.466 kg/m = 697.43 kg/πάσσαλο × 1.1 €/kg = 767.17 €/πάσσαλο</v>
      </c>
    </row>
    <row r="73" spans="1:7" ht="30" customHeight="1" x14ac:dyDescent="0.35">
      <c r="A73" s="38" t="s">
        <v>183</v>
      </c>
      <c r="B73" s="39" t="s">
        <v>184</v>
      </c>
      <c r="C73" s="38" t="s">
        <v>18</v>
      </c>
      <c r="D73" s="40">
        <f>$D$125</f>
        <v>132.19409819846592</v>
      </c>
      <c r="E73" s="41">
        <f>'Τιμές &amp; Έλεγχος'!$D$10</f>
        <v>1.1000000000000001</v>
      </c>
      <c r="F73" s="41">
        <f>$D$73*$E$73</f>
        <v>145.41350801831254</v>
      </c>
      <c r="G73" s="42" t="str">
        <f>$D$123&amp;" σπείρες (με +1) × Περίμετρος ("&amp;ROUND($D$117,3)&amp;"m) × Βάρος Φ"&amp;$D$34&amp;" ("&amp;ROUND($D$124,3)&amp;" kg/m) = "&amp;ROUND($D$73,2)&amp;" kg/πάσσαλο × "&amp;ROUND($E$73,2)&amp;" €/kg = "&amp;ROUND($F$73,2)&amp;" €/πάσσαλο"</f>
        <v>105 σπείρες (με +1) × Περίμετρος (2.042m) × Βάρος Φ10 (0.617 kg/m) = 132.19 kg/πάσσαλο × 1.1 €/kg = 145.41 €/πάσσαλο</v>
      </c>
    </row>
    <row r="74" spans="1:7" ht="30" customHeight="1" x14ac:dyDescent="0.35">
      <c r="A74" s="38" t="s">
        <v>185</v>
      </c>
      <c r="B74" s="39" t="s">
        <v>186</v>
      </c>
      <c r="C74" s="38" t="s">
        <v>18</v>
      </c>
      <c r="D74" s="40">
        <f>$D$127</f>
        <v>8.8129398798977281</v>
      </c>
      <c r="E74" s="41">
        <f>'Τιμές &amp; Έλεγχος'!$D$10</f>
        <v>1.1000000000000001</v>
      </c>
      <c r="F74" s="41">
        <f>$D$74*$E$74</f>
        <v>9.6942338678875011</v>
      </c>
      <c r="G74" s="42" t="str">
        <f>$D$126&amp;" στεφάνια (χωρίς +1) × Περίμετρος ("&amp;ROUND($D$117,3)&amp;"m) × Βάρος Φ"&amp;$D$34&amp;" ("&amp;ROUND($D$124,3)&amp;" kg/m) = "&amp;ROUND($D$74,2)&amp;" kg/πάσσαλο × "&amp;ROUND($E$74,2)&amp;" €/kg = "&amp;ROUND($F$74,2)&amp;" €/πάσσαλο"</f>
        <v>7 στεφάνια (χωρίς +1) × Περίμετρος (2.042m) × Βάρος Φ10 (0.617 kg/m) = 8.81 kg/πάσσαλο × 1.1 €/kg = 9.69 €/πάσσαλο</v>
      </c>
    </row>
    <row r="75" spans="1:7" ht="30" customHeight="1" x14ac:dyDescent="0.35">
      <c r="A75" s="24" t="s">
        <v>187</v>
      </c>
      <c r="B75" s="34" t="s">
        <v>188</v>
      </c>
      <c r="C75" s="24" t="s">
        <v>18</v>
      </c>
      <c r="D75" s="43">
        <f>$D$129</f>
        <v>838.43432398999039</v>
      </c>
      <c r="E75" s="6">
        <f>'Τιμές &amp; Έλεγχος'!$D$10</f>
        <v>1.1000000000000001</v>
      </c>
      <c r="F75" s="35">
        <f>$D$75*$E$75</f>
        <v>922.27775638898947</v>
      </c>
      <c r="G75" s="36" t="str">
        <f>"Σύνολο σιδήρου/πάσσαλο = Κάθετα ("&amp;ROUND($D$122,2)&amp;" kg) + Σούστα ("&amp;ROUND($D$125,2)&amp;" kg) + Στεφάνια ("&amp;ROUND($D$127,2)&amp;" kg) = "&amp;ROUND($D$75,2)&amp;" kg/πάσσαλο × "&amp;ROUND($E$75,2)&amp;" €/kg = "&amp;ROUND($F$75,2)&amp;" €/πάσσαλο (× "&amp;$D$23&amp;" πασσ. = "&amp;ROUND($D$23*$F$75,2)&amp;" €)"</f>
        <v>Σύνολο σιδήρου/πάσσαλο = Κάθετα (697.43 kg) + Σούστα (132.19 kg) + Στεφάνια (8.81 kg) = 838.43 kg/πάσσαλο × 1.1 €/kg = 922.28 €/πάσσαλο (× 17 πασσ. = 15678.72 €)</v>
      </c>
    </row>
    <row r="76" spans="1:7" ht="30" customHeight="1" x14ac:dyDescent="0.35">
      <c r="A76" s="24" t="s">
        <v>189</v>
      </c>
      <c r="B76" s="34" t="str">
        <f>"Sleeves προστασίας αναμονών starter (Sleeve Φ32 για Φ"&amp;$D$29&amp;" — τεμ. ανά 1 πάσσαλο)"</f>
        <v>Sleeves προστασίας αναμονών starter (Sleeve Φ32 για Φ20 — τεμ. ανά 1 πάσσαλο)</v>
      </c>
      <c r="C76" s="24" t="s">
        <v>20</v>
      </c>
      <c r="D76" s="25">
        <f>$D$130</f>
        <v>16</v>
      </c>
      <c r="E76" s="6">
        <f>'Τιμές &amp; Έλεγχος'!$D$26</f>
        <v>3</v>
      </c>
      <c r="F76" s="35">
        <f>$D$76*$E$76</f>
        <v>48</v>
      </c>
      <c r="G76" s="36" t="str">
        <f>"((Κόστος αγοράς + Κόστος τοποθέτησης) × Profit, Waste, Overhead) = "&amp;ROUND('Τιμές &amp; Έλεγχος'!$D$25,2)&amp;" € → Στρογγυλεμένο = "&amp;ROUND($E$76,2)&amp;" €/τεμ. × "&amp;$D$76&amp;" τεμ./πάσσαλο = "&amp;ROUND($F$76,2)&amp;" €/πάσσαλο (× "&amp;$D$23&amp;" πασσ. = "&amp;ROUND($D$23*$F$76,2)&amp;" €)"</f>
        <v>((Κόστος αγοράς + Κόστος τοποθέτησης) × Profit, Waste, Overhead) = 2.87 € → Στρογγυλεμένο = 3 €/τεμ. × 16 τεμ./πάσσαλο = 48 €/πάσσαλο (× 17 πασσ. = 816 €)</v>
      </c>
    </row>
    <row r="77" spans="1:7" ht="30" customHeight="1" x14ac:dyDescent="0.35">
      <c r="A77" s="24" t="str">
        <f>IF('Τιμές &amp; Έλεγχος'!$D$35="ΝΑΙ","2Γ.1.6","")</f>
        <v/>
      </c>
      <c r="B77" s="34" t="str">
        <f>IF('Τιμές &amp; Έλεγχος'!$D$35="ΝΑΙ","Κεφαλοκοπή πασσάλου / Pile Breaking (τεμ. ανά 1 πάσσαλο)","")</f>
        <v/>
      </c>
      <c r="C77" s="24" t="str">
        <f>IF('Τιμές &amp; Έλεγχος'!$D$35="ΝΑΙ","τεμ.","")</f>
        <v/>
      </c>
      <c r="D77" s="44">
        <f>IF('Τιμές &amp; Έλεγχος'!$D$35="ΝΑΙ",$D$131,0)</f>
        <v>0</v>
      </c>
      <c r="E77" s="12">
        <f>IF('Τιμές &amp; Έλεγχος'!$D$35="ΝΑΙ",'Τιμές &amp; Έλεγχος'!$D$11,0)</f>
        <v>0</v>
      </c>
      <c r="F77" s="12">
        <f>$D$77*$E$77</f>
        <v>0</v>
      </c>
      <c r="G77" s="36" t="str">
        <f>IF('Τιμές &amp; Έλεγχος'!$D$35="ΝΑΙ","Κεφαλοκοπή/πάσσαλο = "&amp;$D$77&amp;" τεμ./πάσσαλο × "&amp;ROUND($E$77,2)&amp;" € = "&amp;ROUND($F$77,2)&amp;" €/πάσσαλο (× "&amp;$D$23&amp;" πασσ. = "&amp;ROUND($D$23*$F$77,2)&amp;" €)","")</f>
        <v/>
      </c>
    </row>
    <row r="78" spans="1:7" ht="30" customHeight="1" x14ac:dyDescent="0.35">
      <c r="A78" s="24" t="str">
        <f>IF('Τιμές &amp; Έλεγχος'!$D$36="ΝΑΙ",IF('Τιμές &amp; Έλεγχος'!$D$35="ΝΑΙ","2Γ.1.7","2Γ.1.6"),"")</f>
        <v/>
      </c>
      <c r="B78" s="34" t="str">
        <f>IF('Τιμές &amp; Έλεγχος'!$D$36="ΝΑΙ","Απομάκρυνση εκσκαπτόμενου χώματος &amp; Λατομικά τέλη (m³ ανά 1 πάσσαλο)","")</f>
        <v/>
      </c>
      <c r="C78" s="24" t="str">
        <f>IF('Τιμές &amp; Έλεγχος'!$D$36="ΝΑΙ","m³","")</f>
        <v/>
      </c>
      <c r="D78" s="45">
        <f>IF('Τιμές &amp; Έλεγχος'!$D$36="ΝΑΙ",$D$113,0)</f>
        <v>0</v>
      </c>
      <c r="E78" s="12">
        <f>IF('Τιμές &amp; Έλεγχος'!$D$36="ΝΑΙ",'Τιμές &amp; Έλεγχος'!$D$37,0)</f>
        <v>0</v>
      </c>
      <c r="F78" s="12">
        <f>$D$78*$E$78</f>
        <v>0</v>
      </c>
      <c r="G78" s="36" t="str">
        <f>IF('Τιμές &amp; Έλεγχος'!$D$36="ΝΑΙ","Όγκος εκσκαφής/πάσσαλο = Εμβαδόν Ø"&amp;$D$24&amp;"mm × Βάθος τρυπήματος ("&amp;ROUND($D$112,2)&amp;"m) = "&amp;ROUND($D$78,2)&amp;" m³/πάσσαλο × "&amp;ROUND($E$78,2)&amp;" €/m³ = "&amp;ROUND($F$78,2)&amp;" €/πάσσαλο (× "&amp;$D$23&amp;" πασσ. = "&amp;ROUND($D$23*$F$78,2)&amp;" €)","")</f>
        <v/>
      </c>
    </row>
    <row r="79" spans="1:7" ht="24" customHeight="1" x14ac:dyDescent="0.35">
      <c r="A79" s="72" t="s">
        <v>190</v>
      </c>
      <c r="B79" s="73"/>
      <c r="C79" s="73"/>
      <c r="D79" s="73"/>
      <c r="E79" s="73"/>
      <c r="F79" s="47">
        <f>$F$69+$F$70+$F$71+$F$75+$F$76+$F$77+$F$78</f>
        <v>3982.0872263317206</v>
      </c>
      <c r="G79" s="48" t="str">
        <f>"Κόστος για 1 πάσσαλο Τύπου 1 = "&amp;ROUND($F$79,2)&amp;" €/πάσσαλο"</f>
        <v>Κόστος για 1 πάσσαλο Τύπου 1 = 3982.09 €/πάσσαλο</v>
      </c>
    </row>
    <row r="80" spans="1:7" ht="24" customHeight="1" x14ac:dyDescent="0.35">
      <c r="A80" s="66" t="s">
        <v>191</v>
      </c>
      <c r="B80" s="69"/>
      <c r="C80" s="69"/>
      <c r="D80" s="69"/>
      <c r="E80" s="69"/>
      <c r="F80" s="15">
        <f>$D$23*$F$79</f>
        <v>67695.482847639243</v>
      </c>
      <c r="G80" s="46" t="str">
        <f>$D$23&amp;" πάσσαλοι × "&amp;ROUND($F$79,2)&amp;" €/πάσσαλο = "&amp;ROUND($F$80,2)&amp;" €"</f>
        <v>17 πάσσαλοι × 3982.09 €/πάσσαλο = 67695.48 €</v>
      </c>
    </row>
    <row r="81" spans="1:7" ht="24" customHeight="1" x14ac:dyDescent="0.35">
      <c r="A81" s="71" t="s">
        <v>192</v>
      </c>
      <c r="B81" s="64"/>
      <c r="C81" s="64"/>
      <c r="D81" s="64"/>
      <c r="E81" s="64"/>
      <c r="F81" s="64"/>
      <c r="G81" s="64"/>
    </row>
    <row r="82" spans="1:7" ht="28" customHeight="1" x14ac:dyDescent="0.35">
      <c r="A82" s="2" t="s">
        <v>27</v>
      </c>
      <c r="B82" s="2" t="s">
        <v>193</v>
      </c>
      <c r="C82" s="2" t="s">
        <v>5</v>
      </c>
      <c r="D82" s="2" t="s">
        <v>173</v>
      </c>
      <c r="E82" s="2" t="s">
        <v>6</v>
      </c>
      <c r="F82" s="2" t="s">
        <v>174</v>
      </c>
      <c r="G82" s="2" t="s">
        <v>194</v>
      </c>
    </row>
    <row r="83" spans="1:7" ht="30" customHeight="1" x14ac:dyDescent="0.35">
      <c r="A83" s="24" t="s">
        <v>195</v>
      </c>
      <c r="B83" s="34" t="s">
        <v>177</v>
      </c>
      <c r="C83" s="24" t="s">
        <v>11</v>
      </c>
      <c r="D83" s="25">
        <f>1</f>
        <v>1</v>
      </c>
      <c r="E83" s="6">
        <f>$D$15</f>
        <v>177.77777777777777</v>
      </c>
      <c r="F83" s="35">
        <f>$D$83*$E$83</f>
        <v>177.77777777777777</v>
      </c>
      <c r="G83" s="36" t="str">
        <f>"1 πάσσαλος × Επιμερισμένη μετακίνηση ("&amp;ROUND($D$15,2)&amp;" €) = "&amp;ROUND($F$83,2)&amp;" €/πάσσαλο (× "&amp;$E$23&amp;" πασσ. ομάδας = "&amp;ROUND($E$23*$F$83,2)&amp;" €)"</f>
        <v>1 πάσσαλος × Επιμερισμένη μετακίνηση (177.78 €) = 177.78 €/πάσσαλο (× 1 πασσ. ομάδας = 177.78 €)</v>
      </c>
    </row>
    <row r="84" spans="1:7" ht="30" customHeight="1" x14ac:dyDescent="0.35">
      <c r="A84" s="24" t="s">
        <v>196</v>
      </c>
      <c r="B84" s="34" t="s">
        <v>179</v>
      </c>
      <c r="C84" s="24" t="s">
        <v>14</v>
      </c>
      <c r="D84" s="37">
        <f>$E$112</f>
        <v>19.899999999999999</v>
      </c>
      <c r="E84" s="6">
        <f>'Τιμές &amp; Έλεγχος'!$D$9</f>
        <v>90</v>
      </c>
      <c r="F84" s="35">
        <f>$D$84*$E$84</f>
        <v>1790.9999999999998</v>
      </c>
      <c r="G84" s="36" t="str">
        <f>"Μέτρα τρυπήματος/πάσσαλο = Ύψος πασσάλου ("&amp;ROUND($E$25,3)&amp;"m) + Κενό τρύπημα ("&amp;ROUND($E$110,3)&amp;"m) = "&amp;ROUND($D$84,2)&amp;" m/πάσσαλο × "&amp;ROUND($E$84,2)&amp;" €/m = "&amp;ROUND($F$84,2)&amp;" €/πάσσαλο (× "&amp;$E$23&amp;" πασσ. = "&amp;ROUND($E$23*$F$84,2)&amp;" €)"</f>
        <v>Μέτρα τρυπήματος/πάσσαλο = Ύψος πασσάλου (15.525m) + Κενό τρύπημα (4.375m) = 19.9 m/πάσσαλο × 90 €/m = 1791 €/πάσσαλο (× 1 πασσ. = 1791 €)</v>
      </c>
    </row>
    <row r="85" spans="1:7" ht="30" customHeight="1" x14ac:dyDescent="0.35">
      <c r="A85" s="24" t="s">
        <v>197</v>
      </c>
      <c r="B85" s="34" t="str">
        <f>"Σκυρόδεμα πασσάλου "&amp;$D$18&amp;" με +"&amp;ROUND($D$99*100,0)&amp;"% απώλεια (m³ ανά 1 πάσσαλο)"</f>
        <v>Σκυρόδεμα πασσάλου C40/50 με +10% απώλεια (m³ ανά 1 πάσσαλο)</v>
      </c>
      <c r="C85" s="24" t="s">
        <v>16</v>
      </c>
      <c r="D85" s="37">
        <f>$E$115</f>
        <v>9.6899283807323577</v>
      </c>
      <c r="E85" s="9">
        <f>'Τιμές &amp; Έλεγχος'!$D$21</f>
        <v>116</v>
      </c>
      <c r="F85" s="35">
        <f>$D$85*$E$85</f>
        <v>1124.0316921649535</v>
      </c>
      <c r="G85" s="36" t="str">
        <f>"Κυβικά κουγκριού/πάσσαλο = Εμβαδόν Ø"&amp;$E$24&amp;"mm × [Ύψος ("&amp;ROUND($E$25,3)&amp;"m) + Υπερκάλυψη ("&amp;ROUND($E$111,2)&amp;"m) = "&amp;ROUND($E$114,3)&amp;"m] × 1.10 = "&amp;ROUND($D$85,3)&amp;" m³/πάσσαλο × "&amp;ROUND($E$85,0)&amp;" €/m³ = "&amp;ROUND($F$85,2)&amp;" €/πάσσαλο (× "&amp;$E$23&amp;" πασσ. = "&amp;ROUND($E$23*$F$85,2)&amp;" €)"</f>
        <v>Κυβικά κουγκριού/πάσσαλο = Εμβαδόν Ø800mm × [Ύψος (15.525m) + Υπερκάλυψη (2m) = 17.525m] × 1.10 = 9.69 m³/πάσσαλο × 116 €/m³ = 1124.03 €/πάσσαλο (× 1 πασσ. = 1124.03 €)</v>
      </c>
    </row>
    <row r="86" spans="1:7" ht="30" customHeight="1" x14ac:dyDescent="0.35">
      <c r="A86" s="38" t="s">
        <v>198</v>
      </c>
      <c r="B86" s="39" t="s">
        <v>182</v>
      </c>
      <c r="C86" s="38" t="s">
        <v>18</v>
      </c>
      <c r="D86" s="40">
        <f>$E$122</f>
        <v>697.42728591162677</v>
      </c>
      <c r="E86" s="41">
        <f>'Τιμές &amp; Έλεγχος'!$D$10</f>
        <v>1.1000000000000001</v>
      </c>
      <c r="F86" s="41">
        <f>$D$86*$E$86</f>
        <v>767.17001450278951</v>
      </c>
      <c r="G86" s="42" t="str">
        <f>$E$28&amp;" σίδερα Φ"&amp;$E$29&amp;" × Μήκος βέργας ("&amp;ROUND($E$120,3)&amp;"m με μάτιση "&amp;ROUND($E$33,2)&amp;"m) × "&amp;ROUND($E$121,3)&amp;" kg/m = "&amp;ROUND($D$86,2)&amp;" kg/πάσσαλο × "&amp;ROUND($E$86,2)&amp;" €/kg = "&amp;ROUND($F$86,2)&amp;" €/πάσσαλο"</f>
        <v>16 σίδερα Φ20 × Μήκος βέργας (17.675m με μάτιση 1.15m) × 2.466 kg/m = 697.43 kg/πάσσαλο × 1.1 €/kg = 767.17 €/πάσσαλο</v>
      </c>
    </row>
    <row r="87" spans="1:7" ht="30" customHeight="1" x14ac:dyDescent="0.35">
      <c r="A87" s="38" t="s">
        <v>199</v>
      </c>
      <c r="B87" s="39" t="s">
        <v>184</v>
      </c>
      <c r="C87" s="38" t="s">
        <v>18</v>
      </c>
      <c r="D87" s="40">
        <f>$E$125</f>
        <v>132.19409819846592</v>
      </c>
      <c r="E87" s="41">
        <f>'Τιμές &amp; Έλεγχος'!$D$10</f>
        <v>1.1000000000000001</v>
      </c>
      <c r="F87" s="41">
        <f>$D$87*$E$87</f>
        <v>145.41350801831254</v>
      </c>
      <c r="G87" s="42" t="str">
        <f>$E$123&amp;" σπείρες (με +1) × Περίμετρος ("&amp;ROUND($E$117,3)&amp;"m) × Βάρος Φ"&amp;$E$34&amp;" ("&amp;ROUND($E$124,3)&amp;" kg/m) = "&amp;ROUND($D$87,2)&amp;" kg/πάσσαλο × "&amp;ROUND($E$87,2)&amp;" €/kg = "&amp;ROUND($F$87,2)&amp;" €/πάσσαλο"</f>
        <v>105 σπείρες (με +1) × Περίμετρος (2.042m) × Βάρος Φ10 (0.617 kg/m) = 132.19 kg/πάσσαλο × 1.1 €/kg = 145.41 €/πάσσαλο</v>
      </c>
    </row>
    <row r="88" spans="1:7" ht="30" customHeight="1" x14ac:dyDescent="0.35">
      <c r="A88" s="38" t="s">
        <v>200</v>
      </c>
      <c r="B88" s="39" t="s">
        <v>186</v>
      </c>
      <c r="C88" s="38" t="s">
        <v>18</v>
      </c>
      <c r="D88" s="40">
        <f>$E$127</f>
        <v>8.8129398798977281</v>
      </c>
      <c r="E88" s="41">
        <f>'Τιμές &amp; Έλεγχος'!$D$10</f>
        <v>1.1000000000000001</v>
      </c>
      <c r="F88" s="41">
        <f>$D$88*$E$88</f>
        <v>9.6942338678875011</v>
      </c>
      <c r="G88" s="42" t="str">
        <f>$E$126&amp;" στεφάνια (χωρίς +1) × Περίμετρος ("&amp;ROUND($E$117,3)&amp;"m) × Βάρος Φ"&amp;$E$34&amp;" ("&amp;ROUND($E$124,3)&amp;" kg/m) = "&amp;ROUND($D$88,2)&amp;" kg/πάσσαλο × "&amp;ROUND($E$88,2)&amp;" €/kg = "&amp;ROUND($F$88,2)&amp;" €/πάσσαλο"</f>
        <v>7 στεφάνια (χωρίς +1) × Περίμετρος (2.042m) × Βάρος Φ10 (0.617 kg/m) = 8.81 kg/πάσσαλο × 1.1 €/kg = 9.69 €/πάσσαλο</v>
      </c>
    </row>
    <row r="89" spans="1:7" ht="30" customHeight="1" x14ac:dyDescent="0.35">
      <c r="A89" s="24" t="s">
        <v>201</v>
      </c>
      <c r="B89" s="34" t="s">
        <v>188</v>
      </c>
      <c r="C89" s="24" t="s">
        <v>18</v>
      </c>
      <c r="D89" s="43">
        <f>$E$129</f>
        <v>838.43432398999039</v>
      </c>
      <c r="E89" s="6">
        <f>'Τιμές &amp; Έλεγχος'!$D$10</f>
        <v>1.1000000000000001</v>
      </c>
      <c r="F89" s="35">
        <f>$D$89*$E$89</f>
        <v>922.27775638898947</v>
      </c>
      <c r="G89" s="36" t="str">
        <f>"Σύνολο σιδήρου/πάσσαλο = Κάθετα ("&amp;ROUND($E$122,2)&amp;" kg) + Σούστα ("&amp;ROUND($E$125,2)&amp;" kg) + Στεφάνια ("&amp;ROUND($E$127,2)&amp;" kg) = "&amp;ROUND($D$89,2)&amp;" kg/πάσσαλο × "&amp;ROUND($E$89,2)&amp;" €/kg = "&amp;ROUND($F$89,2)&amp;" €/πάσσαλο (× "&amp;$E$23&amp;" πασσ. = "&amp;ROUND($E$23*$F$89,2)&amp;" €)"</f>
        <v>Σύνολο σιδήρου/πάσσαλο = Κάθετα (697.43 kg) + Σούστα (132.19 kg) + Στεφάνια (8.81 kg) = 838.43 kg/πάσσαλο × 1.1 €/kg = 922.28 €/πάσσαλο (× 1 πασσ. = 922.28 €)</v>
      </c>
    </row>
    <row r="90" spans="1:7" ht="30" customHeight="1" x14ac:dyDescent="0.35">
      <c r="A90" s="24" t="s">
        <v>202</v>
      </c>
      <c r="B90" s="34" t="str">
        <f>"Sleeves προστασίας αναμονών starter (Sleeve Φ32 για Φ"&amp;$E$29&amp;" — τεμ. ανά 1 πάσσαλο)"</f>
        <v>Sleeves προστασίας αναμονών starter (Sleeve Φ32 για Φ20 — τεμ. ανά 1 πάσσαλο)</v>
      </c>
      <c r="C90" s="24" t="s">
        <v>20</v>
      </c>
      <c r="D90" s="25">
        <f>$E$130</f>
        <v>16</v>
      </c>
      <c r="E90" s="6">
        <f>'Τιμές &amp; Έλεγχος'!$D$26</f>
        <v>3</v>
      </c>
      <c r="F90" s="35">
        <f>$D$90*$E$90</f>
        <v>48</v>
      </c>
      <c r="G90" s="36" t="str">
        <f>"((Κόστος αγοράς + Κόστος τοποθέτησης) × Profit, Waste, Overhead) = "&amp;ROUND('Τιμές &amp; Έλεγχος'!$D$25,2)&amp;" € → Στρογγυλεμένο = "&amp;ROUND($E$90,2)&amp;" €/τεμ. × "&amp;$D$90&amp;" τεμ./πάσσαλο = "&amp;ROUND($F$90,2)&amp;" €/πάσσαλο (× "&amp;$E$23&amp;" πασσ. = "&amp;ROUND($E$23*$F$90,2)&amp;" €)"</f>
        <v>((Κόστος αγοράς + Κόστος τοποθέτησης) × Profit, Waste, Overhead) = 2.87 € → Στρογγυλεμένο = 3 €/τεμ. × 16 τεμ./πάσσαλο = 48 €/πάσσαλο (× 1 πασσ. = 48 €)</v>
      </c>
    </row>
    <row r="91" spans="1:7" ht="30" customHeight="1" x14ac:dyDescent="0.35">
      <c r="A91" s="24" t="str">
        <f>IF('Τιμές &amp; Έλεγχος'!$D$35="ΝΑΙ","2Γ.2.6","")</f>
        <v/>
      </c>
      <c r="B91" s="34" t="str">
        <f>IF('Τιμές &amp; Έλεγχος'!$D$35="ΝΑΙ","Κεφαλοκοπή πασσάλου / Pile Breaking (τεμ. ανά 1 πάσσαλο)","")</f>
        <v/>
      </c>
      <c r="C91" s="24" t="str">
        <f>IF('Τιμές &amp; Έλεγχος'!$D$35="ΝΑΙ","τεμ.","")</f>
        <v/>
      </c>
      <c r="D91" s="44">
        <f>IF('Τιμές &amp; Έλεγχος'!$D$35="ΝΑΙ",$E$131,0)</f>
        <v>0</v>
      </c>
      <c r="E91" s="12">
        <f>IF('Τιμές &amp; Έλεγχος'!$D$35="ΝΑΙ",'Τιμές &amp; Έλεγχος'!$D$11,0)</f>
        <v>0</v>
      </c>
      <c r="F91" s="12">
        <f>$D$91*$E$91</f>
        <v>0</v>
      </c>
      <c r="G91" s="36" t="str">
        <f>IF('Τιμές &amp; Έλεγχος'!$D$35="ΝΑΙ","Κεφαλοκοπή/πάσσαλο = "&amp;$D$91&amp;" τεμ./πάσσαλο × "&amp;ROUND($E$91,2)&amp;" € = "&amp;ROUND($F$91,2)&amp;" €/πάσσαλο (× "&amp;$E$23&amp;" πασσ. = "&amp;ROUND($E$23*$F$91,2)&amp;" €)","")</f>
        <v/>
      </c>
    </row>
    <row r="92" spans="1:7" ht="30" customHeight="1" x14ac:dyDescent="0.35">
      <c r="A92" s="24" t="str">
        <f>IF('Τιμές &amp; Έλεγχος'!$D$36="ΝΑΙ",IF('Τιμές &amp; Έλεγχος'!$D$35="ΝΑΙ","2Γ.2.7","2Γ.2.6"),"")</f>
        <v/>
      </c>
      <c r="B92" s="34" t="str">
        <f>IF('Τιμές &amp; Έλεγχος'!$D$36="ΝΑΙ","Απομάκρυνση εκσκαπτόμενου χώματος &amp; Λατομικά τέλη (m³ ανά 1 πάσσαλο)","")</f>
        <v/>
      </c>
      <c r="C92" s="24" t="str">
        <f>IF('Τιμές &amp; Έλεγχος'!$D$36="ΝΑΙ","m³","")</f>
        <v/>
      </c>
      <c r="D92" s="45">
        <f>IF('Τιμές &amp; Έλεγχος'!$D$36="ΝΑΙ",$E$113,0)</f>
        <v>0</v>
      </c>
      <c r="E92" s="12">
        <f>IF('Τιμές &amp; Έλεγχος'!$D$36="ΝΑΙ",'Τιμές &amp; Έλεγχος'!$D$37,0)</f>
        <v>0</v>
      </c>
      <c r="F92" s="12">
        <f>$D$92*$E$92</f>
        <v>0</v>
      </c>
      <c r="G92" s="36" t="str">
        <f>IF('Τιμές &amp; Έλεγχος'!$D$36="ΝΑΙ","Όγκος εκσκαφής/πάσσαλο = Εμβαδόν Ø"&amp;$E$24&amp;"mm × Βάθος τρυπήματος ("&amp;ROUND($E$112,2)&amp;"m) = "&amp;ROUND($D$92,2)&amp;" m³/πάσσαλο × "&amp;ROUND($E$92,2)&amp;" €/m³ = "&amp;ROUND($F$92,2)&amp;" €/πάσσαλο (× "&amp;$E$23&amp;" πασσ. = "&amp;ROUND($E$23*$F$92,2)&amp;" €)","")</f>
        <v/>
      </c>
    </row>
    <row r="93" spans="1:7" ht="24" customHeight="1" x14ac:dyDescent="0.35">
      <c r="A93" s="72" t="s">
        <v>203</v>
      </c>
      <c r="B93" s="73"/>
      <c r="C93" s="73"/>
      <c r="D93" s="73"/>
      <c r="E93" s="73"/>
      <c r="F93" s="47">
        <f>$F$83+$F$84+$F$85+$F$89+$F$90+$F$91+$F$92</f>
        <v>4063.0872263317206</v>
      </c>
      <c r="G93" s="48" t="str">
        <f>"Κόστος για 1 πάσσαλο Τύπου 2 = "&amp;ROUND($F$93,2)&amp;" €/πάσσαλο"</f>
        <v>Κόστος για 1 πάσσαλο Τύπου 2 = 4063.09 €/πάσσαλο</v>
      </c>
    </row>
    <row r="94" spans="1:7" ht="24" customHeight="1" x14ac:dyDescent="0.35">
      <c r="A94" s="66" t="s">
        <v>204</v>
      </c>
      <c r="B94" s="69"/>
      <c r="C94" s="69"/>
      <c r="D94" s="69"/>
      <c r="E94" s="69"/>
      <c r="F94" s="15">
        <f>$E$23*$F$93</f>
        <v>4063.0872263317206</v>
      </c>
      <c r="G94" s="46" t="str">
        <f>$E$23&amp;" πάσσαλοι × "&amp;ROUND($F$93,2)&amp;" €/πάσσαλο = "&amp;ROUND($F$94,2)&amp;" €"</f>
        <v>1 πάσσαλοι × 4063.09 €/πάσσαλο = 4063.09 €</v>
      </c>
    </row>
    <row r="95" spans="1:7" ht="26" customHeight="1" x14ac:dyDescent="0.35">
      <c r="A95" s="66" t="s">
        <v>205</v>
      </c>
      <c r="B95" s="69"/>
      <c r="C95" s="69"/>
      <c r="D95" s="69"/>
      <c r="E95" s="69"/>
      <c r="F95" s="15">
        <f>$F$80+$F$94</f>
        <v>71758.570073970957</v>
      </c>
      <c r="G95" s="46" t="str">
        <f>"Επαλήθευση: Άθροισμα ομάδων 2Γ ("&amp;ROUND($F$95,2)&amp;" €) = Γενικό Σύνολο Προσφοράς ("&amp;ROUND('Οικονομική Προσφορά'!$F$15,2)&amp;" €)"</f>
        <v>Επαλήθευση: Άθροισμα ομάδων 2Γ (71758.57 €) = Γενικό Σύνολο Προσφοράς (72000 €)</v>
      </c>
    </row>
    <row r="97" spans="1:7" x14ac:dyDescent="0.35">
      <c r="A97" s="18" t="s">
        <v>206</v>
      </c>
    </row>
    <row r="98" spans="1:7" ht="30" customHeight="1" x14ac:dyDescent="0.35">
      <c r="A98" s="2" t="s">
        <v>27</v>
      </c>
      <c r="B98" s="2" t="s">
        <v>207</v>
      </c>
      <c r="C98" s="2" t="s">
        <v>5</v>
      </c>
      <c r="D98" s="2" t="s">
        <v>29</v>
      </c>
      <c r="E98" s="2"/>
      <c r="F98" s="2"/>
      <c r="G98" s="2" t="s">
        <v>208</v>
      </c>
    </row>
    <row r="99" spans="1:7" x14ac:dyDescent="0.35">
      <c r="A99" s="3" t="s">
        <v>209</v>
      </c>
      <c r="B99" s="19" t="s">
        <v>210</v>
      </c>
      <c r="C99" s="3" t="s">
        <v>211</v>
      </c>
      <c r="D99" s="49">
        <v>0.1</v>
      </c>
      <c r="G99" s="17" t="s">
        <v>212</v>
      </c>
    </row>
    <row r="100" spans="1:7" x14ac:dyDescent="0.35">
      <c r="A100" s="3" t="s">
        <v>213</v>
      </c>
      <c r="B100" s="19" t="s">
        <v>214</v>
      </c>
      <c r="C100" s="3" t="s">
        <v>68</v>
      </c>
      <c r="D100" s="5">
        <v>7850</v>
      </c>
      <c r="G100" s="17" t="s">
        <v>215</v>
      </c>
    </row>
    <row r="101" spans="1:7" x14ac:dyDescent="0.35">
      <c r="A101" s="3" t="s">
        <v>216</v>
      </c>
      <c r="B101" s="19" t="s">
        <v>217</v>
      </c>
      <c r="C101" s="3" t="s">
        <v>14</v>
      </c>
      <c r="D101" s="8">
        <v>12</v>
      </c>
      <c r="G101" s="17" t="s">
        <v>218</v>
      </c>
    </row>
    <row r="102" spans="1:7" x14ac:dyDescent="0.35">
      <c r="A102" s="3" t="s">
        <v>219</v>
      </c>
      <c r="B102" s="19" t="s">
        <v>220</v>
      </c>
      <c r="C102" s="3" t="s">
        <v>68</v>
      </c>
      <c r="D102" s="22">
        <v>50</v>
      </c>
      <c r="G102" s="17" t="s">
        <v>221</v>
      </c>
    </row>
    <row r="103" spans="1:7" x14ac:dyDescent="0.35">
      <c r="A103" s="3" t="s">
        <v>222</v>
      </c>
      <c r="B103" s="19" t="s">
        <v>223</v>
      </c>
      <c r="C103" s="3" t="s">
        <v>14</v>
      </c>
      <c r="D103" s="8">
        <v>2</v>
      </c>
      <c r="G103" s="17" t="s">
        <v>224</v>
      </c>
    </row>
    <row r="104" spans="1:7" x14ac:dyDescent="0.35">
      <c r="A104" s="3" t="s">
        <v>225</v>
      </c>
      <c r="B104" s="19" t="s">
        <v>226</v>
      </c>
      <c r="C104" s="3" t="s">
        <v>68</v>
      </c>
      <c r="D104" s="23">
        <f>PI()</f>
        <v>3.1415926535897931</v>
      </c>
      <c r="G104" s="17" t="s">
        <v>227</v>
      </c>
    </row>
    <row r="105" spans="1:7" x14ac:dyDescent="0.35">
      <c r="A105" s="3" t="s">
        <v>228</v>
      </c>
      <c r="B105" s="19" t="s">
        <v>229</v>
      </c>
      <c r="C105" s="3" t="s">
        <v>14</v>
      </c>
      <c r="D105" s="8">
        <v>0.1</v>
      </c>
      <c r="G105" s="17" t="s">
        <v>230</v>
      </c>
    </row>
    <row r="106" spans="1:7" x14ac:dyDescent="0.35">
      <c r="A106" s="3" t="s">
        <v>231</v>
      </c>
      <c r="B106" s="19" t="s">
        <v>232</v>
      </c>
      <c r="C106" s="3" t="s">
        <v>14</v>
      </c>
      <c r="D106" s="8">
        <v>0.5</v>
      </c>
      <c r="G106" s="17" t="s">
        <v>233</v>
      </c>
    </row>
    <row r="108" spans="1:7" x14ac:dyDescent="0.35">
      <c r="A108" s="18" t="s">
        <v>234</v>
      </c>
    </row>
    <row r="109" spans="1:7" ht="30" customHeight="1" x14ac:dyDescent="0.35">
      <c r="A109" s="2" t="s">
        <v>235</v>
      </c>
      <c r="B109" s="2" t="s">
        <v>236</v>
      </c>
      <c r="C109" s="2" t="s">
        <v>5</v>
      </c>
      <c r="D109" s="2" t="s">
        <v>237</v>
      </c>
      <c r="E109" s="2" t="s">
        <v>238</v>
      </c>
      <c r="F109" s="2" t="s">
        <v>140</v>
      </c>
      <c r="G109" s="2" t="s">
        <v>239</v>
      </c>
    </row>
    <row r="110" spans="1:7" x14ac:dyDescent="0.35">
      <c r="A110" s="3" t="s">
        <v>9</v>
      </c>
      <c r="B110" s="19" t="s">
        <v>240</v>
      </c>
      <c r="C110" s="3" t="s">
        <v>14</v>
      </c>
      <c r="D110" s="8">
        <f>$D$17-$D$26</f>
        <v>3.4750000000000001</v>
      </c>
      <c r="E110" s="8">
        <f>$D$17-$E$26</f>
        <v>4.375</v>
      </c>
      <c r="F110" s="3" t="s">
        <v>130</v>
      </c>
      <c r="G110" s="17" t="s">
        <v>241</v>
      </c>
    </row>
    <row r="111" spans="1:7" x14ac:dyDescent="0.35">
      <c r="A111" s="3" t="s">
        <v>12</v>
      </c>
      <c r="B111" s="19" t="s">
        <v>242</v>
      </c>
      <c r="C111" s="3" t="s">
        <v>14</v>
      </c>
      <c r="D111" s="8">
        <f>IF($D$110&gt;0,MIN($D$103,$D$110),0)</f>
        <v>2</v>
      </c>
      <c r="E111" s="8">
        <f>IF($E$110&gt;0,MIN($D$103,$E$110),0)</f>
        <v>2</v>
      </c>
      <c r="F111" s="3" t="s">
        <v>130</v>
      </c>
      <c r="G111" s="17" t="s">
        <v>243</v>
      </c>
    </row>
    <row r="112" spans="1:7" x14ac:dyDescent="0.35">
      <c r="A112" s="3" t="s">
        <v>15</v>
      </c>
      <c r="B112" s="19" t="s">
        <v>244</v>
      </c>
      <c r="C112" s="3" t="s">
        <v>14</v>
      </c>
      <c r="D112" s="8">
        <f>$D$25+MAX(0,$D$110)</f>
        <v>19</v>
      </c>
      <c r="E112" s="8">
        <f>$E$25+MAX(0,$E$110)</f>
        <v>19.899999999999999</v>
      </c>
      <c r="F112" s="37">
        <f>$D$23*$D$112+$E$23*$E$112</f>
        <v>342.9</v>
      </c>
      <c r="G112" s="17" t="s">
        <v>245</v>
      </c>
    </row>
    <row r="113" spans="1:7" x14ac:dyDescent="0.35">
      <c r="A113" s="3" t="s">
        <v>17</v>
      </c>
      <c r="B113" s="19" t="s">
        <v>246</v>
      </c>
      <c r="C113" s="3" t="s">
        <v>16</v>
      </c>
      <c r="D113" s="8">
        <f>$D$104*($D$24/1000)^2/4*$D$112</f>
        <v>9.5504416669129721</v>
      </c>
      <c r="E113" s="8">
        <f>$D$104*($E$24/1000)^2/4*$E$112</f>
        <v>10.002831009029901</v>
      </c>
      <c r="F113" s="37">
        <f>$D$23*$D$113+$E$23*$E$113</f>
        <v>172.36033934655043</v>
      </c>
      <c r="G113" s="17" t="s">
        <v>247</v>
      </c>
    </row>
    <row r="114" spans="1:7" x14ac:dyDescent="0.35">
      <c r="A114" s="3" t="s">
        <v>19</v>
      </c>
      <c r="B114" s="19" t="s">
        <v>248</v>
      </c>
      <c r="C114" s="3" t="s">
        <v>14</v>
      </c>
      <c r="D114" s="8">
        <f>$D$25+$D$111</f>
        <v>17.524999999999999</v>
      </c>
      <c r="E114" s="8">
        <f>$E$25+$E$111</f>
        <v>17.524999999999999</v>
      </c>
      <c r="F114" s="3" t="s">
        <v>130</v>
      </c>
      <c r="G114" s="17" t="s">
        <v>249</v>
      </c>
    </row>
    <row r="115" spans="1:7" x14ac:dyDescent="0.35">
      <c r="A115" s="3" t="s">
        <v>250</v>
      </c>
      <c r="B115" s="19" t="s">
        <v>251</v>
      </c>
      <c r="C115" s="3" t="s">
        <v>16</v>
      </c>
      <c r="D115" s="8">
        <f>$D$104*($D$24/1000)^2/4*$D$114*(1+$D$99)</f>
        <v>9.6899283807323577</v>
      </c>
      <c r="E115" s="8">
        <f>$D$104*($E$24/1000)^2/4*$E$114*(1+$D$99)</f>
        <v>9.6899283807323577</v>
      </c>
      <c r="F115" s="37">
        <f>$D$23*$D$115+$E$23*$E$115</f>
        <v>174.41871085318246</v>
      </c>
      <c r="G115" s="17" t="s">
        <v>252</v>
      </c>
    </row>
    <row r="116" spans="1:7" x14ac:dyDescent="0.35">
      <c r="A116" s="3" t="s">
        <v>253</v>
      </c>
      <c r="B116" s="19" t="s">
        <v>254</v>
      </c>
      <c r="C116" s="3" t="s">
        <v>73</v>
      </c>
      <c r="D116" s="22">
        <f>$D$24-2*$D$19</f>
        <v>650</v>
      </c>
      <c r="E116" s="22">
        <f>$E$24-2*$D$19</f>
        <v>650</v>
      </c>
      <c r="F116" s="3" t="s">
        <v>130</v>
      </c>
      <c r="G116" s="17" t="s">
        <v>255</v>
      </c>
    </row>
    <row r="117" spans="1:7" x14ac:dyDescent="0.35">
      <c r="A117" s="3" t="s">
        <v>256</v>
      </c>
      <c r="B117" s="19" t="s">
        <v>257</v>
      </c>
      <c r="C117" s="3" t="s">
        <v>14</v>
      </c>
      <c r="D117" s="8">
        <f>$D$104*$D$116/1000</f>
        <v>2.0420352248333655</v>
      </c>
      <c r="E117" s="8">
        <f>$D$104*$E$116/1000</f>
        <v>2.0420352248333655</v>
      </c>
      <c r="F117" s="3" t="s">
        <v>130</v>
      </c>
      <c r="G117" s="17" t="s">
        <v>258</v>
      </c>
    </row>
    <row r="118" spans="1:7" x14ac:dyDescent="0.35">
      <c r="A118" s="3" t="s">
        <v>259</v>
      </c>
      <c r="B118" s="19" t="s">
        <v>260</v>
      </c>
      <c r="C118" s="3" t="s">
        <v>14</v>
      </c>
      <c r="D118" s="8">
        <f>$D$25+$D$30+$D$31+$D$32</f>
        <v>16.524999999999999</v>
      </c>
      <c r="E118" s="8">
        <f>$E$25+$E$30+$E$31+$E$32</f>
        <v>16.524999999999999</v>
      </c>
      <c r="F118" s="3" t="s">
        <v>130</v>
      </c>
      <c r="G118" s="17" t="s">
        <v>261</v>
      </c>
    </row>
    <row r="119" spans="1:7" x14ac:dyDescent="0.35">
      <c r="A119" s="3" t="s">
        <v>262</v>
      </c>
      <c r="B119" s="19" t="s">
        <v>263</v>
      </c>
      <c r="C119" s="3" t="s">
        <v>20</v>
      </c>
      <c r="D119" s="5">
        <f>IF($D$118&gt;$D$101,INT(($D$118-0.001)/$D$101),0)</f>
        <v>1</v>
      </c>
      <c r="E119" s="5">
        <f>IF($E$118&gt;$D$101,INT(($E$118-0.001)/$D$101),0)</f>
        <v>1</v>
      </c>
      <c r="F119" s="3" t="s">
        <v>130</v>
      </c>
      <c r="G119" s="17" t="s">
        <v>264</v>
      </c>
    </row>
    <row r="120" spans="1:7" x14ac:dyDescent="0.35">
      <c r="A120" s="3" t="s">
        <v>265</v>
      </c>
      <c r="B120" s="19" t="s">
        <v>266</v>
      </c>
      <c r="C120" s="3" t="s">
        <v>14</v>
      </c>
      <c r="D120" s="8">
        <f>$D$118+$D$119*$D$33</f>
        <v>17.674999999999997</v>
      </c>
      <c r="E120" s="8">
        <f>$E$118+$E$119*$E$33</f>
        <v>17.674999999999997</v>
      </c>
      <c r="F120" s="3" t="s">
        <v>130</v>
      </c>
      <c r="G120" s="17" t="s">
        <v>267</v>
      </c>
    </row>
    <row r="121" spans="1:7" x14ac:dyDescent="0.35">
      <c r="A121" s="3" t="s">
        <v>268</v>
      </c>
      <c r="B121" s="19" t="s">
        <v>269</v>
      </c>
      <c r="C121" s="3" t="s">
        <v>270</v>
      </c>
      <c r="D121" s="50">
        <f>$D$104*($D$29/1000)^2/4*$D$100</f>
        <v>2.4661502330679874</v>
      </c>
      <c r="E121" s="50">
        <f>$D$104*($E$29/1000)^2/4*$D$100</f>
        <v>2.4661502330679874</v>
      </c>
      <c r="F121" s="3" t="s">
        <v>130</v>
      </c>
      <c r="G121" s="17" t="s">
        <v>271</v>
      </c>
    </row>
    <row r="122" spans="1:7" x14ac:dyDescent="0.35">
      <c r="A122" s="3" t="s">
        <v>272</v>
      </c>
      <c r="B122" s="19" t="s">
        <v>273</v>
      </c>
      <c r="C122" s="3" t="s">
        <v>18</v>
      </c>
      <c r="D122" s="10">
        <f>$D$28*$D$120*$D$121</f>
        <v>697.42728591162677</v>
      </c>
      <c r="E122" s="10">
        <f>$E$28*$E$120*$E$121</f>
        <v>697.42728591162677</v>
      </c>
      <c r="F122" s="43">
        <f>$D$23*$D$122+$E$23*$E$122</f>
        <v>12553.691146409281</v>
      </c>
      <c r="G122" s="17" t="s">
        <v>274</v>
      </c>
    </row>
    <row r="123" spans="1:7" ht="24" x14ac:dyDescent="0.35">
      <c r="A123" s="3" t="s">
        <v>275</v>
      </c>
      <c r="B123" s="19" t="s">
        <v>276</v>
      </c>
      <c r="C123" s="3" t="s">
        <v>20</v>
      </c>
      <c r="D123" s="5">
        <f>ROUNDUP(ROUND(MIN($D$25,2*$D$36)*1000/$D$35+MAX(0,$D$25-2*$D$36)*1000/$D$37,6),0)+1</f>
        <v>105</v>
      </c>
      <c r="E123" s="5">
        <f>ROUNDUP(ROUND(MIN($E$25,2*$E$36)*1000/$E$35+MAX(0,$E$25-2*$E$36)*1000/$E$37,6),0)+1</f>
        <v>105</v>
      </c>
      <c r="F123" s="3" t="s">
        <v>130</v>
      </c>
      <c r="G123" s="17" t="s">
        <v>277</v>
      </c>
    </row>
    <row r="124" spans="1:7" x14ac:dyDescent="0.35">
      <c r="A124" s="3" t="s">
        <v>278</v>
      </c>
      <c r="B124" s="19" t="s">
        <v>279</v>
      </c>
      <c r="C124" s="3" t="s">
        <v>270</v>
      </c>
      <c r="D124" s="50">
        <f>$D$104*($D$34/1000)^2/4*$D$100</f>
        <v>0.61653755826699685</v>
      </c>
      <c r="E124" s="50">
        <f>$D$104*($E$34/1000)^2/4*$D$100</f>
        <v>0.61653755826699685</v>
      </c>
      <c r="F124" s="3" t="s">
        <v>130</v>
      </c>
      <c r="G124" s="17" t="s">
        <v>280</v>
      </c>
    </row>
    <row r="125" spans="1:7" x14ac:dyDescent="0.35">
      <c r="A125" s="3" t="s">
        <v>281</v>
      </c>
      <c r="B125" s="19" t="s">
        <v>282</v>
      </c>
      <c r="C125" s="3" t="s">
        <v>18</v>
      </c>
      <c r="D125" s="10">
        <f>$D$123*$D$117*$D$124</f>
        <v>132.19409819846592</v>
      </c>
      <c r="E125" s="10">
        <f>$E$123*$E$117*$E$124</f>
        <v>132.19409819846592</v>
      </c>
      <c r="F125" s="43">
        <f>$D$23*$D$125+$E$23*$E$125</f>
        <v>2379.4937675723863</v>
      </c>
      <c r="G125" s="17" t="s">
        <v>283</v>
      </c>
    </row>
    <row r="126" spans="1:7" x14ac:dyDescent="0.35">
      <c r="A126" s="3" t="s">
        <v>284</v>
      </c>
      <c r="B126" s="19" t="s">
        <v>285</v>
      </c>
      <c r="C126" s="3" t="s">
        <v>20</v>
      </c>
      <c r="D126" s="5">
        <f>ROUNDUP(ROUND($D$30*1000/IF($D$36&gt;0,$D$35,$D$37),6),0)</f>
        <v>7</v>
      </c>
      <c r="E126" s="5">
        <f>ROUNDUP(ROUND($E$30*1000/IF($E$36&gt;0,$E$35,$E$37),6),0)</f>
        <v>7</v>
      </c>
      <c r="F126" s="3" t="s">
        <v>130</v>
      </c>
      <c r="G126" s="17" t="s">
        <v>286</v>
      </c>
    </row>
    <row r="127" spans="1:7" x14ac:dyDescent="0.35">
      <c r="A127" s="3" t="s">
        <v>287</v>
      </c>
      <c r="B127" s="19" t="s">
        <v>288</v>
      </c>
      <c r="C127" s="3" t="s">
        <v>18</v>
      </c>
      <c r="D127" s="10">
        <f>$D$126*$D$117*$D$124</f>
        <v>8.8129398798977281</v>
      </c>
      <c r="E127" s="10">
        <f>$E$126*$E$117*$E$124</f>
        <v>8.8129398798977281</v>
      </c>
      <c r="F127" s="43">
        <f>$D$23*$D$127+$E$23*$E$127</f>
        <v>158.6329178381591</v>
      </c>
      <c r="G127" s="17" t="s">
        <v>289</v>
      </c>
    </row>
    <row r="128" spans="1:7" x14ac:dyDescent="0.35">
      <c r="A128" s="3" t="s">
        <v>290</v>
      </c>
      <c r="B128" s="19" t="s">
        <v>291</v>
      </c>
      <c r="C128" s="3" t="s">
        <v>18</v>
      </c>
      <c r="D128" s="10">
        <f>$D$39*$D$41*$D$104*($D$40/1000)^2/4*$D$100</f>
        <v>0</v>
      </c>
      <c r="E128" s="10">
        <f>$E$39*$E$41*$D$104*($E$40/1000)^2/4*$D$100</f>
        <v>0</v>
      </c>
      <c r="F128" s="43">
        <f>$D$23*$D$128+$E$23*$E$128</f>
        <v>0</v>
      </c>
      <c r="G128" s="17" t="s">
        <v>292</v>
      </c>
    </row>
    <row r="129" spans="1:7" x14ac:dyDescent="0.35">
      <c r="A129" s="3" t="s">
        <v>293</v>
      </c>
      <c r="B129" s="19" t="s">
        <v>294</v>
      </c>
      <c r="C129" s="3" t="s">
        <v>18</v>
      </c>
      <c r="D129" s="10">
        <f>$D$122+$D$125+$D$127+$D$128</f>
        <v>838.43432398999039</v>
      </c>
      <c r="E129" s="10">
        <f>$E$122+$E$125+$E$127+$E$128</f>
        <v>838.43432398999039</v>
      </c>
      <c r="F129" s="43">
        <f>$D$23*$D$129+$E$23*$E$129</f>
        <v>15091.817831819826</v>
      </c>
      <c r="G129" s="17" t="s">
        <v>295</v>
      </c>
    </row>
    <row r="130" spans="1:7" x14ac:dyDescent="0.35">
      <c r="A130" s="3" t="s">
        <v>296</v>
      </c>
      <c r="B130" s="19" t="s">
        <v>297</v>
      </c>
      <c r="C130" s="3" t="s">
        <v>20</v>
      </c>
      <c r="D130" s="5">
        <f>IF($D$110&gt;0,$D$28,0)</f>
        <v>16</v>
      </c>
      <c r="E130" s="5">
        <f>IF($E$110&gt;0,$E$28,0)</f>
        <v>16</v>
      </c>
      <c r="F130" s="25">
        <f>$D$23*$D$130+$E$23*$E$130</f>
        <v>288</v>
      </c>
      <c r="G130" s="17" t="s">
        <v>298</v>
      </c>
    </row>
    <row r="131" spans="1:7" x14ac:dyDescent="0.35">
      <c r="A131" s="3" t="s">
        <v>299</v>
      </c>
      <c r="B131" s="19" t="s">
        <v>300</v>
      </c>
      <c r="C131" s="3" t="s">
        <v>20</v>
      </c>
      <c r="D131" s="5">
        <f>IF($D$110&gt;0,1,0)</f>
        <v>1</v>
      </c>
      <c r="E131" s="5">
        <f>IF($E$110&gt;0,1,0)</f>
        <v>1</v>
      </c>
      <c r="F131" s="25">
        <f>$D$23*$D$131+$E$23*$E$131</f>
        <v>18</v>
      </c>
      <c r="G131" s="17" t="s">
        <v>301</v>
      </c>
    </row>
    <row r="133" spans="1:7" x14ac:dyDescent="0.35">
      <c r="A133" s="18" t="s">
        <v>302</v>
      </c>
    </row>
    <row r="134" spans="1:7" x14ac:dyDescent="0.35">
      <c r="A134" s="2" t="s">
        <v>2</v>
      </c>
      <c r="B134" s="2" t="s">
        <v>303</v>
      </c>
      <c r="C134" s="2" t="s">
        <v>304</v>
      </c>
      <c r="D134" s="2" t="s">
        <v>29</v>
      </c>
      <c r="E134" s="70" t="s">
        <v>305</v>
      </c>
      <c r="F134" s="64"/>
      <c r="G134" s="64"/>
    </row>
    <row r="135" spans="1:7" ht="45" customHeight="1" x14ac:dyDescent="0.35">
      <c r="A135" s="3" t="s">
        <v>9</v>
      </c>
      <c r="B135" s="4" t="s">
        <v>306</v>
      </c>
      <c r="C135" s="51" t="s">
        <v>307</v>
      </c>
      <c r="D135" s="3" t="str">
        <f>$D$14&amp;" τεμ. (P1–P18)"</f>
        <v>18 τεμ. (P1–P18)</v>
      </c>
      <c r="E135" s="68" t="s">
        <v>308</v>
      </c>
      <c r="F135" s="64"/>
      <c r="G135" s="64"/>
    </row>
    <row r="136" spans="1:7" ht="30" customHeight="1" x14ac:dyDescent="0.35">
      <c r="A136" s="3" t="s">
        <v>12</v>
      </c>
      <c r="B136" s="4" t="s">
        <v>87</v>
      </c>
      <c r="C136" s="51" t="s">
        <v>307</v>
      </c>
      <c r="D136" s="3" t="str">
        <f>"Ø"&amp;$D$24&amp;" mm"</f>
        <v>Ø800 mm</v>
      </c>
      <c r="E136" s="68" t="s">
        <v>309</v>
      </c>
      <c r="F136" s="64"/>
      <c r="G136" s="64"/>
    </row>
    <row r="137" spans="1:7" ht="30" customHeight="1" x14ac:dyDescent="0.35">
      <c r="A137" s="3" t="s">
        <v>15</v>
      </c>
      <c r="B137" s="4" t="s">
        <v>310</v>
      </c>
      <c r="C137" s="52" t="s">
        <v>311</v>
      </c>
      <c r="D137" s="3" t="str">
        <f>ROUND($D$17,2)&amp;" m"</f>
        <v>0 m</v>
      </c>
      <c r="E137" s="68" t="s">
        <v>312</v>
      </c>
      <c r="F137" s="64"/>
      <c r="G137" s="64"/>
    </row>
    <row r="138" spans="1:7" ht="75" customHeight="1" x14ac:dyDescent="0.35">
      <c r="A138" s="3" t="s">
        <v>17</v>
      </c>
      <c r="B138" s="4" t="s">
        <v>313</v>
      </c>
      <c r="C138" s="51" t="s">
        <v>307</v>
      </c>
      <c r="D138" s="3" t="str">
        <f>ROUND($D$26,3)&amp;" m / "&amp;ROUND($E$26,3)&amp;" m"</f>
        <v>-3.475 m / -4.375 m</v>
      </c>
      <c r="E138" s="68" t="s">
        <v>314</v>
      </c>
      <c r="F138" s="64"/>
      <c r="G138" s="64"/>
    </row>
    <row r="139" spans="1:7" ht="90" customHeight="1" x14ac:dyDescent="0.35">
      <c r="A139" s="3" t="s">
        <v>19</v>
      </c>
      <c r="B139" s="4" t="s">
        <v>315</v>
      </c>
      <c r="C139" s="52" t="s">
        <v>311</v>
      </c>
      <c r="D139" s="3" t="str">
        <f>ROUND($D$25,3)&amp;" m | Τρύπημα: "&amp;ROUND($D$55,2)&amp;" m"</f>
        <v>15.525 m | Τρύπημα: 342.9 m</v>
      </c>
      <c r="E139" s="68" t="s">
        <v>316</v>
      </c>
      <c r="F139" s="64"/>
      <c r="G139" s="64"/>
    </row>
    <row r="140" spans="1:7" ht="75" customHeight="1" x14ac:dyDescent="0.35">
      <c r="A140" s="3" t="s">
        <v>250</v>
      </c>
      <c r="B140" s="4" t="s">
        <v>317</v>
      </c>
      <c r="C140" s="52" t="s">
        <v>311</v>
      </c>
      <c r="D140" s="3" t="str">
        <f>$D$18&amp;" — "&amp;ROUND('Οικονομική Προσφορά'!$E$10,0)&amp;" €/m³"</f>
        <v>C40/50 — 116 €/m³</v>
      </c>
      <c r="E140" s="68" t="str">
        <f>"Φύλλο S4.2 ("&amp;$D$18&amp;") &amp; Κανόνας Κανονικού Σκυροδέματος στο Φύλλο 3 (Τ.Β.7 / D21): ROUND(Αγορά "&amp;ROUND('Τιμές &amp; Έλεγχος'!$D$15,2)&amp;" € + Τοποθέτηση "&amp;ROUND('Τιμές &amp; Έλεγχος'!$D$16,2)&amp;" € + Αντλία "&amp;ROUND('Τιμές &amp; Έλεγχος'!$D$20,2)&amp;" €, 0) = "&amp;ROUND('Οικονομική Προσφορά'!$E$10,0)&amp;" €/m³"</f>
        <v>Φύλλο S4.2 (C40/50) &amp; Κανόνας Κανονικού Σκυροδέματος στο Φύλλο 3 (Τ.Β.7 / D21): ROUND(Αγορά 94 € + Τοποθέτηση 15 € + Αντλία 6.71 €, 0) = 116 €/m³</v>
      </c>
      <c r="F140" s="64"/>
      <c r="G140" s="64"/>
    </row>
    <row r="141" spans="1:7" ht="30" customHeight="1" x14ac:dyDescent="0.35">
      <c r="A141" s="3" t="s">
        <v>253</v>
      </c>
      <c r="B141" s="4" t="s">
        <v>72</v>
      </c>
      <c r="C141" s="51" t="s">
        <v>307</v>
      </c>
      <c r="D141" s="3" t="str">
        <f>$D$19&amp;" mm"</f>
        <v>75 mm</v>
      </c>
      <c r="E141" s="68" t="str">
        <f>"Φύλλο S4.2 («Cover - "&amp;$D$19&amp;"mm»)"</f>
        <v>Φύλλο S4.2 («Cover - 75mm»)</v>
      </c>
      <c r="F141" s="64"/>
      <c r="G141" s="64"/>
    </row>
    <row r="142" spans="1:7" ht="90" customHeight="1" x14ac:dyDescent="0.35">
      <c r="A142" s="3" t="s">
        <v>256</v>
      </c>
      <c r="B142" s="4" t="s">
        <v>318</v>
      </c>
      <c r="C142" s="51" t="s">
        <v>307</v>
      </c>
      <c r="D142" s="3" t="str">
        <f>$D$28&amp;"Φ"&amp;$D$29&amp;" ("&amp;ROUND('Οικονομική Προσφορά'!$E$11,2)&amp;" €/kg)"</f>
        <v>16Φ20 (1.1 €/kg)</v>
      </c>
      <c r="E142" s="68" t="str">
        <f>"Φύλλο S4.2 («Vertical "&amp;$D$28&amp;"Y"&amp;$D$29&amp;"») — Τιμή Χάλυβα από Φύλλο 3: "&amp;ROUND('Οικονομική Προσφορά'!$E$11,2)&amp;" €/kg"</f>
        <v>Φύλλο S4.2 («Vertical 16Y20») — Τιμή Χάλυβα από Φύλλο 3: 1.1 €/kg</v>
      </c>
      <c r="F142" s="64"/>
      <c r="G142" s="64"/>
    </row>
    <row r="143" spans="1:7" ht="90" customHeight="1" x14ac:dyDescent="0.35">
      <c r="A143" s="3" t="s">
        <v>259</v>
      </c>
      <c r="B143" s="4" t="s">
        <v>319</v>
      </c>
      <c r="C143" s="51" t="s">
        <v>307</v>
      </c>
      <c r="D143" s="3" t="str">
        <f>"Starter="&amp;ROUND($D$30,2)&amp;"m | Γωνίες="&amp;ROUND($D$31,2)&amp;"m"</f>
        <v>Starter=1m | Γωνίες=0m</v>
      </c>
      <c r="E143" s="68" t="str">
        <f>"Φύλλο S4.2: Starter = "&amp;ROUND($D$30,2)&amp;"m ("&amp;ROUND($D$30*100,0)&amp;" cm) από Cut-Off έως Top of Steel, Γωνία πάνω = "&amp;ROUND($D$31,2)&amp;"m, Γωνία κάτω = "&amp;ROUND($D$32,2)&amp;"m"</f>
        <v>Φύλλο S4.2: Starter = 1m (100 cm) από Cut-Off έως Top of Steel, Γωνία πάνω = 0m, Γωνία κάτω = 0m</v>
      </c>
      <c r="F143" s="64"/>
      <c r="G143" s="64"/>
    </row>
    <row r="144" spans="1:7" ht="75" customHeight="1" x14ac:dyDescent="0.35">
      <c r="A144" s="3" t="s">
        <v>262</v>
      </c>
      <c r="B144" s="4" t="s">
        <v>320</v>
      </c>
      <c r="C144" s="51" t="s">
        <v>307</v>
      </c>
      <c r="D144" s="3" t="str">
        <f>ROUND($D$33,2)&amp;" m ("&amp;ROUND($D$33*100,0)&amp;" cm)"</f>
        <v>1.15 m (115 cm)</v>
      </c>
      <c r="E144" s="68" t="str">
        <f>"Φύλλο S4.2: αναγράφεται ρητά «"&amp;ROUND($D$33*100,0)&amp;"» ("&amp;ROUND($D$33,2)&amp;" m) στην τομή του πασσάλου (ο κανόνας "&amp;$D$102&amp;"×Φ μπαίνει μόνο όταν δεν δίνεται στο σχέδιο)"</f>
        <v>Φύλλο S4.2: αναγράφεται ρητά «115» (1.15 m) στην τομή του πασσάλου (ο κανόνας 50×Φ μπαίνει μόνο όταν δεν δίνεται στο σχέδιο)</v>
      </c>
      <c r="F144" s="64"/>
      <c r="G144" s="64"/>
    </row>
    <row r="145" spans="1:7" ht="90" customHeight="1" x14ac:dyDescent="0.35">
      <c r="A145" s="3" t="s">
        <v>265</v>
      </c>
      <c r="B145" s="4" t="s">
        <v>321</v>
      </c>
      <c r="C145" s="53" t="s">
        <v>322</v>
      </c>
      <c r="D145" s="3" t="str">
        <f>"Φ"&amp;$D$34&amp;"/"&amp;ROUND($D$37/10,0)&amp;" → "&amp;$D$123&amp;" σπείρες"</f>
        <v>Φ10/15 → 105 σπείρες</v>
      </c>
      <c r="E145" s="68" t="str">
        <f>"Φύλλο S4.2 («Y"&amp;$D$34&amp;" @ "&amp;$D$37&amp;"mm c/c») &amp; Κανόνας εταιρείας RULES_v5 §11.3: ROUNDUP("&amp;ROUND($D$25,3)&amp;" / "&amp;ROUND($D$37/1000,2)&amp;", 0) + 1 = "&amp;$D$123&amp;" σπείρες"</f>
        <v>Φύλλο S4.2 («Y10 @ 150mm c/c») &amp; Κανόνας εταιρείας RULES_v5 §11.3: ROUNDUP(15.525 / 0.15, 0) + 1 = 105 σπείρες</v>
      </c>
      <c r="F145" s="64"/>
      <c r="G145" s="64"/>
    </row>
    <row r="146" spans="1:7" ht="60" customHeight="1" x14ac:dyDescent="0.35">
      <c r="A146" s="3" t="s">
        <v>268</v>
      </c>
      <c r="B146" s="4" t="s">
        <v>323</v>
      </c>
      <c r="C146" s="53" t="s">
        <v>322</v>
      </c>
      <c r="D146" s="3" t="str">
        <f>$D$126&amp;" τεμ. Φ"&amp;$D$34&amp;"/πασσ."</f>
        <v>7 τεμ. Φ10/πασσ.</v>
      </c>
      <c r="E146" s="68" t="str">
        <f>"Κανόνας εταιρείας RULES_v5 §11.3: ROUNDUP("&amp;ROUND($D$30,2)&amp;" / "&amp;ROUND($D$37/1000,2)&amp;", 0) = "&amp;$D$126&amp;" στεφάνια (χωρίς +1)"</f>
        <v>Κανόνας εταιρείας RULES_v5 §11.3: ROUNDUP(1 / 0.15, 0) = 7 στεφάνια (χωρίς +1)</v>
      </c>
      <c r="F146" s="64"/>
      <c r="G146" s="64"/>
    </row>
    <row r="147" spans="1:7" ht="90" customHeight="1" x14ac:dyDescent="0.35">
      <c r="A147" s="3" t="s">
        <v>272</v>
      </c>
      <c r="B147" s="4" t="s">
        <v>324</v>
      </c>
      <c r="C147" s="54" t="s">
        <v>325</v>
      </c>
      <c r="D147" s="3" t="str">
        <f>"Φ"&amp;$D$29&amp;" (Sleeve Φ32) → "&amp;ROUND('Οικονομική Προσφορά'!$E$12,2)&amp;" €/τεμ."</f>
        <v>Φ20 (Sleeve Φ32) → 3 €/τεμ.</v>
      </c>
      <c r="E147" s="68" t="str">
        <f>"Κανόνας Sleeves (από Τιμοκατάλογο &amp; Φύλλο 3): ((Κόστος αγοράς + Κόστος τοποθέτησης) × Profit, Waste, Overhead) = "&amp;ROUND('Τιμές &amp; Έλεγχος'!$D$25,2)&amp;" € → Στρογγυλεμένο τελικό αποτέλεσμα (στο 0,50 €) = "&amp;ROUND('Οικονομική Προσφορά'!$E$12,2)&amp;" €/τεμ."</f>
        <v>Κανόνας Sleeves (από Τιμοκατάλογο &amp; Φύλλο 3): ((Κόστος αγοράς + Κόστος τοποθέτησης) × Profit, Waste, Overhead) = 2.87 € → Στρογγυλεμένο τελικό αποτέλεσμα (στο 0,50 €) = 3 €/τεμ.</v>
      </c>
      <c r="F147" s="64"/>
      <c r="G147" s="64"/>
    </row>
    <row r="148" spans="1:7" ht="75" customHeight="1" x14ac:dyDescent="0.35">
      <c r="A148" s="3" t="s">
        <v>275</v>
      </c>
      <c r="B148" s="4" t="s">
        <v>326</v>
      </c>
      <c r="C148" s="54" t="s">
        <v>325</v>
      </c>
      <c r="D148" s="3" t="str">
        <f>'Τιμές &amp; Έλεγχος'!$D$35&amp;" → "&amp;ROUND('Οικονομική Προσφορά'!$F$13,2)&amp;" €"</f>
        <v>ΟΧΙ → 0 €</v>
      </c>
      <c r="E148" s="68" t="str">
        <f>"Κουμπί Τ.Ε.1 στο Φύλλο 3 = «"&amp;'Τιμές &amp; Έλεγχος'!$D$35&amp;"»: "&amp;IF('Τιμές &amp; Έλεγχος'!$D$35="ΝΑΙ","Χρεώνεται από εμάς ("&amp;'Οικονομική Προσφορά'!$C$13&amp;" τεμ. × "&amp;ROUND('Οικονομική Προσφορά'!$E$13,2)&amp;" € = "&amp;ROUND('Οικονομική Προσφορά'!$F$13,2)&amp;" €)","Κρύβεται / Δεν χρεώνεται από εμάς (Ευθύνη Πελάτη — 0,00 €)")</f>
        <v>Κουμπί Τ.Ε.1 στο Φύλλο 3 = «ΟΧΙ»: Κρύβεται / Δεν χρεώνεται από εμάς (Ευθύνη Πελάτη — 0,00 €)</v>
      </c>
      <c r="F148" s="64"/>
      <c r="G148" s="64"/>
    </row>
    <row r="149" spans="1:7" ht="60" customHeight="1" x14ac:dyDescent="0.35">
      <c r="A149" s="3" t="s">
        <v>278</v>
      </c>
      <c r="B149" s="4" t="s">
        <v>327</v>
      </c>
      <c r="C149" s="52" t="s">
        <v>311</v>
      </c>
      <c r="D149" s="3" t="str">
        <f>'Τιμές &amp; Έλεγχος'!$D$36&amp;" → "&amp;ROUND('Οικονομική Προσφορά'!$F$14,2)&amp;" €"</f>
        <v>ΟΧΙ → 0 €</v>
      </c>
      <c r="E149" s="68" t="str">
        <f>"Κουμπί Τ.Ε.2 στο Φύλλο 3 = «"&amp;'Τιμές &amp; Έλεγχος'!$D$36&amp;"»: "&amp;IF('Τιμές &amp; Έλεγχος'!$D$36="ΝΑΙ","Χρεώνεται από εμάς: Όγκος εκσκαφής V_exc ("&amp;ROUND('Οικονομική Προσφορά'!$C$14,2)&amp;" m³) × Τιμή κυβικού ("&amp;ROUND('Οικονομική Προσφορά'!$E$14,2)&amp;" €/m³) = "&amp;ROUND('Οικονομική Προσφορά'!$F$14,2)&amp;" €","Κρύβεται / Δεν χρεώνεται από εμάς (Ευθύνη Πελάτη — 0,00 €)")</f>
        <v>Κουμπί Τ.Ε.2 στο Φύλλο 3 = «ΟΧΙ»: Κρύβεται / Δεν χρεώνεται από εμάς (Ευθύνη Πελάτη — 0,00 €)</v>
      </c>
      <c r="F149" s="64"/>
      <c r="G149" s="64"/>
    </row>
    <row r="150" spans="1:7" ht="90" customHeight="1" x14ac:dyDescent="0.35">
      <c r="A150" s="3" t="s">
        <v>281</v>
      </c>
      <c r="B150" s="4" t="s">
        <v>328</v>
      </c>
      <c r="C150" s="54" t="s">
        <v>325</v>
      </c>
      <c r="D150" s="3" t="str">
        <f>ROUND($D$13,2)&amp;" € ("&amp;ROUND('Οικονομική Προσφορά'!$E$8,2)&amp;" €/πασσ.)"</f>
        <v>3200 € (177.78 €/πασσ.)</v>
      </c>
      <c r="E150" s="68" t="str">
        <f>"Κανόνας Μετακινήσεων (Φύλλο 3): 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Έλεγχος'!$D$29,1)&amp;" km × "&amp;ROUND('Τιμές &amp; Έλεγχος'!$D$30,2)&amp;" €/km = "&amp;ROUND('Τιμές &amp; Έλεγχος'!$D$31,2)&amp;" €) = "&amp;ROUND($D$13,2)&amp;" €"</f>
        <v>Κανόνας Μετακινήσεων (Φύλλο 3): Βασική Λεμεσού (1000 €) + Εκτός Λεμεσού ανά 10km (8 × 200 € = 1600 €) + Συνοδεία Αστυνομίας (75 km × 8 €/km = 600 €) = 3200 €</v>
      </c>
      <c r="F150" s="64"/>
      <c r="G150" s="64"/>
    </row>
    <row r="151" spans="1:7" x14ac:dyDescent="0.35">
      <c r="A151" s="1" t="s">
        <v>329</v>
      </c>
    </row>
  </sheetData>
  <mergeCells count="26">
    <mergeCell ref="E150:G150"/>
    <mergeCell ref="E141:G141"/>
    <mergeCell ref="E135:G135"/>
    <mergeCell ref="A93:E93"/>
    <mergeCell ref="E140:G140"/>
    <mergeCell ref="E147:G147"/>
    <mergeCell ref="E138:G138"/>
    <mergeCell ref="E149:G149"/>
    <mergeCell ref="E148:G148"/>
    <mergeCell ref="E136:G136"/>
    <mergeCell ref="A1:G1"/>
    <mergeCell ref="A95:E95"/>
    <mergeCell ref="E134:G134"/>
    <mergeCell ref="E146:G146"/>
    <mergeCell ref="E145:G145"/>
    <mergeCell ref="E139:G139"/>
    <mergeCell ref="E142:G142"/>
    <mergeCell ref="E143:G143"/>
    <mergeCell ref="E137:G137"/>
    <mergeCell ref="A64:E64"/>
    <mergeCell ref="A94:E94"/>
    <mergeCell ref="A81:G81"/>
    <mergeCell ref="A79:E79"/>
    <mergeCell ref="A67:G67"/>
    <mergeCell ref="E144:G144"/>
    <mergeCell ref="A80:E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"/>
  <sheetViews>
    <sheetView workbookViewId="0">
      <selection activeCell="D10" sqref="D10"/>
    </sheetView>
  </sheetViews>
  <sheetFormatPr defaultRowHeight="14.5" x14ac:dyDescent="0.35"/>
  <cols>
    <col min="1" max="1" width="10" customWidth="1"/>
    <col min="2" max="2" width="60" customWidth="1"/>
    <col min="3" max="3" width="12" customWidth="1"/>
    <col min="4" max="4" width="22" customWidth="1"/>
    <col min="5" max="5" width="38" customWidth="1"/>
    <col min="6" max="6" width="54" customWidth="1"/>
  </cols>
  <sheetData>
    <row r="1" spans="1:26" ht="28" customHeight="1" x14ac:dyDescent="0.35">
      <c r="A1" s="67" t="s">
        <v>330</v>
      </c>
      <c r="B1" s="64"/>
      <c r="C1" s="64"/>
      <c r="D1" s="64"/>
      <c r="E1" s="64"/>
      <c r="F1" s="64"/>
      <c r="Z1" s="55" t="s">
        <v>331</v>
      </c>
    </row>
    <row r="2" spans="1:26" x14ac:dyDescent="0.35">
      <c r="A2" s="65" t="s">
        <v>332</v>
      </c>
      <c r="B2" s="64"/>
      <c r="C2" s="64"/>
      <c r="D2" s="64"/>
      <c r="E2" s="64"/>
      <c r="F2" s="64"/>
      <c r="Z2" s="55" t="s">
        <v>333</v>
      </c>
    </row>
    <row r="4" spans="1:26" x14ac:dyDescent="0.35">
      <c r="A4" s="18" t="s">
        <v>334</v>
      </c>
    </row>
    <row r="5" spans="1:26" ht="28" customHeight="1" x14ac:dyDescent="0.35">
      <c r="A5" s="2" t="s">
        <v>27</v>
      </c>
      <c r="B5" s="2" t="s">
        <v>335</v>
      </c>
      <c r="C5" s="2" t="s">
        <v>5</v>
      </c>
      <c r="D5" s="2" t="s">
        <v>336</v>
      </c>
      <c r="E5" s="2" t="s">
        <v>208</v>
      </c>
      <c r="F5" s="2" t="s">
        <v>337</v>
      </c>
    </row>
    <row r="6" spans="1:26" ht="24" customHeight="1" x14ac:dyDescent="0.35">
      <c r="A6" s="24" t="s">
        <v>338</v>
      </c>
      <c r="B6" s="34" t="s">
        <v>33</v>
      </c>
      <c r="C6" s="3" t="s">
        <v>34</v>
      </c>
      <c r="D6" s="56">
        <v>75</v>
      </c>
      <c r="E6" s="36" t="s">
        <v>339</v>
      </c>
      <c r="F6" s="36" t="str">
        <f>"Υπολογίζει αυτόματα τις ζώνες των "&amp;ROUND('Τεχνικοί Υπολογισμοί'!$D$8,0)&amp;" km ("&amp;'Τεχνικοί Υπολογισμοί'!$D$9&amp;" × "&amp;ROUND($D$8,2)&amp;" €) &amp; τη Συνοδεία Αστυνομίας (× "&amp;ROUND($D$30,2)&amp;" €/km)"</f>
        <v>Υπολογίζει αυτόματα τις ζώνες των 10 km (8 × 200 €) &amp; τη Συνοδεία Αστυνομίας (× 8 €/km)</v>
      </c>
    </row>
    <row r="7" spans="1:26" ht="24" customHeight="1" x14ac:dyDescent="0.35">
      <c r="A7" s="24" t="s">
        <v>340</v>
      </c>
      <c r="B7" s="34" t="s">
        <v>341</v>
      </c>
      <c r="C7" s="3" t="s">
        <v>45</v>
      </c>
      <c r="D7" s="57">
        <v>1000</v>
      </c>
      <c r="E7" s="36" t="s">
        <v>342</v>
      </c>
      <c r="F7" s="36" t="str">
        <f>"Βασική χρέωση "&amp;ROUND($D$7,2)&amp;" € εντός Λεμεσού → Φύλλο 1 (Γρ. 1) &amp; Φύλλο 2 (1.1.4, 2Β.1 &amp; 2Γ)"</f>
        <v>Βασική χρέωση 1000 € εντός Λεμεσού → Φύλλο 1 (Γρ. 1) &amp; Φύλλο 2 (1.1.4, 2Β.1 &amp; 2Γ)</v>
      </c>
    </row>
    <row r="8" spans="1:26" ht="24" customHeight="1" x14ac:dyDescent="0.35">
      <c r="A8" s="24" t="s">
        <v>343</v>
      </c>
      <c r="B8" s="34" t="str">
        <f>"Μετακίνηση γεωτρύπανου — Επιβάρυνση ανά "&amp;ROUND('Τεχνικοί Υπολογισμοί'!$D$8,0)&amp;" km εκτός Λεμεσού (+"&amp;ROUND($D$8,0)&amp;" €/"&amp;ROUND('Τεχνικοί Υπολογισμοί'!$D$8,0)&amp;"km)"</f>
        <v>Μετακίνηση γεωτρύπανου — Επιβάρυνση ανά 10 km εκτός Λεμεσού (+200 €/10km)</v>
      </c>
      <c r="C8" s="3" t="s">
        <v>45</v>
      </c>
      <c r="D8" s="57">
        <v>200</v>
      </c>
      <c r="E8" s="36" t="s">
        <v>344</v>
      </c>
      <c r="F8" s="36" t="str">
        <f>"+"&amp;ROUND($D$8,2)&amp;" € ανά "&amp;ROUND('Τεχνικοί Υπολογισμοί'!$D$8,0)&amp;" km εκτός Λεμεσού → Φύλλο 1 (Γρ. 1) &amp; Φύλλο 2 (1.1.5, 2Β.1 &amp; 2Γ)"</f>
        <v>+200 € ανά 10 km εκτός Λεμεσού → Φύλλο 1 (Γρ. 1) &amp; Φύλλο 2 (1.1.5, 2Β.1 &amp; 2Γ)</v>
      </c>
    </row>
    <row r="9" spans="1:26" ht="24" customHeight="1" x14ac:dyDescent="0.35">
      <c r="A9" s="24" t="s">
        <v>345</v>
      </c>
      <c r="B9" s="34" t="s">
        <v>346</v>
      </c>
      <c r="C9" s="3" t="s">
        <v>45</v>
      </c>
      <c r="D9" s="57">
        <v>90</v>
      </c>
      <c r="E9" s="36" t="s">
        <v>347</v>
      </c>
      <c r="F9" s="36" t="str">
        <f>"Τιμή διάτρησης Ø800mm = "&amp;ROUND($D$9,2)&amp;" €/m → Φύλλο 1 (Γρ. 2) &amp; Φύλλο 2 (2Β.2 &amp; 2Γ)"</f>
        <v>Τιμή διάτρησης Ø800mm = 90 €/m → Φύλλο 1 (Γρ. 2) &amp; Φύλλο 2 (2Β.2 &amp; 2Γ)</v>
      </c>
    </row>
    <row r="10" spans="1:26" ht="24" customHeight="1" x14ac:dyDescent="0.35">
      <c r="A10" s="24" t="s">
        <v>348</v>
      </c>
      <c r="B10" s="34" t="s">
        <v>349</v>
      </c>
      <c r="C10" s="3" t="s">
        <v>45</v>
      </c>
      <c r="D10" s="57">
        <v>1.1000000000000001</v>
      </c>
      <c r="E10" s="36" t="s">
        <v>350</v>
      </c>
      <c r="F10" s="36" t="str">
        <f>"Τιμή σιδήρου = "&amp;ROUND($D$10,2)&amp;" €/kg → Φύλλο 1 (Γρ. 4) &amp; Φύλλο 2 (2Β.4 &amp; 2Γ)"</f>
        <v>Τιμή σιδήρου = 1.1 €/kg → Φύλλο 1 (Γρ. 4) &amp; Φύλλο 2 (2Β.4 &amp; 2Γ)</v>
      </c>
    </row>
    <row r="11" spans="1:26" ht="24" customHeight="1" x14ac:dyDescent="0.35">
      <c r="A11" s="24" t="s">
        <v>351</v>
      </c>
      <c r="B11" s="34" t="s">
        <v>352</v>
      </c>
      <c r="C11" s="3" t="s">
        <v>45</v>
      </c>
      <c r="D11" s="57">
        <v>150</v>
      </c>
      <c r="E11" s="36" t="s">
        <v>353</v>
      </c>
      <c r="F11" s="36" t="str">
        <f>"Τιμή κεφαλοκοπής = "&amp;ROUND($D$11,2)&amp;" €/πάσσαλο (Κουμπί Τ.Ε.1 = "&amp;$D$35&amp;") → Φύλλο 1 (Γρ. 6) &amp; Φύλλο 2 (2Β.6 &amp; 2Γ)"</f>
        <v>Τιμή κεφαλοκοπής = 150 €/πάσσαλο (Κουμπί Τ.Ε.1 = ΟΧΙ) → Φύλλο 1 (Γρ. 6) &amp; Φύλλο 2 (2Β.6 &amp; 2Γ)</v>
      </c>
    </row>
    <row r="13" spans="1:26" x14ac:dyDescent="0.35">
      <c r="A13" s="18" t="s">
        <v>354</v>
      </c>
    </row>
    <row r="14" spans="1:26" ht="26" customHeight="1" x14ac:dyDescent="0.35">
      <c r="A14" s="2" t="s">
        <v>27</v>
      </c>
      <c r="B14" s="2" t="s">
        <v>355</v>
      </c>
      <c r="C14" s="2" t="s">
        <v>5</v>
      </c>
      <c r="D14" s="2" t="s">
        <v>356</v>
      </c>
      <c r="E14" s="2" t="s">
        <v>357</v>
      </c>
      <c r="F14" s="2" t="s">
        <v>358</v>
      </c>
    </row>
    <row r="15" spans="1:26" ht="24" customHeight="1" x14ac:dyDescent="0.35">
      <c r="A15" s="24" t="s">
        <v>359</v>
      </c>
      <c r="B15" s="34" t="s">
        <v>360</v>
      </c>
      <c r="C15" s="3" t="s">
        <v>45</v>
      </c>
      <c r="D15" s="57">
        <v>94</v>
      </c>
      <c r="E15" s="36" t="s">
        <v>361</v>
      </c>
      <c r="F15" s="36" t="str">
        <f>"Τιμή αγοράς κουγκριού από προμηθευτή = "&amp;ROUND($D$15,2)&amp;" €/m³"</f>
        <v>Τιμή αγοράς κουγκριού από προμηθευτή = 94 €/m³</v>
      </c>
    </row>
    <row r="16" spans="1:26" ht="24" customHeight="1" x14ac:dyDescent="0.35">
      <c r="A16" s="24" t="s">
        <v>362</v>
      </c>
      <c r="B16" s="34" t="s">
        <v>363</v>
      </c>
      <c r="C16" s="3" t="s">
        <v>45</v>
      </c>
      <c r="D16" s="57">
        <v>15</v>
      </c>
      <c r="E16" s="36" t="s">
        <v>364</v>
      </c>
      <c r="F16" s="36" t="str">
        <f>"Σταθερή χρέωση τοποθέτησης = +"&amp;ROUND($D$16,2)&amp;" €/m³ από τον Τιμοκατάλογο Εταιρείας"</f>
        <v>Σταθερή χρέωση τοποθέτησης = +15 €/m³ από τον Τιμοκατάλογο Εταιρείας</v>
      </c>
    </row>
    <row r="17" spans="1:6" ht="24" customHeight="1" x14ac:dyDescent="0.35">
      <c r="A17" s="24" t="s">
        <v>365</v>
      </c>
      <c r="B17" s="34" t="s">
        <v>366</v>
      </c>
      <c r="C17" s="3" t="s">
        <v>45</v>
      </c>
      <c r="D17" s="57">
        <v>130</v>
      </c>
      <c r="E17" s="36" t="s">
        <v>367</v>
      </c>
      <c r="F17" s="36" t="str">
        <f>"Κόστος στησίματος αντλίας = "&amp;ROUND($D$17,2)&amp;" €/στήσιμο"</f>
        <v>Κόστος στησίματος αντλίας = 130 €/στήσιμο</v>
      </c>
    </row>
    <row r="18" spans="1:6" ht="24" customHeight="1" x14ac:dyDescent="0.35">
      <c r="A18" s="24" t="s">
        <v>368</v>
      </c>
      <c r="B18" s="34" t="s">
        <v>369</v>
      </c>
      <c r="C18" s="3" t="s">
        <v>370</v>
      </c>
      <c r="D18" s="58">
        <v>2</v>
      </c>
      <c r="E18" s="36" t="s">
        <v>371</v>
      </c>
      <c r="F18" s="36" t="str">
        <f>"Η αντλία σκυροδετεί "&amp;ROUND($D$18,0)&amp;" πασσάλους ανά στήσιμο"</f>
        <v>Η αντλία σκυροδετεί 2 πασσάλους ανά στήσιμο</v>
      </c>
    </row>
    <row r="19" spans="1:6" ht="24" customHeight="1" x14ac:dyDescent="0.35">
      <c r="A19" s="24" t="s">
        <v>372</v>
      </c>
      <c r="B19" s="4" t="s">
        <v>373</v>
      </c>
      <c r="C19" s="3" t="s">
        <v>16</v>
      </c>
      <c r="D19" s="59">
        <f>$D$18*('Τεχνικοί Υπολογισμοί'!$D$46/'Τεχνικοί Υπολογισμοί'!$D$14)</f>
        <v>19.379856761464719</v>
      </c>
      <c r="E19" s="36" t="str">
        <f>"Αυτόματος τύπος: "&amp;ROUND($D$18,0)&amp;" τρύπες × "&amp;ROUND('Τεχνικοί Υπολογισμοί'!$D$46/'Τεχνικοί Υπολογισμοί'!$D$14,3)&amp;" m³/τρύπα"</f>
        <v>Αυτόματος τύπος: 2 τρύπες × 9.69 m³/τρύπα</v>
      </c>
      <c r="F19" s="36" t="str">
        <f>"Κυβικά ανά στήσιμο αντλίας = "&amp;ROUND($D$19,2)&amp;" m³"</f>
        <v>Κυβικά ανά στήσιμο αντλίας = 19.38 m³</v>
      </c>
    </row>
    <row r="20" spans="1:6" ht="24" customHeight="1" x14ac:dyDescent="0.35">
      <c r="A20" s="24" t="s">
        <v>374</v>
      </c>
      <c r="B20" s="4" t="s">
        <v>375</v>
      </c>
      <c r="C20" s="3" t="s">
        <v>45</v>
      </c>
      <c r="D20" s="6">
        <f>IF(AND($D$17&gt;0,$D$19&gt;0),$D$17/$D$19,0)</f>
        <v>6.7079959155577713</v>
      </c>
      <c r="E20" s="36" t="str">
        <f>"Αυτόματος τύπος: "&amp;ROUND($D$17,2)&amp;" € ÷ "&amp;ROUND($D$19,2)&amp;" m³"</f>
        <v>Αυτόματος τύπος: 130 € ÷ 19.38 m³</v>
      </c>
      <c r="F20" s="36" t="str">
        <f>"Επιβάρυνση αντλίας = "&amp;ROUND($D$20,2)&amp;" €/m³"</f>
        <v>Επιβάρυνση αντλίας = 6.71 €/m³</v>
      </c>
    </row>
    <row r="21" spans="1:6" ht="24" customHeight="1" x14ac:dyDescent="0.35">
      <c r="A21" s="24" t="s">
        <v>376</v>
      </c>
      <c r="B21" s="34" t="s">
        <v>377</v>
      </c>
      <c r="C21" s="3" t="s">
        <v>45</v>
      </c>
      <c r="D21" s="60">
        <f>ROUND($D$15+$D$16+$D$20,0)</f>
        <v>116</v>
      </c>
      <c r="E21" s="36" t="str">
        <f>"ROUND("&amp;ROUND($D$15,2)&amp;" € + "&amp;ROUND($D$16,2)&amp;" € + "&amp;ROUND($D$20,2)&amp;" €, 0) = "&amp;ROUND($D$21,0)&amp;" €/m³"</f>
        <v>ROUND(94 € + 15 € + 6.71 €, 0) = 116 €/m³</v>
      </c>
      <c r="F21" s="36" t="str">
        <f>"Στρογγυλοποιημένη τελική τιμή ("&amp;ROUND($D$21,0)&amp;" €/m³) — Τροφοδοτεί Φύλλο 1 (Γρ. 3) &amp; Φύλλο 2 (2Β.3 &amp; 2Γ)"</f>
        <v>Στρογγυλοποιημένη τελική τιμή (116 €/m³) — Τροφοδοτεί Φύλλο 1 (Γρ. 3) &amp; Φύλλο 2 (2Β.3 &amp; 2Γ)</v>
      </c>
    </row>
    <row r="23" spans="1:6" x14ac:dyDescent="0.35">
      <c r="A23" s="18" t="s">
        <v>378</v>
      </c>
    </row>
    <row r="24" spans="1:6" ht="26" customHeight="1" x14ac:dyDescent="0.35">
      <c r="A24" s="2" t="s">
        <v>27</v>
      </c>
      <c r="B24" s="2" t="s">
        <v>379</v>
      </c>
      <c r="C24" s="2" t="s">
        <v>5</v>
      </c>
      <c r="D24" s="2" t="s">
        <v>29</v>
      </c>
      <c r="E24" s="2" t="s">
        <v>357</v>
      </c>
      <c r="F24" s="2" t="s">
        <v>358</v>
      </c>
    </row>
    <row r="25" spans="1:6" ht="24" customHeight="1" x14ac:dyDescent="0.35">
      <c r="A25" s="24" t="s">
        <v>380</v>
      </c>
      <c r="B25" s="34" t="s">
        <v>381</v>
      </c>
      <c r="C25" s="3" t="s">
        <v>45</v>
      </c>
      <c r="D25" s="57">
        <f>((IF('Τεχνικοί Υπολογισμοί'!$D$30+'Τεχνικοί Υπολογισμοί'!$D$31&lt;=0,0,IF('Τεχνικοί Υπολογισμοί'!$D$30+'Τεχνικοί Υπολογισμοί'!$D$31&lt;=3,3/INT(ROUND(3/('Τεχνικοί Υπολογισμοί'!$D$30+'Τεχνικοί Υπολογισμοί'!$D$31),6)),CEILING('Τεχνικοί Υπολογισμοί'!$D$30+'Τεχνικοί Υπολογισμοί'!$D$31,3)))*1.34)+0.8676)*1.3</f>
        <v>2.8698800000000002</v>
      </c>
      <c r="E25" s="36" t="s">
        <v>382</v>
      </c>
      <c r="F25" s="36" t="str">
        <f>"((Κόστος αγοράς + Κόστος τοποθέτησης) × Profit, Waste, Overhead) = "&amp;ROUND($D$25,2)&amp;" €/τεμ."</f>
        <v>((Κόστος αγοράς + Κόστος τοποθέτησης) × Profit, Waste, Overhead) = 2.87 €/τεμ.</v>
      </c>
    </row>
    <row r="26" spans="1:6" ht="24" customHeight="1" x14ac:dyDescent="0.35">
      <c r="A26" s="24" t="s">
        <v>383</v>
      </c>
      <c r="B26" s="34" t="s">
        <v>384</v>
      </c>
      <c r="C26" s="3" t="s">
        <v>45</v>
      </c>
      <c r="D26" s="47">
        <f>ROUND($D$25*2,0)/2</f>
        <v>3</v>
      </c>
      <c r="E26" s="36" t="str">
        <f>"ROUND("&amp;ROUND($D$25,2)&amp;" × 2, 0) / 2 = "&amp;ROUND($D$26,2)&amp;" €/τεμ."</f>
        <v>ROUND(2.87 × 2, 0) / 2 = 3 €/τεμ.</v>
      </c>
      <c r="F26" s="36" t="str">
        <f>"Στρογγυλεμένο τελικό αποτέλεσμα ("&amp;ROUND($D$26,2)&amp;" €/τεμ.) — Τροφοδοτεί Φύλλο 1 (Γρ. 5) &amp; Φύλλο 2 (2Β.5 &amp; 2Γ)"</f>
        <v>Στρογγυλεμένο τελικό αποτέλεσμα (3 €/τεμ.) — Τροφοδοτεί Φύλλο 1 (Γρ. 5) &amp; Φύλλο 2 (2Β.5 &amp; 2Γ)</v>
      </c>
    </row>
    <row r="28" spans="1:6" x14ac:dyDescent="0.35">
      <c r="A28" s="18" t="str">
        <f>"Δ. ΣΥΝΟΔΕΙΑ ΑΣΤΥΝΟΜΙΑΣ ΓΕΩΤΡΥΠΑΝΟΥ ("&amp;ROUND($D$30,2)&amp;" €/km)"</f>
        <v>Δ. ΣΥΝΟΔΕΙΑ ΑΣΤΥΝΟΜΙΑΣ ΓΕΩΤΡΥΠΑΝΟΥ (8 €/km)</v>
      </c>
    </row>
    <row r="29" spans="1:6" ht="24" customHeight="1" x14ac:dyDescent="0.35">
      <c r="A29" s="24" t="s">
        <v>385</v>
      </c>
      <c r="B29" s="34" t="s">
        <v>386</v>
      </c>
      <c r="C29" s="3" t="s">
        <v>34</v>
      </c>
      <c r="D29" s="56">
        <f>$D$6</f>
        <v>75</v>
      </c>
      <c r="E29" s="36" t="s">
        <v>387</v>
      </c>
      <c r="F29" s="36" t="str">
        <f>"Πολλαπλασιάζεται με τα "&amp;ROUND($D$30,2)&amp;" €/km για τη μεταφορά του γεωτρύπανου"</f>
        <v>Πολλαπλασιάζεται με τα 8 €/km για τη μεταφορά του γεωτρύπανου</v>
      </c>
    </row>
    <row r="30" spans="1:6" ht="24" customHeight="1" x14ac:dyDescent="0.35">
      <c r="A30" s="24" t="s">
        <v>388</v>
      </c>
      <c r="B30" s="34" t="str">
        <f>"Κόστος Συνοδείας Αστυνομίας ανά χιλιόμετρο ("&amp;ROUND($D$30,2)&amp;" €/km)"</f>
        <v>Κόστος Συνοδείας Αστυνομίας ανά χιλιόμετρο (8 €/km)</v>
      </c>
      <c r="C30" s="3" t="s">
        <v>389</v>
      </c>
      <c r="D30" s="61">
        <v>8</v>
      </c>
      <c r="E30" s="36" t="s">
        <v>390</v>
      </c>
      <c r="F30" s="36" t="str">
        <f>"Από Τιμοκατάλογο Εταιρείας (Φύλλο 6): "&amp;ROUND($D$30,2)&amp;" €/km"</f>
        <v>Από Τιμοκατάλογο Εταιρείας (Φύλλο 6): 8 €/km</v>
      </c>
    </row>
    <row r="31" spans="1:6" ht="24" customHeight="1" x14ac:dyDescent="0.35">
      <c r="A31" s="24" t="s">
        <v>391</v>
      </c>
      <c r="B31" s="34" t="str">
        <f>"Συνολικό Κόστος Συνοδείας Αστυνομίας ("&amp;ROUND($D$29,1)&amp;" km × "&amp;ROUND($D$30,2)&amp;" €/km)"</f>
        <v>Συνολικό Κόστος Συνοδείας Αστυνομίας (75 km × 8 €/km)</v>
      </c>
      <c r="C31" s="3" t="s">
        <v>45</v>
      </c>
      <c r="D31" s="47">
        <f>$D$29*$D$30</f>
        <v>600</v>
      </c>
      <c r="E31" s="36" t="str">
        <f>"Αυτόματος υπολογισμός: "&amp;ROUND($D$29,1)&amp;" km × "&amp;ROUND($D$30,2)&amp;" €/km = "&amp;ROUND($D$31,2)&amp;" €"</f>
        <v>Αυτόματος υπολογισμός: 75 km × 8 €/km = 600 €</v>
      </c>
      <c r="F31" s="36" t="s">
        <v>392</v>
      </c>
    </row>
    <row r="33" spans="1:6" x14ac:dyDescent="0.35">
      <c r="A33" s="18" t="s">
        <v>393</v>
      </c>
    </row>
    <row r="34" spans="1:6" ht="28" customHeight="1" x14ac:dyDescent="0.35">
      <c r="A34" s="2" t="s">
        <v>27</v>
      </c>
      <c r="B34" s="2" t="s">
        <v>394</v>
      </c>
      <c r="C34" s="2" t="s">
        <v>5</v>
      </c>
      <c r="D34" s="2" t="s">
        <v>395</v>
      </c>
      <c r="E34" s="2" t="s">
        <v>396</v>
      </c>
      <c r="F34" s="2" t="s">
        <v>397</v>
      </c>
    </row>
    <row r="35" spans="1:6" ht="26" customHeight="1" x14ac:dyDescent="0.35">
      <c r="A35" s="24" t="s">
        <v>398</v>
      </c>
      <c r="B35" s="34" t="s">
        <v>399</v>
      </c>
      <c r="C35" s="3" t="s">
        <v>400</v>
      </c>
      <c r="D35" s="62" t="s">
        <v>333</v>
      </c>
      <c r="E35" s="36" t="s">
        <v>401</v>
      </c>
      <c r="F35" s="36" t="str">
        <f>"Τώρα είναι «"&amp;$D$35&amp;"»: Αν ΝΑΙ → χρεώνεται ("&amp;ROUND($D$11,2)&amp;" €/τεμ.). Αν ΟΧΙ → κρύβεται αυτόματα (0,00 €) σε όλα τα φύλλα!"</f>
        <v>Τώρα είναι «ΟΧΙ»: Αν ΝΑΙ → χρεώνεται (150 €/τεμ.). Αν ΟΧΙ → κρύβεται αυτόματα (0,00 €) σε όλα τα φύλλα!</v>
      </c>
    </row>
    <row r="36" spans="1:6" ht="26" customHeight="1" x14ac:dyDescent="0.35">
      <c r="A36" s="24" t="s">
        <v>402</v>
      </c>
      <c r="B36" s="34" t="s">
        <v>403</v>
      </c>
      <c r="C36" s="3" t="s">
        <v>400</v>
      </c>
      <c r="D36" s="62" t="s">
        <v>333</v>
      </c>
      <c r="E36" s="36" t="s">
        <v>401</v>
      </c>
      <c r="F36" s="36" t="str">
        <f>"Τώρα είναι «"&amp;$D$36&amp;"»: Αν ΝΑΙ → χρεώνεται ("&amp;ROUND($D$38,2)&amp;" m³ × "&amp;ROUND($D$37,2)&amp;" €/m³ = "&amp;ROUND($D$39,2)&amp;" €). Αν ΟΧΙ → κρύβεται αυτόματα (0,00 €)!"</f>
        <v>Τώρα είναι «ΟΧΙ»: Αν ΝΑΙ → χρεώνεται (172.36 m³ × 15 €/m³ = 0 €). Αν ΟΧΙ → κρύβεται αυτόματα (0,00 €)!</v>
      </c>
    </row>
    <row r="37" spans="1:6" ht="24" customHeight="1" x14ac:dyDescent="0.35">
      <c r="A37" s="24" t="s">
        <v>404</v>
      </c>
      <c r="B37" s="34" t="s">
        <v>405</v>
      </c>
      <c r="C37" s="3" t="s">
        <v>45</v>
      </c>
      <c r="D37" s="57">
        <v>15</v>
      </c>
      <c r="E37" s="36" t="s">
        <v>406</v>
      </c>
      <c r="F37" s="36" t="str">
        <f>"Πολλαπλασιάζεται με τα κυβικά που σκάβουμε ("&amp;ROUND($D$38,2)&amp;" m³ × "&amp;ROUND($D$37,2)&amp;" €/m³) όταν το Κουμπί 2 (Τ.Ε.2) είναι «ΝΑΙ»"</f>
        <v>Πολλαπλασιάζεται με τα κυβικά που σκάβουμε (172.36 m³ × 15 €/m³) όταν το Κουμπί 2 (Τ.Ε.2) είναι «ΝΑΙ»</v>
      </c>
    </row>
    <row r="38" spans="1:6" ht="24" customHeight="1" x14ac:dyDescent="0.35">
      <c r="A38" s="24" t="s">
        <v>407</v>
      </c>
      <c r="B38" s="4" t="s">
        <v>408</v>
      </c>
      <c r="C38" s="3" t="s">
        <v>16</v>
      </c>
      <c r="D38" s="59">
        <f>'Τεχνικοί Υπολογισμοί'!$F$113</f>
        <v>172.36033934655043</v>
      </c>
      <c r="E38" s="36" t="s">
        <v>409</v>
      </c>
      <c r="F38" s="36" t="str">
        <f>"Συνολικά κυβικά χώματος που βγαίνουν από τις τρύπες = "&amp;ROUND($D$38,2)&amp;" m³"</f>
        <v>Συνολικά κυβικά χώματος που βγαίνουν από τις τρύπες = 172.36 m³</v>
      </c>
    </row>
    <row r="39" spans="1:6" ht="24" customHeight="1" x14ac:dyDescent="0.35">
      <c r="A39" s="24" t="s">
        <v>410</v>
      </c>
      <c r="B39" s="34" t="s">
        <v>411</v>
      </c>
      <c r="C39" s="3" t="s">
        <v>45</v>
      </c>
      <c r="D39" s="47">
        <f>IF($D$36="ΝΑΙ",'Τεχνικοί Υπολογισμοί'!$F$113*$D$37,0)</f>
        <v>0</v>
      </c>
      <c r="E39" s="36" t="str">
        <f>"IF(Κουμπί_2 = ΝΑΙ, "&amp;ROUND($D$38,2)&amp;" m³ × "&amp;ROUND($D$37,2)&amp;" €/m³, 0) = "&amp;ROUND($D$39,2)&amp;" €"</f>
        <v>IF(Κουμπί_2 = ΝΑΙ, 172.36 m³ × 15 €/m³, 0) = 0 €</v>
      </c>
      <c r="F39" s="36" t="s">
        <v>412</v>
      </c>
    </row>
    <row r="41" spans="1:6" ht="28" customHeight="1" x14ac:dyDescent="0.35">
      <c r="A41" s="66" t="s">
        <v>413</v>
      </c>
      <c r="B41" s="64"/>
      <c r="C41" s="64"/>
      <c r="D41" s="15">
        <f>'Οικονομική Προσφορά'!$F$15</f>
        <v>72000</v>
      </c>
      <c r="E41" s="63" t="str">
        <f>"Μέσο Κόστος ανά Πάσσαλο: "&amp;ROUND('Οικονομική Προσφορά'!$F$15/'Τεχνικοί Υπολογισμοί'!$D$14,2)&amp;" € ("&amp;'Τεχνικοί Υπολογισμοί'!$D$14&amp;" πάσσαλοι)"</f>
        <v>Μέσο Κόστος ανά Πάσσαλο: 4000 € (18 πάσσαλοι)</v>
      </c>
      <c r="F41" s="64"/>
    </row>
  </sheetData>
  <mergeCells count="4">
    <mergeCell ref="E41:F41"/>
    <mergeCell ref="A2:F2"/>
    <mergeCell ref="A41:C41"/>
    <mergeCell ref="A1:F1"/>
  </mergeCells>
  <dataValidations count="1">
    <dataValidation type="list" errorTitle="Μη έγκυρη επιλογή" error="Παρακαλώ επίλεξε «ΝΑΙ» ή «ΟΧΙ» από το κουμπί (βελάκι)." promptTitle="Επιλογή Ευθύνης (ΝΑΙ / ΟΧΙ)" prompt="Πάτησε το βελάκι δεξιά: επίλεξε ΝΑΙ (αν είναι πάνω μας και χρεώνεται) ή ΟΧΙ (αν είναι πάνω τους και κρύβεται)." sqref="D35 D36" xr:uid="{00000000-0002-0000-0200-000000000000}">
      <formula1>$Z$1:$Z$2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314</vt:i4>
      </vt:variant>
    </vt:vector>
  </HeadingPairs>
  <TitlesOfParts>
    <vt:vector size="317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N_b2_soil_note</vt:lpstr>
      <vt:lpstr>N_b2_soil_price</vt:lpstr>
      <vt:lpstr>N_b2_soil_qty</vt:lpstr>
      <vt:lpstr>N_b2_soil_total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N_b2g_grand_total</vt:lpstr>
      <vt:lpstr>N_b2g_grand_total_note</vt:lpstr>
      <vt:lpstr>N_b2g0_breaking_note</vt:lpstr>
      <vt:lpstr>N_b2g0_breaking_price</vt:lpstr>
      <vt:lpstr>N_b2g0_breaking_qty</vt:lpstr>
      <vt:lpstr>N_b2g0_breaking_total</vt:lpstr>
      <vt:lpstr>N_b2g0_conc_note</vt:lpstr>
      <vt:lpstr>N_b2g0_conc_price</vt:lpstr>
      <vt:lpstr>N_b2g0_conc_qty</vt:lpstr>
      <vt:lpstr>N_b2g0_conc_total</vt:lpstr>
      <vt:lpstr>N_b2g0_drill_note</vt:lpstr>
      <vt:lpstr>N_b2g0_drill_price</vt:lpstr>
      <vt:lpstr>N_b2g0_drill_qty</vt:lpstr>
      <vt:lpstr>N_b2g0_drill_total</vt:lpstr>
      <vt:lpstr>N_b2g0_group_total</vt:lpstr>
      <vt:lpstr>N_b2g0_group_total_note</vt:lpstr>
      <vt:lpstr>N_b2g0_mob_note</vt:lpstr>
      <vt:lpstr>N_b2g0_mob_price</vt:lpstr>
      <vt:lpstr>N_b2g0_mob_qty</vt:lpstr>
      <vt:lpstr>N_b2g0_mob_total</vt:lpstr>
      <vt:lpstr>N_b2g0_pile_total</vt:lpstr>
      <vt:lpstr>N_b2g0_pile_total_note</vt:lpstr>
      <vt:lpstr>N_b2g0_sleeve_note</vt:lpstr>
      <vt:lpstr>N_b2g0_sleeve_price</vt:lpstr>
      <vt:lpstr>N_b2g0_sleeve_qty</vt:lpstr>
      <vt:lpstr>N_b2g0_sleeve_total</vt:lpstr>
      <vt:lpstr>N_b2g0_soil_note</vt:lpstr>
      <vt:lpstr>N_b2g0_soil_price</vt:lpstr>
      <vt:lpstr>N_b2g0_soil_qty</vt:lpstr>
      <vt:lpstr>N_b2g0_soil_total</vt:lpstr>
      <vt:lpstr>N_b2g0_steel_head_note</vt:lpstr>
      <vt:lpstr>N_b2g0_steel_head_price</vt:lpstr>
      <vt:lpstr>N_b2g0_steel_head_qty</vt:lpstr>
      <vt:lpstr>N_b2g0_steel_head_total</vt:lpstr>
      <vt:lpstr>N_b2g0_steel_note</vt:lpstr>
      <vt:lpstr>N_b2g0_steel_price</vt:lpstr>
      <vt:lpstr>N_b2g0_steel_qty</vt:lpstr>
      <vt:lpstr>N_b2g0_steel_spiral_note</vt:lpstr>
      <vt:lpstr>N_b2g0_steel_spiral_price</vt:lpstr>
      <vt:lpstr>N_b2g0_steel_spiral_qty</vt:lpstr>
      <vt:lpstr>N_b2g0_steel_spiral_total</vt:lpstr>
      <vt:lpstr>N_b2g0_steel_total</vt:lpstr>
      <vt:lpstr>N_b2g0_steel_vert_note</vt:lpstr>
      <vt:lpstr>N_b2g0_steel_vert_price</vt:lpstr>
      <vt:lpstr>N_b2g0_steel_vert_qty</vt:lpstr>
      <vt:lpstr>N_b2g0_steel_vert_total</vt:lpstr>
      <vt:lpstr>N_b2g1_breaking_note</vt:lpstr>
      <vt:lpstr>N_b2g1_breaking_price</vt:lpstr>
      <vt:lpstr>N_b2g1_breaking_qty</vt:lpstr>
      <vt:lpstr>N_b2g1_breaking_total</vt:lpstr>
      <vt:lpstr>N_b2g1_conc_note</vt:lpstr>
      <vt:lpstr>N_b2g1_conc_price</vt:lpstr>
      <vt:lpstr>N_b2g1_conc_qty</vt:lpstr>
      <vt:lpstr>N_b2g1_conc_total</vt:lpstr>
      <vt:lpstr>N_b2g1_drill_note</vt:lpstr>
      <vt:lpstr>N_b2g1_drill_price</vt:lpstr>
      <vt:lpstr>N_b2g1_drill_qty</vt:lpstr>
      <vt:lpstr>N_b2g1_drill_total</vt:lpstr>
      <vt:lpstr>N_b2g1_group_total</vt:lpstr>
      <vt:lpstr>N_b2g1_group_total_note</vt:lpstr>
      <vt:lpstr>N_b2g1_mob_note</vt:lpstr>
      <vt:lpstr>N_b2g1_mob_price</vt:lpstr>
      <vt:lpstr>N_b2g1_mob_qty</vt:lpstr>
      <vt:lpstr>N_b2g1_mob_total</vt:lpstr>
      <vt:lpstr>N_b2g1_pile_total</vt:lpstr>
      <vt:lpstr>N_b2g1_pile_total_note</vt:lpstr>
      <vt:lpstr>N_b2g1_sleeve_note</vt:lpstr>
      <vt:lpstr>N_b2g1_sleeve_price</vt:lpstr>
      <vt:lpstr>N_b2g1_sleeve_qty</vt:lpstr>
      <vt:lpstr>N_b2g1_sleeve_total</vt:lpstr>
      <vt:lpstr>N_b2g1_soil_note</vt:lpstr>
      <vt:lpstr>N_b2g1_soil_price</vt:lpstr>
      <vt:lpstr>N_b2g1_soil_qty</vt:lpstr>
      <vt:lpstr>N_b2g1_soil_total</vt:lpstr>
      <vt:lpstr>N_b2g1_steel_head_note</vt:lpstr>
      <vt:lpstr>N_b2g1_steel_head_price</vt:lpstr>
      <vt:lpstr>N_b2g1_steel_head_qty</vt:lpstr>
      <vt:lpstr>N_b2g1_steel_head_total</vt:lpstr>
      <vt:lpstr>N_b2g1_steel_note</vt:lpstr>
      <vt:lpstr>N_b2g1_steel_price</vt:lpstr>
      <vt:lpstr>N_b2g1_steel_qty</vt:lpstr>
      <vt:lpstr>N_b2g1_steel_spiral_note</vt:lpstr>
      <vt:lpstr>N_b2g1_steel_spiral_price</vt:lpstr>
      <vt:lpstr>N_b2g1_steel_spiral_qty</vt:lpstr>
      <vt:lpstr>N_b2g1_steel_spiral_total</vt:lpstr>
      <vt:lpstr>N_b2g1_steel_total</vt:lpstr>
      <vt:lpstr>N_b2g1_steel_vert_note</vt:lpstr>
      <vt:lpstr>N_b2g1_steel_vert_price</vt:lpstr>
      <vt:lpstr>N_b2g1_steel_vert_qty</vt:lpstr>
      <vt:lpstr>N_b2g1_steel_vert_total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N_inc_breaking</vt:lpstr>
      <vt:lpstr>N_inc_soil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N_line_soil_desc</vt:lpstr>
      <vt:lpstr>N_line_soil_price</vt:lpstr>
      <vt:lpstr>N_line_soil_qty</vt:lpstr>
      <vt:lpstr>N_line_soil_total</vt:lpstr>
      <vt:lpstr>N_line_steel_desc</vt:lpstr>
      <vt:lpstr>N_line_steel_price</vt:lpstr>
      <vt:lpstr>N_line_steel_qty</vt:lpstr>
      <vt:lpstr>N_line_steel_total</vt:lpstr>
      <vt:lpstr>N_mob_per_pile</vt:lpstr>
      <vt:lpstr>N_mob_police</vt:lpstr>
      <vt:lpstr>N_mob_total</vt:lpstr>
      <vt:lpstr>N_n_piles</vt:lpstr>
      <vt:lpstr>N_p_breaking</vt:lpstr>
      <vt:lpstr>N_p_conc</vt:lpstr>
      <vt:lpstr>N_p_conc_buy</vt:lpstr>
      <vt:lpstr>N_p_conc_place</vt:lpstr>
      <vt:lpstr>N_p_drill_800</vt:lpstr>
      <vt:lpstr>N_p_mob_base</vt:lpstr>
      <vt:lpstr>N_p_mob_extra</vt:lpstr>
      <vt:lpstr>N_p_piles_per_setup</vt:lpstr>
      <vt:lpstr>N_p_police_km</vt:lpstr>
      <vt:lpstr>N_p_pump_per_m3</vt:lpstr>
      <vt:lpstr>N_p_pump_setup</vt:lpstr>
      <vt:lpstr>N_p_sleeve</vt:lpstr>
      <vt:lpstr>N_p_soil</vt:lpstr>
      <vt:lpstr>N_p_steel</vt:lpstr>
      <vt:lpstr>N_police_km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N_q_soil</vt:lpstr>
      <vt:lpstr>N_q_soil_n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N_s1_note_8</vt:lpstr>
      <vt:lpstr>N_s2_dist_km</vt:lpstr>
      <vt:lpstr>N_s2_mob_police</vt:lpstr>
      <vt:lpstr>N_s2_p_mob_base</vt:lpstr>
      <vt:lpstr>N_s2_p_mob_extra</vt:lpstr>
      <vt:lpstr>N_s3_grand_total</vt:lpstr>
      <vt:lpstr>N_s3_soil_total</vt:lpstr>
      <vt:lpstr>N_s3_v_exc</vt:lpstr>
      <vt:lpstr>N_sl_raw_price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N_v_per_setup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2026-10-23T08:21:35Z</dcterms:created>
  <dcterms:modified xsi:type="dcterms:W3CDTF">2026-10-23T08:33:18Z</dcterms:modified>
</cp:coreProperties>
</file>