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nikth\Desktop\NIKOLAS TRY\Projects\Agkirosis\BOLTON_TOWER\"/>
    </mc:Choice>
  </mc:AlternateContent>
  <xr:revisionPtr revIDLastSave="0" documentId="13_ncr:1_{2678AFFC-99DB-4DA7-A6F3-F96E886F20F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1_Στοιχεία_Μελέτης_&amp;_Ποσότητες" sheetId="1" r:id="rId1"/>
    <sheet name="2_Υπολογισμοί_&amp;_Κοστολόγηση" sheetId="2" r:id="rId2"/>
    <sheet name="3_Πίνακες_Διατομών_Χάλυβα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5" i="2" l="1"/>
  <c r="D58" i="2"/>
  <c r="B58" i="2"/>
  <c r="D57" i="2"/>
  <c r="B57" i="2"/>
  <c r="H56" i="2"/>
  <c r="D56" i="2"/>
  <c r="C56" i="2"/>
  <c r="F56" i="2" s="1"/>
  <c r="B56" i="2"/>
  <c r="B55" i="2"/>
  <c r="D53" i="2"/>
  <c r="D52" i="2"/>
  <c r="D51" i="2"/>
  <c r="D50" i="2"/>
  <c r="D49" i="2"/>
  <c r="C49" i="2"/>
  <c r="F49" i="2" s="1"/>
  <c r="B49" i="2"/>
  <c r="D48" i="2"/>
  <c r="H47" i="2"/>
  <c r="D47" i="2"/>
  <c r="D46" i="2"/>
  <c r="D45" i="2"/>
  <c r="H44" i="2"/>
  <c r="D44" i="2"/>
  <c r="H43" i="2"/>
  <c r="D43" i="2"/>
  <c r="H42" i="2"/>
  <c r="D42" i="2"/>
  <c r="H41" i="2"/>
  <c r="D41" i="2"/>
  <c r="D40" i="2"/>
  <c r="D37" i="2"/>
  <c r="D36" i="2"/>
  <c r="H35" i="2"/>
  <c r="D35" i="2"/>
  <c r="H34" i="2"/>
  <c r="D34" i="2"/>
  <c r="D33" i="2"/>
  <c r="D32" i="2"/>
  <c r="D31" i="2"/>
  <c r="H30" i="2"/>
  <c r="D30" i="2"/>
  <c r="D29" i="2"/>
  <c r="D28" i="2"/>
  <c r="H27" i="2"/>
  <c r="D27" i="2"/>
  <c r="C27" i="2"/>
  <c r="F27" i="2" s="1"/>
  <c r="B27" i="2"/>
  <c r="H26" i="2"/>
  <c r="D26" i="2"/>
  <c r="C26" i="2"/>
  <c r="F26" i="2" s="1"/>
  <c r="B26" i="2"/>
  <c r="H25" i="2"/>
  <c r="D25" i="2"/>
  <c r="H24" i="2"/>
  <c r="D24" i="2"/>
  <c r="D23" i="2"/>
  <c r="D20" i="2"/>
  <c r="D19" i="2"/>
  <c r="H18" i="2"/>
  <c r="D18" i="2"/>
  <c r="H17" i="2"/>
  <c r="D17" i="2"/>
  <c r="D16" i="2"/>
  <c r="D15" i="2"/>
  <c r="D14" i="2"/>
  <c r="H13" i="2"/>
  <c r="D13" i="2"/>
  <c r="D12" i="2"/>
  <c r="D11" i="2"/>
  <c r="H10" i="2"/>
  <c r="D10" i="2"/>
  <c r="H9" i="2"/>
  <c r="D9" i="2"/>
  <c r="H8" i="2"/>
  <c r="D8" i="2"/>
  <c r="H7" i="2"/>
  <c r="D7" i="2"/>
  <c r="D6" i="2"/>
  <c r="B154" i="1"/>
  <c r="B153" i="1"/>
  <c r="B152" i="1"/>
  <c r="B151" i="1"/>
  <c r="B150" i="1"/>
  <c r="B149" i="1"/>
  <c r="B147" i="1"/>
  <c r="E146" i="1"/>
  <c r="C146" i="1"/>
  <c r="F146" i="1" s="1"/>
  <c r="B144" i="1"/>
  <c r="B143" i="1"/>
  <c r="B142" i="1"/>
  <c r="C139" i="1"/>
  <c r="F138" i="1"/>
  <c r="E138" i="1"/>
  <c r="C138" i="1"/>
  <c r="F137" i="1"/>
  <c r="E137" i="1"/>
  <c r="C137" i="1"/>
  <c r="F136" i="1"/>
  <c r="E136" i="1"/>
  <c r="B133" i="1"/>
  <c r="B53" i="2" s="1"/>
  <c r="C132" i="1"/>
  <c r="B132" i="1"/>
  <c r="B52" i="2" s="1"/>
  <c r="C131" i="1"/>
  <c r="B131" i="1"/>
  <c r="B51" i="2" s="1"/>
  <c r="C129" i="1"/>
  <c r="B129" i="1"/>
  <c r="F127" i="1"/>
  <c r="F125" i="1"/>
  <c r="F124" i="1"/>
  <c r="E124" i="1"/>
  <c r="C124" i="1"/>
  <c r="C44" i="2" s="1"/>
  <c r="F44" i="2" s="1"/>
  <c r="B124" i="1"/>
  <c r="B44" i="2" s="1"/>
  <c r="F123" i="1"/>
  <c r="E123" i="1"/>
  <c r="C123" i="1"/>
  <c r="C43" i="2" s="1"/>
  <c r="F43" i="2" s="1"/>
  <c r="B123" i="1"/>
  <c r="B43" i="2" s="1"/>
  <c r="C122" i="1"/>
  <c r="B122" i="1"/>
  <c r="B42" i="2" s="1"/>
  <c r="F121" i="1"/>
  <c r="C120" i="1"/>
  <c r="B117" i="1"/>
  <c r="B37" i="2" s="1"/>
  <c r="C116" i="1"/>
  <c r="B116" i="1"/>
  <c r="B36" i="2" s="1"/>
  <c r="F115" i="1"/>
  <c r="C115" i="1"/>
  <c r="B115" i="1"/>
  <c r="B35" i="2" s="1"/>
  <c r="F114" i="1"/>
  <c r="C114" i="1"/>
  <c r="B114" i="1"/>
  <c r="B34" i="2" s="1"/>
  <c r="F112" i="1"/>
  <c r="C112" i="1"/>
  <c r="B112" i="1"/>
  <c r="B32" i="2" s="1"/>
  <c r="F110" i="1"/>
  <c r="F108" i="1"/>
  <c r="F107" i="1"/>
  <c r="E107" i="1"/>
  <c r="C107" i="1"/>
  <c r="B107" i="1"/>
  <c r="F106" i="1"/>
  <c r="E106" i="1"/>
  <c r="C106" i="1"/>
  <c r="B106" i="1"/>
  <c r="C105" i="1"/>
  <c r="B105" i="1"/>
  <c r="B25" i="2" s="1"/>
  <c r="F104" i="1"/>
  <c r="C103" i="1"/>
  <c r="B100" i="1"/>
  <c r="B20" i="2" s="1"/>
  <c r="C99" i="1"/>
  <c r="B99" i="1"/>
  <c r="B19" i="2" s="1"/>
  <c r="F98" i="1"/>
  <c r="C98" i="1"/>
  <c r="B98" i="1"/>
  <c r="B18" i="2" s="1"/>
  <c r="F97" i="1"/>
  <c r="C97" i="1"/>
  <c r="B97" i="1"/>
  <c r="B17" i="2" s="1"/>
  <c r="F95" i="1"/>
  <c r="C95" i="1"/>
  <c r="B95" i="1"/>
  <c r="B15" i="2" s="1"/>
  <c r="F93" i="1"/>
  <c r="F91" i="1"/>
  <c r="F90" i="1"/>
  <c r="E90" i="1"/>
  <c r="C90" i="1"/>
  <c r="B90" i="1"/>
  <c r="B10" i="2" s="1"/>
  <c r="F89" i="1"/>
  <c r="E89" i="1"/>
  <c r="C89" i="1"/>
  <c r="B89" i="1"/>
  <c r="B9" i="2" s="1"/>
  <c r="C88" i="1"/>
  <c r="B88" i="1"/>
  <c r="B8" i="2" s="1"/>
  <c r="F87" i="1"/>
  <c r="C86" i="1"/>
  <c r="C83" i="1"/>
  <c r="B83" i="1"/>
  <c r="C82" i="1"/>
  <c r="B82" i="1"/>
  <c r="C81" i="1"/>
  <c r="B81" i="1"/>
  <c r="C80" i="1"/>
  <c r="B80" i="1"/>
  <c r="F75" i="1"/>
  <c r="F74" i="1"/>
  <c r="F73" i="1"/>
  <c r="F72" i="1"/>
  <c r="F71" i="1"/>
  <c r="F70" i="1"/>
  <c r="F69" i="1"/>
  <c r="E69" i="1"/>
  <c r="F68" i="1"/>
  <c r="F67" i="1"/>
  <c r="F66" i="1"/>
  <c r="C65" i="1"/>
  <c r="B65" i="1"/>
  <c r="F64" i="1"/>
  <c r="B63" i="1"/>
  <c r="F61" i="1"/>
  <c r="F60" i="1"/>
  <c r="F59" i="1"/>
  <c r="F58" i="1"/>
  <c r="F57" i="1"/>
  <c r="F56" i="1"/>
  <c r="F55" i="1"/>
  <c r="F54" i="1"/>
  <c r="F53" i="1"/>
  <c r="E53" i="1"/>
  <c r="F52" i="1"/>
  <c r="F51" i="1"/>
  <c r="F50" i="1"/>
  <c r="C49" i="1"/>
  <c r="B49" i="1"/>
  <c r="F48" i="1"/>
  <c r="B47" i="1"/>
  <c r="F45" i="1"/>
  <c r="F44" i="1"/>
  <c r="F43" i="1"/>
  <c r="F42" i="1"/>
  <c r="F41" i="1"/>
  <c r="F40" i="1"/>
  <c r="F39" i="1"/>
  <c r="F38" i="1"/>
  <c r="F37" i="1"/>
  <c r="E37" i="1"/>
  <c r="F36" i="1"/>
  <c r="F35" i="1"/>
  <c r="F34" i="1"/>
  <c r="F33" i="1"/>
  <c r="C33" i="1"/>
  <c r="B33" i="1"/>
  <c r="F32" i="1"/>
  <c r="B31" i="1"/>
  <c r="F29" i="1"/>
  <c r="F28" i="1"/>
  <c r="F27" i="1"/>
  <c r="F26" i="1"/>
  <c r="B26" i="1"/>
  <c r="F25" i="1"/>
  <c r="B25" i="1"/>
  <c r="F24" i="1"/>
  <c r="B24" i="1"/>
  <c r="F23" i="1"/>
  <c r="B22" i="1"/>
  <c r="F21" i="1"/>
  <c r="B21" i="1"/>
  <c r="F20" i="1"/>
  <c r="E19" i="1"/>
  <c r="C19" i="1"/>
  <c r="F19" i="1" s="1"/>
  <c r="B19" i="1"/>
  <c r="F18" i="1"/>
  <c r="F17" i="1"/>
  <c r="F16" i="1"/>
  <c r="F15" i="1"/>
  <c r="F14" i="1"/>
  <c r="F13" i="1"/>
  <c r="F12" i="1"/>
  <c r="F11" i="1"/>
  <c r="B11" i="1"/>
  <c r="F10" i="1"/>
  <c r="F9" i="1"/>
  <c r="F8" i="1"/>
  <c r="F139" i="1" l="1"/>
  <c r="E139" i="1"/>
  <c r="C66" i="2"/>
  <c r="H73" i="2"/>
  <c r="C73" i="2"/>
  <c r="H58" i="2"/>
  <c r="C58" i="2"/>
  <c r="F58" i="2" s="1"/>
  <c r="H57" i="2"/>
  <c r="C57" i="2"/>
  <c r="F57" i="2" s="1"/>
  <c r="F55" i="2" s="1"/>
  <c r="C64" i="2"/>
  <c r="H64" i="2"/>
  <c r="H63" i="2"/>
  <c r="H52" i="2"/>
  <c r="H51" i="2"/>
  <c r="H49" i="2"/>
  <c r="H39" i="2"/>
  <c r="C52" i="2"/>
  <c r="F52" i="2" s="1"/>
  <c r="C133" i="1"/>
  <c r="F132" i="1"/>
  <c r="F129" i="1"/>
  <c r="F131" i="1"/>
  <c r="E132" i="1"/>
  <c r="C51" i="2"/>
  <c r="F51" i="2" s="1"/>
  <c r="E131" i="1"/>
  <c r="E129" i="1"/>
  <c r="C130" i="1"/>
  <c r="C50" i="2" s="1"/>
  <c r="F50" i="2" s="1"/>
  <c r="B130" i="1"/>
  <c r="B50" i="2" s="1"/>
  <c r="C42" i="2"/>
  <c r="F42" i="2" s="1"/>
  <c r="E122" i="1"/>
  <c r="F120" i="1"/>
  <c r="E120" i="1"/>
  <c r="H40" i="2"/>
  <c r="C40" i="2"/>
  <c r="F40" i="2" s="1"/>
  <c r="H22" i="2"/>
  <c r="H32" i="2"/>
  <c r="C36" i="2"/>
  <c r="F36" i="2" s="1"/>
  <c r="H36" i="2"/>
  <c r="C117" i="1"/>
  <c r="F116" i="1"/>
  <c r="E116" i="1"/>
  <c r="H62" i="2"/>
  <c r="E115" i="1"/>
  <c r="C35" i="2"/>
  <c r="F35" i="2" s="1"/>
  <c r="E114" i="1"/>
  <c r="C34" i="2"/>
  <c r="F34" i="2" s="1"/>
  <c r="E113" i="1"/>
  <c r="E112" i="1"/>
  <c r="B113" i="1"/>
  <c r="B33" i="2" s="1"/>
  <c r="C113" i="1"/>
  <c r="C33" i="2" s="1"/>
  <c r="F33" i="2" s="1"/>
  <c r="C32" i="2"/>
  <c r="F32" i="2" s="1"/>
  <c r="C25" i="2"/>
  <c r="F25" i="2" s="1"/>
  <c r="E105" i="1"/>
  <c r="C23" i="2"/>
  <c r="F23" i="2" s="1"/>
  <c r="E103" i="1"/>
  <c r="H23" i="2"/>
  <c r="F103" i="1"/>
  <c r="H61" i="2"/>
  <c r="F99" i="1"/>
  <c r="C19" i="2"/>
  <c r="F19" i="2" s="1"/>
  <c r="H15" i="2"/>
  <c r="C100" i="1"/>
  <c r="H5" i="2"/>
  <c r="C151" i="1"/>
  <c r="E151" i="1" s="1"/>
  <c r="H19" i="2"/>
  <c r="E99" i="1"/>
  <c r="C18" i="2"/>
  <c r="F18" i="2" s="1"/>
  <c r="E98" i="1"/>
  <c r="E154" i="1"/>
  <c r="C17" i="2"/>
  <c r="F17" i="2" s="1"/>
  <c r="E97" i="1"/>
  <c r="C154" i="1"/>
  <c r="F154" i="1" s="1"/>
  <c r="C15" i="2"/>
  <c r="F15" i="2" s="1"/>
  <c r="E96" i="1"/>
  <c r="E152" i="1"/>
  <c r="C152" i="1"/>
  <c r="F152" i="1" s="1"/>
  <c r="B96" i="1"/>
  <c r="B16" i="2" s="1"/>
  <c r="C96" i="1"/>
  <c r="E95" i="1"/>
  <c r="E148" i="1"/>
  <c r="C10" i="2"/>
  <c r="F10" i="2" s="1"/>
  <c r="C148" i="1"/>
  <c r="F148" i="1" s="1"/>
  <c r="E147" i="1"/>
  <c r="C147" i="1"/>
  <c r="F147" i="1" s="1"/>
  <c r="C9" i="2"/>
  <c r="F9" i="2" s="1"/>
  <c r="C8" i="2"/>
  <c r="F8" i="2" s="1"/>
  <c r="E88" i="1"/>
  <c r="C145" i="1"/>
  <c r="C6" i="2"/>
  <c r="F6" i="2" s="1"/>
  <c r="E86" i="1"/>
  <c r="E142" i="1"/>
  <c r="C142" i="1"/>
  <c r="H6" i="2"/>
  <c r="B86" i="1"/>
  <c r="B6" i="2" s="1"/>
  <c r="H48" i="2"/>
  <c r="E48" i="2"/>
  <c r="E83" i="1"/>
  <c r="H31" i="2"/>
  <c r="F83" i="1"/>
  <c r="H14" i="2"/>
  <c r="E31" i="2"/>
  <c r="E14" i="2"/>
  <c r="E130" i="1"/>
  <c r="E82" i="1"/>
  <c r="F82" i="1"/>
  <c r="H50" i="2"/>
  <c r="H16" i="2"/>
  <c r="H33" i="2"/>
  <c r="H11" i="2"/>
  <c r="F81" i="1"/>
  <c r="H45" i="2"/>
  <c r="F22" i="1"/>
  <c r="H28" i="2"/>
  <c r="E81" i="1"/>
  <c r="F80" i="1"/>
  <c r="B103" i="1"/>
  <c r="B23" i="2" s="1"/>
  <c r="B104" i="1"/>
  <c r="B24" i="2" s="1"/>
  <c r="C104" i="1"/>
  <c r="C24" i="2" s="1"/>
  <c r="F24" i="2" s="1"/>
  <c r="E104" i="1"/>
  <c r="E80" i="1"/>
  <c r="E87" i="1"/>
  <c r="B87" i="1"/>
  <c r="B7" i="2" s="1"/>
  <c r="B120" i="1"/>
  <c r="B40" i="2" s="1"/>
  <c r="B121" i="1"/>
  <c r="B41" i="2" s="1"/>
  <c r="C121" i="1"/>
  <c r="C41" i="2" s="1"/>
  <c r="F41" i="2" s="1"/>
  <c r="E121" i="1"/>
  <c r="C87" i="1"/>
  <c r="F86" i="1"/>
  <c r="C119" i="1"/>
  <c r="C39" i="2"/>
  <c r="C63" i="2" s="1"/>
  <c r="B39" i="2"/>
  <c r="B126" i="1"/>
  <c r="B46" i="2" s="1"/>
  <c r="E119" i="1"/>
  <c r="C126" i="1"/>
  <c r="E126" i="1" s="1"/>
  <c r="F65" i="1"/>
  <c r="B63" i="2"/>
  <c r="H46" i="2"/>
  <c r="B119" i="1"/>
  <c r="H29" i="2"/>
  <c r="B102" i="1"/>
  <c r="C102" i="1"/>
  <c r="C109" i="1"/>
  <c r="F49" i="1"/>
  <c r="E109" i="1"/>
  <c r="E102" i="1"/>
  <c r="B62" i="2"/>
  <c r="B109" i="1"/>
  <c r="B29" i="2" s="1"/>
  <c r="C22" i="2"/>
  <c r="C62" i="2" s="1"/>
  <c r="B22" i="2"/>
  <c r="C92" i="1"/>
  <c r="H12" i="2"/>
  <c r="B92" i="1"/>
  <c r="B12" i="2" s="1"/>
  <c r="E92" i="1"/>
  <c r="C85" i="1"/>
  <c r="B85" i="1"/>
  <c r="C5" i="2"/>
  <c r="C61" i="2" s="1"/>
  <c r="C140" i="1"/>
  <c r="E140" i="1"/>
  <c r="E85" i="1"/>
  <c r="B5" i="2"/>
  <c r="B61" i="2"/>
  <c r="F64" i="2" l="1"/>
  <c r="G56" i="2"/>
  <c r="C53" i="2"/>
  <c r="F53" i="2" s="1"/>
  <c r="E133" i="1"/>
  <c r="H53" i="2"/>
  <c r="F133" i="1"/>
  <c r="E117" i="1"/>
  <c r="F117" i="1"/>
  <c r="H37" i="2"/>
  <c r="C37" i="2"/>
  <c r="F37" i="2" s="1"/>
  <c r="E100" i="1"/>
  <c r="F100" i="1"/>
  <c r="C20" i="2"/>
  <c r="F20" i="2" s="1"/>
  <c r="H20" i="2"/>
  <c r="F151" i="1"/>
  <c r="B67" i="2"/>
  <c r="C67" i="2"/>
  <c r="B74" i="2"/>
  <c r="C74" i="2"/>
  <c r="H74" i="2"/>
  <c r="C16" i="2"/>
  <c r="F16" i="2" s="1"/>
  <c r="F67" i="2" s="1"/>
  <c r="G67" i="2" s="1"/>
  <c r="E153" i="1"/>
  <c r="C153" i="1"/>
  <c r="F153" i="1" s="1"/>
  <c r="E145" i="1"/>
  <c r="F145" i="1"/>
  <c r="F142" i="1"/>
  <c r="C143" i="1"/>
  <c r="C144" i="1"/>
  <c r="F144" i="1" s="1"/>
  <c r="C7" i="2"/>
  <c r="F7" i="2" s="1"/>
  <c r="E144" i="1"/>
  <c r="B127" i="1"/>
  <c r="B47" i="2" s="1"/>
  <c r="C127" i="1"/>
  <c r="E127" i="1"/>
  <c r="B128" i="1"/>
  <c r="B48" i="2" s="1"/>
  <c r="C46" i="2"/>
  <c r="F46" i="2" s="1"/>
  <c r="B125" i="1"/>
  <c r="B45" i="2" s="1"/>
  <c r="C125" i="1"/>
  <c r="C45" i="2" s="1"/>
  <c r="F45" i="2" s="1"/>
  <c r="E125" i="1"/>
  <c r="B110" i="1"/>
  <c r="B30" i="2" s="1"/>
  <c r="C110" i="1"/>
  <c r="E110" i="1"/>
  <c r="B111" i="1"/>
  <c r="B31" i="2" s="1"/>
  <c r="C108" i="1"/>
  <c r="C28" i="2" s="1"/>
  <c r="F28" i="2" s="1"/>
  <c r="C29" i="2"/>
  <c r="F29" i="2" s="1"/>
  <c r="B108" i="1"/>
  <c r="B28" i="2" s="1"/>
  <c r="E108" i="1"/>
  <c r="B93" i="1"/>
  <c r="B13" i="2" s="1"/>
  <c r="E91" i="1"/>
  <c r="C93" i="1"/>
  <c r="B94" i="1"/>
  <c r="B14" i="2" s="1"/>
  <c r="E93" i="1"/>
  <c r="C141" i="1"/>
  <c r="C91" i="1"/>
  <c r="E141" i="1"/>
  <c r="C12" i="2"/>
  <c r="F12" i="2" s="1"/>
  <c r="B91" i="1"/>
  <c r="B11" i="2" s="1"/>
  <c r="F140" i="1"/>
  <c r="C55" i="2"/>
  <c r="E55" i="2" s="1"/>
  <c r="C68" i="2"/>
  <c r="C72" i="2"/>
  <c r="H72" i="2"/>
  <c r="F143" i="1" l="1"/>
  <c r="E143" i="1"/>
  <c r="G64" i="2"/>
  <c r="E67" i="2"/>
  <c r="G74" i="2"/>
  <c r="C128" i="1"/>
  <c r="C48" i="2" s="1"/>
  <c r="F48" i="2" s="1"/>
  <c r="E128" i="1"/>
  <c r="C47" i="2"/>
  <c r="F47" i="2" s="1"/>
  <c r="F39" i="2" s="1"/>
  <c r="E111" i="1"/>
  <c r="C30" i="2"/>
  <c r="F30" i="2" s="1"/>
  <c r="C111" i="1"/>
  <c r="C31" i="2" s="1"/>
  <c r="F31" i="2" s="1"/>
  <c r="E94" i="1"/>
  <c r="E150" i="1"/>
  <c r="C150" i="1"/>
  <c r="F150" i="1" s="1"/>
  <c r="C13" i="2"/>
  <c r="F13" i="2" s="1"/>
  <c r="C94" i="1"/>
  <c r="C14" i="2" s="1"/>
  <c r="F14" i="2" s="1"/>
  <c r="C65" i="2"/>
  <c r="C71" i="2"/>
  <c r="H71" i="2"/>
  <c r="F141" i="1"/>
  <c r="C149" i="1"/>
  <c r="F149" i="1" s="1"/>
  <c r="C11" i="2"/>
  <c r="F11" i="2" s="1"/>
  <c r="E149" i="1"/>
  <c r="E39" i="2"/>
  <c r="E63" i="2" s="1"/>
  <c r="F63" i="2"/>
  <c r="G63" i="2" s="1"/>
  <c r="G40" i="2"/>
  <c r="F66" i="2"/>
  <c r="G66" i="2" s="1"/>
  <c r="E66" i="2" s="1"/>
  <c r="F22" i="2" l="1"/>
  <c r="F65" i="2"/>
  <c r="F5" i="2"/>
  <c r="G23" i="2" l="1"/>
  <c r="F62" i="2"/>
  <c r="G62" i="2" s="1"/>
  <c r="E22" i="2"/>
  <c r="E62" i="2" s="1"/>
  <c r="H68" i="2"/>
  <c r="G65" i="2"/>
  <c r="E65" i="2" s="1"/>
  <c r="G6" i="2"/>
  <c r="F61" i="2"/>
  <c r="E5" i="2"/>
  <c r="E61" i="2" s="1"/>
  <c r="G61" i="2" l="1"/>
  <c r="F68" i="2"/>
  <c r="G68" i="2" s="1"/>
  <c r="E68" i="2" l="1"/>
  <c r="G71" i="2"/>
  <c r="G72" i="2"/>
  <c r="G73" i="2"/>
</calcChain>
</file>

<file path=xl/sharedStrings.xml><?xml version="1.0" encoding="utf-8"?>
<sst xmlns="http://schemas.openxmlformats.org/spreadsheetml/2006/main" count="604" uniqueCount="332">
  <si>
    <t>ΕΡΓΟ: BOLTON TOWER (BERLIN WALL &amp; ΑΓΚΥΡΩΣΕΙΣ) — ΣΤΟΙΧΕΙΑ ΜΕΛΕΤΗΣ &amp; ΦΥΣΙΚΕΣ ΠΟΣΟΤΗΤΕΣ ΑΝΑ ΤΥΠΟ ΤΟΙΧΟΥ (ΧΩΡΙΣ ΕΥΡΩ)</t>
  </si>
  <si>
    <t>ΕΚΔΟΣΗ ΚΑΝΟΝΩΝ v8 | 100% ΔΥΝΑΜΙΚΟΙ ΤΙΤΛΟΙ &amp; ΣΗΜΕΙΩΣΕΙΣ ΣΕ ΚΟΥΤΙΑ (BOXES) ΑΝΑ ΤΥΠΟ ΤΟΙΧΟΥ | [ΚΟΚΚΙΝΟ #FFC7CE] = WPL / Cut-Off Level Εκσκαφής Νεφκών</t>
  </si>
  <si>
    <t>ΚΕΦΑΛΑΙΟ Α: ΣΤΟΙΧΕΙΑ ΜΕΛΕΤΗΣ (RAW INPUTS) — ΧΩΡΙΣΜΕΝΑ ΣΕ ΚΟΥΤΙΑ ΑΝΑ ΤΥΠΟ ΤΟΙΧΟΥ (100% ΔΥΝΑΜΙΚΗ ΣΥΝΔΕΣΗ)</t>
  </si>
  <si>
    <t>α/α</t>
  </si>
  <si>
    <t>ΠΕΡΙΓΡΑΦΗ ΣΤΟΙΧΕΙΟΥ / ΕΡΓΑΣΙΑΣ</t>
  </si>
  <si>
    <t>ΤΙΜΗ ΜΕΛΕΤΗΣ</t>
  </si>
  <si>
    <t>ΜΟΝ.</t>
  </si>
  <si>
    <t>ΠΗΓΗ ΜΕΛΕΤΗΣ (ΣΧΕΔΙΟ)</t>
  </si>
  <si>
    <t>ΤΕΧΝΙΚΗ ΣΗΜΕΙΩΣΗ / ΕΛΕΓΧΟΣ ΚΑΝΟΝΑ</t>
  </si>
  <si>
    <t>ΚΟΙΝΑ</t>
  </si>
  <si>
    <t>ΚΟΥΤΙ Α.0 — ΓΕΝΙΚΑ ΣΤΟΙΧΕΙΑ ΕΡΓΟΥ &amp; ΚΟΙΝΕΣ ΠΡΟΔΙΑΓΡΑΦΕΣ (Εργοτάξιο, Διάτρηση, Λάμες, Γωνιές, Σχάρα, Shotcrete, Αγκυρώσεις)</t>
  </si>
  <si>
    <t>Κ.1</t>
  </si>
  <si>
    <t>Έδρα Εταιρείας (Αφετηρία)</t>
  </si>
  <si>
    <t>Άγιος Συλάς, Σπύρου Κυπριανού 32, Λεμεσός</t>
  </si>
  <si>
    <t>-</t>
  </si>
  <si>
    <t>Βάση Εταιρείας</t>
  </si>
  <si>
    <t>Σταθερή βάση εκκίνησης συνεργείων &amp; μηχανημάτων</t>
  </si>
  <si>
    <t>Κ.2</t>
  </si>
  <si>
    <t>Τοποθεσία Εργοταξίου &amp; Χιλιομετρική Απόσταση</t>
  </si>
  <si>
    <t>km</t>
  </si>
  <si>
    <t>Σχέδιο ΘΕΜ/1 &amp; ΘΕΜ/6</t>
  </si>
  <si>
    <t>Κ.3</t>
  </si>
  <si>
    <t>Μέγιστο Πλήθος Οριζόντιων Σειρών Αγκυρώσεων Έργου</t>
  </si>
  <si>
    <t>σειρές</t>
  </si>
  <si>
    <t>Σχέδιο ΘΕΜ/6, Τομές Α, Β, Γ</t>
  </si>
  <si>
    <t>Κ.4</t>
  </si>
  <si>
    <t>Αξονική Απόσταση Πασσάλων (s_c/c)</t>
  </si>
  <si>
    <t>m</t>
  </si>
  <si>
    <t>Κ.5</t>
  </si>
  <si>
    <t>Κανόνας Εταιρείας</t>
  </si>
  <si>
    <t>Κ.6</t>
  </si>
  <si>
    <t>Πλήθος Προφίλ Χάλυβα ανά Πάσσαλο / Οπή</t>
  </si>
  <si>
    <t>No/οπή</t>
  </si>
  <si>
    <t>Σχέδιο ΘΕΜ/6, Λεπτομέρεια</t>
  </si>
  <si>
    <t>Κ.7</t>
  </si>
  <si>
    <t>Θεωρητικό Βάρος Διατομής HEB 220 (για Type A)</t>
  </si>
  <si>
    <t>kg/m</t>
  </si>
  <si>
    <t>Βιβλιοθήκη Διατομών (Φύλλο 3)</t>
  </si>
  <si>
    <t>Κ.8</t>
  </si>
  <si>
    <t>Θεωρητικό Βάρος Διατομής HEB 200 (για Type B &amp; Type C)</t>
  </si>
  <si>
    <t>Κ.9</t>
  </si>
  <si>
    <t>Κατακόρυφο Βήμα Λαμών Σύνδεσης (s_plate)</t>
  </si>
  <si>
    <t>Κ.10α</t>
  </si>
  <si>
    <t>Πλάτος Λάμας Σύνδεσης (b_plate)</t>
  </si>
  <si>
    <t>mm</t>
  </si>
  <si>
    <t>Κ.10β</t>
  </si>
  <si>
    <t>Μήκος / Ύψος Λάμας Σύνδεσης (h_plate)</t>
  </si>
  <si>
    <t>Κ.10γ</t>
  </si>
  <si>
    <t>Πάχος Λάμας Σύνδεσης (t_plate)</t>
  </si>
  <si>
    <t>Κ.10</t>
  </si>
  <si>
    <t>kg/τεμ</t>
  </si>
  <si>
    <t>Κ.11</t>
  </si>
  <si>
    <t>Γωνιές Στήριξης Σχάρας L 70x70x6mm (2 τεμ. ανά πάσσαλο)</t>
  </si>
  <si>
    <t>Σχέδιο ΘΕΜ/6 &amp; Φύλλο 3</t>
  </si>
  <si>
    <t>Κ.12</t>
  </si>
  <si>
    <t>Κ.13</t>
  </si>
  <si>
    <t>Κ.14</t>
  </si>
  <si>
    <t>Κατηγορία Σκυροδέματος Shotcrete &amp; Πάκτωσης</t>
  </si>
  <si>
    <t>C30/37</t>
  </si>
  <si>
    <t>Κ.15</t>
  </si>
  <si>
    <t>Κ.16</t>
  </si>
  <si>
    <t>Κ.17</t>
  </si>
  <si>
    <t>Κ.18</t>
  </si>
  <si>
    <t>Συντελεστής Απώλειας Grout Αγκυρώσεων</t>
  </si>
  <si>
    <t>Κ.19</t>
  </si>
  <si>
    <t>Πρόσθετο Μήκος Τένοντα εκτός Μετώπου (για τάνυση/κεφαλή)</t>
  </si>
  <si>
    <t>Κ.20</t>
  </si>
  <si>
    <t>Τυπικό Βάρος Τένοντα Προέντασης 0.6'' (15.2mm)</t>
  </si>
  <si>
    <t>TYPE A</t>
  </si>
  <si>
    <t>A.in.1</t>
  </si>
  <si>
    <t>Πλήθος Πασσάλων / Ζευγών HEB 220 (Type A)</t>
  </si>
  <si>
    <t>No</t>
  </si>
  <si>
    <t>Σχέδιο ΘΕΜ/1 (Κάτοψη — Βέλη Αγκυρώσεων)</t>
  </si>
  <si>
    <t>A.in.2</t>
  </si>
  <si>
    <t>τρ.μ.</t>
  </si>
  <si>
    <t>Σχέδιο ΘΕΜ/1 (Intervals)</t>
  </si>
  <si>
    <t>A.in.3</t>
  </si>
  <si>
    <t>Ελεύθερο Ύψος Εκσκαφής Type A (H_exc_A)</t>
  </si>
  <si>
    <t>Σχέδιο ΘΕΜ/6, Τομή Τοίχου Α</t>
  </si>
  <si>
    <t>A.in.4</t>
  </si>
  <si>
    <t>Ύψος Πάκτωσης Σκυροδέματος Νέφκας Type A (H_embed_A)</t>
  </si>
  <si>
    <t>A.in.5</t>
  </si>
  <si>
    <t>Συνολικό Μήκος Νέφκας Χάλυβα Μελέτης Type A (L_beam_A)</t>
  </si>
  <si>
    <t>A.in.6</t>
  </si>
  <si>
    <t>Ύψος Εκσκαφής / Διάτρησης Νέφκας βάσει WPL / Cut-Off Level (Type A)</t>
  </si>
  <si>
    <t>A.in.7</t>
  </si>
  <si>
    <t>Αγκύρωση Σειρά 1 (στο -2.00m): Μήκος Διάτρησης L1</t>
  </si>
  <si>
    <t>A.in.8</t>
  </si>
  <si>
    <t>Αγκύρωση Σειρά 1 (στο -2.00m): Καλώδια (Strands)</t>
  </si>
  <si>
    <t>καλώδια</t>
  </si>
  <si>
    <t>A.in.9</t>
  </si>
  <si>
    <t>Αγκύρωση Σειρά 2 (στο -6.00m): Μήκος Διάτρησης L2</t>
  </si>
  <si>
    <t>A.in.10</t>
  </si>
  <si>
    <t>Αγκύρωση Σειρά 2 (στο -6.00m): Καλώδια (Strands)</t>
  </si>
  <si>
    <t>A.in.11</t>
  </si>
  <si>
    <t>Αγκύρωση Σειρά 3 (στο -9.50m): Μήκος Διάτρησης L3</t>
  </si>
  <si>
    <t>A.in.12</t>
  </si>
  <si>
    <t>Αγκύρωση Σειρά 3 (στο -9.50m): Καλώδια (Strands)</t>
  </si>
  <si>
    <t>A.in.13</t>
  </si>
  <si>
    <t>Αγκύρωση Σειρά 4 (στο -13.50m): Μήκος Διάτρησης L4</t>
  </si>
  <si>
    <t>A.in.14</t>
  </si>
  <si>
    <t>Αγκύρωση Σειρά 4 (στο -13.50m): Καλώδια (Strands)</t>
  </si>
  <si>
    <t>TYPE B</t>
  </si>
  <si>
    <t>B.in.1</t>
  </si>
  <si>
    <t>Πλήθος Πασσάλων / Ζευγών HEB 200 (Type B)</t>
  </si>
  <si>
    <t>B.in.2</t>
  </si>
  <si>
    <t>B.in.3</t>
  </si>
  <si>
    <t>Ελεύθερο Ύψος Εκσκαφής Type B (H_exc_B)</t>
  </si>
  <si>
    <t>Σχέδιο ΘΕΜ/6, Τομή Τοίχου Β</t>
  </si>
  <si>
    <t>B.in.4</t>
  </si>
  <si>
    <t>Ύψος Πάκτωσης Σκυροδέματος Νέφκας Type B (H_embed_B)</t>
  </si>
  <si>
    <t>B.in.5</t>
  </si>
  <si>
    <t>Συνολικό Μήκος Νέφκας Χάλυβα Μελέτης Type B (L_beam_B)</t>
  </si>
  <si>
    <t>B.in.6</t>
  </si>
  <si>
    <t>Ύψος Εκσκαφής / Διάτρησης Νέφκας βάσει WPL / Cut-Off Level (Type B)</t>
  </si>
  <si>
    <t>B.in.7</t>
  </si>
  <si>
    <t>B.in.8</t>
  </si>
  <si>
    <t>B.in.9</t>
  </si>
  <si>
    <t>B.in.10</t>
  </si>
  <si>
    <t>B.in.11</t>
  </si>
  <si>
    <t>B.in.12</t>
  </si>
  <si>
    <t>B.in.13</t>
  </si>
  <si>
    <t>Αγκύρωση Σειρά 4 (στο -12.50m): Μήκος Διάτρησης L4</t>
  </si>
  <si>
    <t>B.in.14</t>
  </si>
  <si>
    <t>Αγκύρωση Σειρά 4 (στο -12.50m): Καλώδια (Strands)</t>
  </si>
  <si>
    <t>TYPE C</t>
  </si>
  <si>
    <t>C.in.1</t>
  </si>
  <si>
    <t>Πλήθος Πασσάλων / Ζευγών HEB 200 (Type C)</t>
  </si>
  <si>
    <t>C.in.2</t>
  </si>
  <si>
    <t>C.in.3</t>
  </si>
  <si>
    <t>Ελεύθερο Ύψος Εκσκαφής Type C (H_exc_C)</t>
  </si>
  <si>
    <t>Σχέδιο ΘΕΜ/6, Τομή Τοίχου Γ</t>
  </si>
  <si>
    <t>C.in.4</t>
  </si>
  <si>
    <t>Ύψος Πάκτωσης Σκυροδέματος Νέφκας Type C (H_embed_C)</t>
  </si>
  <si>
    <t>C.in.5</t>
  </si>
  <si>
    <t>Συνολικό Μήκος Νέφκας Χάλυβα Μελέτης Type C (L_beam_C)</t>
  </si>
  <si>
    <t>C.in.6</t>
  </si>
  <si>
    <t>Ύψος Εκσκαφής / Διάτρησης Νέφκας βάσει WPL / Cut-Off Level (Type C)</t>
  </si>
  <si>
    <t>C.in.7</t>
  </si>
  <si>
    <t>C.in.8</t>
  </si>
  <si>
    <t>C.in.9</t>
  </si>
  <si>
    <t>C.in.10</t>
  </si>
  <si>
    <t>C.in.11</t>
  </si>
  <si>
    <t>C.in.12</t>
  </si>
  <si>
    <t>ΚΕΦΑΛΑΙΟ Β: ΥΠΟΛΟΓΙΣΜΟΙ ΦΥΣΙΚΩΝ ΠΟΣΟΤΗΤΩΝ ΑΝΑ ΤΥΠΟ ΤΟΙΧΟΥ (1-ΠΡΟΣ-1 ΑΝΤΙΣΤΟΙΧΙΑ ΜΕ ΤΑ ΚΟΥΤΙΑ ΤΟΥ ΦΥΛΛΟΥ 2)</t>
  </si>
  <si>
    <t>ΠΕΡΙΓΡΑΦΗ ΥΠΟΛΟΓΙΣΜΟΥ ΠΟΣΟΤΗΤΑΣ</t>
  </si>
  <si>
    <t>ΠΟΣΟΤΗΤΑ</t>
  </si>
  <si>
    <t>ΔΥΝΑΜΙΚΟΣ ΤΥΠΟΣ &amp; ΕΠΕΞΗΓΗΣΗ</t>
  </si>
  <si>
    <t>ΣΤΑΘ.</t>
  </si>
  <si>
    <t>Β.0 ΒΟΗΘΗΤΙΚΕΣ ΦΥΣΙΚΕΣ ΣΤΑΘΕΡΕΣ ΜΟΝΑΔΑΣ (Διατομή Οπής, Βάρος Σχάρας ανά m², Όγκος Grout ανά m, % Απώλεια Shotcrete)</t>
  </si>
  <si>
    <t>Σ.1</t>
  </si>
  <si>
    <t>m³/m</t>
  </si>
  <si>
    <t>Σ.2</t>
  </si>
  <si>
    <t>kg/m²</t>
  </si>
  <si>
    <t>Σ.3</t>
  </si>
  <si>
    <t>Σ.4</t>
  </si>
  <si>
    <t>%</t>
  </si>
  <si>
    <t>Όλες οι ποσότητες A.1–A.15 μεταφέρονται 1-προς-1 στο Κουτί TYPE A του Φύλλου 2</t>
  </si>
  <si>
    <t>A.1</t>
  </si>
  <si>
    <t>A.2</t>
  </si>
  <si>
    <t>m³</t>
  </si>
  <si>
    <t>A.3</t>
  </si>
  <si>
    <t>kg</t>
  </si>
  <si>
    <t>Ξεχωριστό κουτάκι HEB 220 (Κανόνας 3.6 — με μήκος νέφκας L_beam)</t>
  </si>
  <si>
    <t>A.4</t>
  </si>
  <si>
    <t>A.5</t>
  </si>
  <si>
    <t>A.6</t>
  </si>
  <si>
    <t>A.7</t>
  </si>
  <si>
    <t>m²</t>
  </si>
  <si>
    <t>Εμβαδόν μετώπου εκσκαφής Type A</t>
  </si>
  <si>
    <t>A.8</t>
  </si>
  <si>
    <t>A.9</t>
  </si>
  <si>
    <t>Εφαρμογή εκτοξευόμενου σκυροδέματος Type A</t>
  </si>
  <si>
    <t>A.10</t>
  </si>
  <si>
    <t>A.11</t>
  </si>
  <si>
    <t>Grout πλήρωσης οπών αγκυρώσεων Type A</t>
  </si>
  <si>
    <t>A.12</t>
  </si>
  <si>
    <t>A.13</t>
  </si>
  <si>
    <t>A.14</t>
  </si>
  <si>
    <t>A.15</t>
  </si>
  <si>
    <t>Όλες οι ποσότητες B.1–B.15 μεταφέρονται 1-προς-1 στο Κουτί TYPE B του Φύλλου 2</t>
  </si>
  <si>
    <t>B.1</t>
  </si>
  <si>
    <t>B.2</t>
  </si>
  <si>
    <t>B.3</t>
  </si>
  <si>
    <t>Ξεχωριστό κουτάκι HEB 200 για Type B (Κανόνας 3.6 — με μήκος νέφκας L_beam)</t>
  </si>
  <si>
    <t>B.4</t>
  </si>
  <si>
    <t>B.5</t>
  </si>
  <si>
    <t>B.6</t>
  </si>
  <si>
    <t>B.7</t>
  </si>
  <si>
    <t>Εμβαδόν μετώπου εκσκαφής Type B</t>
  </si>
  <si>
    <t>B.8</t>
  </si>
  <si>
    <t>B.9</t>
  </si>
  <si>
    <t>Εφαρμογή εκτοξευόμενου σκυροδέματος Type B</t>
  </si>
  <si>
    <t>B.10</t>
  </si>
  <si>
    <t>B.11</t>
  </si>
  <si>
    <t>Grout πλήρωσης οπών αγκυρώσεων Type B</t>
  </si>
  <si>
    <t>B.12</t>
  </si>
  <si>
    <t>B.13</t>
  </si>
  <si>
    <t>B.14</t>
  </si>
  <si>
    <t>B.15</t>
  </si>
  <si>
    <t>Όλες οι ποσότητες C.1–C.14 μεταφέρονται 1-προς-1 στο Κουτί TYPE C του Φύλλου 2</t>
  </si>
  <si>
    <t>C.1</t>
  </si>
  <si>
    <t>C.2</t>
  </si>
  <si>
    <t>C.3</t>
  </si>
  <si>
    <t>Ξεχωριστό κουτάκι HEB 200 για Type C (Κανόνας 3.6 — με μήκος νέφκας L_beam)</t>
  </si>
  <si>
    <t>C.4</t>
  </si>
  <si>
    <t>C.5</t>
  </si>
  <si>
    <t>C.6</t>
  </si>
  <si>
    <t>C.7</t>
  </si>
  <si>
    <t>Εμβαδόν μετώπου εκσκαφής Type C</t>
  </si>
  <si>
    <t>C.8</t>
  </si>
  <si>
    <t>C.9</t>
  </si>
  <si>
    <t>Εφαρμογή εκτοξευόμενου σκυροδέματος Type C</t>
  </si>
  <si>
    <t>C.10</t>
  </si>
  <si>
    <t>C.11</t>
  </si>
  <si>
    <t>Grout πλήρωσης οπών αγκυρώσεων Type C</t>
  </si>
  <si>
    <t>C.12</t>
  </si>
  <si>
    <t>C.13</t>
  </si>
  <si>
    <t>C.14</t>
  </si>
  <si>
    <t>ΣΥΝΟΛΑ</t>
  </si>
  <si>
    <t>ΚΟΥΤΙ Β.4 — ΣΤΡΑΤΕΣ ΜΕΤΑΚΙΝΗΣΗΣ &amp; ΣΥΓΚΕΝΤΡΩΤΙΚΕΣ ΠΟΣΟΤΗΤΕΣ ΕΡΓΟΥ (TYPE A + TYPE B + TYPE C)</t>
  </si>
  <si>
    <t>M.1</t>
  </si>
  <si>
    <t>Στράτες Μεγάλου Τρυπανιού (Piling Rig)</t>
  </si>
  <si>
    <t>στράτες</t>
  </si>
  <si>
    <t>M.2</t>
  </si>
  <si>
    <t>Στράτες Εξοπλισμού Αγκυρώσεων (όσες οι μέγιστες σειρές)</t>
  </si>
  <si>
    <t>M.3</t>
  </si>
  <si>
    <t>Στράτες Συνεργείου &amp; Αντλίας Shotcrete (σειρές + 1)</t>
  </si>
  <si>
    <t>ΣΥΝ.1</t>
  </si>
  <si>
    <t>ΣΥΝΟΛΙΚΟ ΠΛΗΘΟΣ ΠΑΣΣΑΛΩΝ / ΟΠΩΝ ΕΡΓΟΥ (Type A + B + C)</t>
  </si>
  <si>
    <t>ΣΥΝ.2</t>
  </si>
  <si>
    <t>ΣΥΝΟΛΙΚΟ ΜΗΚΟΣ ΠΕΡΙΜΕΤΡΟΥ ΕΡΓΟΥ (Type A + B + C)</t>
  </si>
  <si>
    <t>ΣΥΝ.3</t>
  </si>
  <si>
    <t>ΣΥΝΟΛΙΚΟ ΕΜΒΑΔΟΝ ΜΕΤΩΠΟΥ ΕΚΣΚΑΦΗΣ (Type A + B + C)</t>
  </si>
  <si>
    <t>ΣΥΝ.4</t>
  </si>
  <si>
    <t>ΣΥΝ.4α</t>
  </si>
  <si>
    <t>ΣΥΝ.5</t>
  </si>
  <si>
    <t>ΣΥΝ.6</t>
  </si>
  <si>
    <t>ΣΥΝΟΛΙΚΟ ΒΑΡΟΣ ΝΕΦΚΩΝ HEB 220 (Type A)</t>
  </si>
  <si>
    <t>ΣΥΝ.7</t>
  </si>
  <si>
    <t>ΣΥΝΟΛΙΚΟ ΒΑΡΟΣ ΝΕΦΚΩΝ HEB 200 (Type B + Type C)</t>
  </si>
  <si>
    <t>ΣΥΝ.8</t>
  </si>
  <si>
    <t>ΣΥΝ.9</t>
  </si>
  <si>
    <t>ΣΥΝΟΛΙΚΟ ΒΑΡΟΣ ΓΩΝΙΩΝ ΣΤΗΡΙΞΗΣ L 70x70x6mm</t>
  </si>
  <si>
    <t>ΣΥΝ.10</t>
  </si>
  <si>
    <t>ΣΥΝ.11</t>
  </si>
  <si>
    <t>ΣΥΝ.12</t>
  </si>
  <si>
    <t>ΣΥΝ.13</t>
  </si>
  <si>
    <t>ΣΥΝ.14</t>
  </si>
  <si>
    <t>ΣΥΝ.15</t>
  </si>
  <si>
    <t>ΕΡΓΟ: BOLTON TOWER (BERLIN WALL &amp; ΑΓΚΥΡΩΣΕΙΣ) — ΟΙΚΟΝΟΜΙΚΗ ΠΡΟΣΦΟΡΑ ΑΝΑ ΤΥΠΟ ΤΟΙΧΟΥ (TYPE A, TYPE B, TYPE C)</t>
  </si>
  <si>
    <t>ΕΚΔΟΣΗ ΚΑΝΟΝΩΝ v8 (BOX LAYOUT) | [ΚΙΤΡΙΝΟ #FFF2CC] = Τιμές Μονάδας Εταιρείας | [ΠΟΡΤΟΚΑΛΙ #FFE699] = Κουγκρί Πάκτωσης 120€ | Χωρίς Φ.Π.Α.</t>
  </si>
  <si>
    <t>ΠΕΡΙΓΡΑΦΗ ΕΡΓΑΣΙΩΝ</t>
  </si>
  <si>
    <t>ΤΙΜΗ (€)</t>
  </si>
  <si>
    <t>ΣΥΝΟΛΟ (€)</t>
  </si>
  <si>
    <t>ΤΕΛΙΚΟ ΠΟΣΟ (€)</t>
  </si>
  <si>
    <t>ΠΗΓΗ ΠΟΣΟΤΗΤΑΣ / ΤΕΧΝΙΚΟΣ ΚΑΝΟΝΑΣ &amp; ΣΗΜΕΙΩΣΕΙΣ</t>
  </si>
  <si>
    <t>ΤΕΛ. ΣΥΝΟΛΑ</t>
  </si>
  <si>
    <t>ΠΥΛ. 1</t>
  </si>
  <si>
    <t>Σύνολο Πυλώνα 1 (Μετακινήσεις Μεγάλου Τρυπανιού, Αγκυρώσεων &amp; Shotcrete)</t>
  </si>
  <si>
    <t>ΣΥΓΚΕΝΤΡΩΤΙΚΟΣ ΠΙΝΑΚΑΣ ΕΡΓΟΥ (ΑΝΑ ΤΥΠΟ BERLIN WALL &amp; ΑΝΑ ΠΥΛΩΝΑ) — ΤΕΛΙΚΟ ΣΥΝΟΛΟ &amp; KPIs</t>
  </si>
  <si>
    <t>ΣΥΝΟΛΟ ΜΕΤΑΚΙΝΗΣΕΩΝ ΕΡΓΟΥ (Μεγάλο Τρυπάνι + Αγκυρώσεις + Shotcrete)</t>
  </si>
  <si>
    <t>ΠΥΛ. 2</t>
  </si>
  <si>
    <t>Άθροισμα A.6–A.9 + B.6–B.9 + C.6–C.9</t>
  </si>
  <si>
    <t>ΠΥΛ. 3</t>
  </si>
  <si>
    <t>Cross-Check Πυλώνα 3: Σύνολο H-Beams / Νεφκών HEB 220 &amp; HEB 200 (Type A+B+C)</t>
  </si>
  <si>
    <t>πάσσαλοι</t>
  </si>
  <si>
    <t>Άθροισμα A.1–A.5 + B.1–B.5 + C.1–C.5</t>
  </si>
  <si>
    <t>ΠΥΛ. 4</t>
  </si>
  <si>
    <t>αγκυρώσεις</t>
  </si>
  <si>
    <t>Άθροισμα A.10–A.15 + B.10–B.15 + C.10–C.14</t>
  </si>
  <si>
    <t>ΤΕΛΙΚΟ</t>
  </si>
  <si>
    <t>ΤΕΛΙΚΟ ΣΥΝΟΛΟ ΠΡΟΣΦΟΡΑΣ BERLIN WALL (TYPE A + TYPE B + TYPE C + ΜΕΤΑΚΙΝΗΣΕΙΣ)</t>
  </si>
  <si>
    <t>ΒΑΣΙΚΟΙ ΔΕΙΚΤΕΣ ΚΟΣΤΟΥΣ &amp; VALUE ENGINEERING (KPIs)</t>
  </si>
  <si>
    <t>KPI 1</t>
  </si>
  <si>
    <t>Συνολικό Κόστος ανά m² Μετώπου Εκσκαφής</t>
  </si>
  <si>
    <t>€ / m²</t>
  </si>
  <si>
    <t>KPI 2</t>
  </si>
  <si>
    <t>Συνολικό Κόστος ανά Τρέχον Μέτρο Περιμέτρου</t>
  </si>
  <si>
    <t>€ / τρ.μ.</t>
  </si>
  <si>
    <t>KPI 3</t>
  </si>
  <si>
    <t>Συνολικό Κόστος ανά Πάσσαλο / Οπή Berlin Wall</t>
  </si>
  <si>
    <t>€ / πάσσαλο</t>
  </si>
  <si>
    <t>KPI 4</t>
  </si>
  <si>
    <t>€ / αγκύρωση</t>
  </si>
  <si>
    <t>ΒΙΒΛΙΟΘΗΚΗ ΔΙΑΤΟΜΩΝ ΧΑΛΥΒΑ (EUROPEAN STRUCTURAL STEEL PROFILES)</t>
  </si>
  <si>
    <t>Τεχνικά χαρακτηριστικά &amp; βάρη ανά μέτρο για διατομές HEA, HEB, UPN &amp; Γωνιών (L)</t>
  </si>
  <si>
    <t>1. ΔΙΑΤΟΜΕΣ HEA (Ευρωπαϊκά Πλατύπελμα Ελαφρού Τύπου)</t>
  </si>
  <si>
    <t>Ονομασία Διατομής</t>
  </si>
  <si>
    <t>Ύψος h (mm)</t>
  </si>
  <si>
    <t>Πλάτος b (mm)</t>
  </si>
  <si>
    <t>Πάχος tw (mm)</t>
  </si>
  <si>
    <t>Πάχος tf (mm)</t>
  </si>
  <si>
    <t>Διατομή A (cm²)</t>
  </si>
  <si>
    <t>Βάρος (kg / m)</t>
  </si>
  <si>
    <t>HEA 140</t>
  </si>
  <si>
    <t>HEA 160</t>
  </si>
  <si>
    <t>HEA 180</t>
  </si>
  <si>
    <t>HEA 200</t>
  </si>
  <si>
    <t>HEA 220</t>
  </si>
  <si>
    <t>HEA 240</t>
  </si>
  <si>
    <t>HEA 260</t>
  </si>
  <si>
    <t>HEA 280</t>
  </si>
  <si>
    <t>HEA 300</t>
  </si>
  <si>
    <t>2. ΔΙΑΤΟΜΕΣ HEB (Ευρωπαϊκά Πλατύπελμα Κανονικού Τύπου)</t>
  </si>
  <si>
    <t>HEB 140</t>
  </si>
  <si>
    <t>HEB 160</t>
  </si>
  <si>
    <t>HEB 180</t>
  </si>
  <si>
    <t>HEB 200</t>
  </si>
  <si>
    <t>HEB 220</t>
  </si>
  <si>
    <t>HEB 240</t>
  </si>
  <si>
    <t>HEB 260</t>
  </si>
  <si>
    <t>HEB 280</t>
  </si>
  <si>
    <t>HEB 300</t>
  </si>
  <si>
    <t>3. ΔΙΑΤΟΜΕΣ UPN (Ευρωπαϊκά Κοίλα Προφίλ U)</t>
  </si>
  <si>
    <t>UPN 140</t>
  </si>
  <si>
    <t>UPN 160</t>
  </si>
  <si>
    <t>UPN 180</t>
  </si>
  <si>
    <t>UPN 200</t>
  </si>
  <si>
    <t>UPN 220</t>
  </si>
  <si>
    <t>UPN 240</t>
  </si>
  <si>
    <t>UPN 260</t>
  </si>
  <si>
    <t>UPN 280</t>
  </si>
  <si>
    <t>UPN 300</t>
  </si>
  <si>
    <t>4. ΙΣΟΣΚΕΛΕΙΣ ΓΩΝΙΕΣ (Equal Angles L)</t>
  </si>
  <si>
    <t>L 50x50x5</t>
  </si>
  <si>
    <t>L 60x60x6</t>
  </si>
  <si>
    <t>L 70x70x6</t>
  </si>
  <si>
    <t>L 70x70x7</t>
  </si>
  <si>
    <t>L 80x80x8</t>
  </si>
  <si>
    <t>L 90x90x9</t>
  </si>
  <si>
    <t>L 100x100x10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</si>
</sst>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0.000"/>
    <numFmt numFmtId="166" formatCode="0.0000"/>
    <numFmt numFmtId="167" formatCode="0.000000"/>
    <numFmt numFmtId="168" formatCode="0.0%"/>
  </numFmts>
  <fonts count="14" x14ac:knownFonts="1">
    <font>
      <sz val="11"/>
      <color theme="1"/>
      <name val="Calibri"/>
      <family val="2"/>
      <scheme val="minor"/>
    </font>
    <font>
      <b/>
      <sz val="13"/>
      <color rgb="FF1F497D"/>
      <name val="Segoe UI"/>
    </font>
    <font>
      <i/>
      <sz val="9.5"/>
      <color rgb="FF595959"/>
      <name val="Segoe UI"/>
    </font>
    <font>
      <b/>
      <sz val="11"/>
      <color rgb="FFFFFFFF"/>
      <name val="Segoe UI"/>
    </font>
    <font>
      <b/>
      <sz val="10"/>
      <color rgb="FF000000"/>
      <name val="Segoe UI"/>
    </font>
    <font>
      <b/>
      <sz val="10.5"/>
      <color rgb="FF000000"/>
      <name val="Segoe UI"/>
    </font>
    <font>
      <sz val="10"/>
      <color rgb="FF000000"/>
      <name val="Segoe UI"/>
    </font>
    <font>
      <i/>
      <sz val="9.5"/>
      <color rgb="FF333333"/>
      <name val="Segoe UI"/>
    </font>
    <font>
      <b/>
      <sz val="10"/>
      <color rgb="FF9C0006"/>
      <name val="Segoe UI"/>
    </font>
    <font>
      <b/>
      <sz val="9.5"/>
      <color rgb="FF9C0006"/>
      <name val="Segoe UI"/>
    </font>
    <font>
      <b/>
      <sz val="10"/>
      <color rgb="FF1F497D"/>
      <name val="Segoe UI"/>
    </font>
    <font>
      <b/>
      <sz val="11"/>
      <color rgb="FF274E13"/>
      <name val="Segoe UI"/>
    </font>
    <font>
      <b/>
      <sz val="11.5"/>
      <color rgb="FF000000"/>
      <name val="Segoe UI"/>
    </font>
    <font>
      <b/>
      <sz val="12"/>
      <color rgb="FF000000"/>
      <name val="Segoe UI"/>
    </font>
  </fonts>
  <fills count="13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D9D9D9"/>
        <bgColor rgb="FFD9D9D9"/>
      </patternFill>
    </fill>
    <fill>
      <patternFill patternType="solid">
        <fgColor rgb="FFDCE6F1"/>
        <bgColor rgb="FFDCE6F1"/>
      </patternFill>
    </fill>
    <fill>
      <patternFill patternType="solid">
        <fgColor rgb="FFE2EFDA"/>
        <bgColor rgb="FFE2EFDA"/>
      </patternFill>
    </fill>
    <fill>
      <patternFill patternType="solid">
        <fgColor rgb="FFF2F2F2"/>
        <bgColor rgb="FFF2F2F2"/>
      </patternFill>
    </fill>
    <fill>
      <patternFill patternType="solid">
        <fgColor rgb="FFFFC7CE"/>
        <bgColor rgb="FFFFC7CE"/>
      </patternFill>
    </fill>
    <fill>
      <patternFill patternType="solid">
        <fgColor rgb="FFEDF2F8"/>
        <bgColor rgb="FFEDF2F8"/>
      </patternFill>
    </fill>
    <fill>
      <patternFill patternType="solid">
        <fgColor rgb="FFC6EFCE"/>
        <bgColor rgb="FFC6EFCE"/>
      </patternFill>
    </fill>
    <fill>
      <patternFill patternType="solid">
        <fgColor rgb="FFFFF2CC"/>
        <bgColor rgb="FFFFF2CC"/>
      </patternFill>
    </fill>
    <fill>
      <patternFill patternType="solid">
        <fgColor rgb="FFFFE699"/>
        <bgColor rgb="FFFFE699"/>
      </patternFill>
    </fill>
    <fill>
      <patternFill patternType="solid">
        <fgColor rgb="FFA9D08E"/>
        <bgColor rgb="FFA9D08E"/>
      </patternFill>
    </fill>
  </fills>
  <borders count="20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medium">
        <color rgb="FF000000"/>
      </left>
      <right style="thin">
        <color rgb="FF808080"/>
      </right>
      <top style="medium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medium">
        <color rgb="FF000000"/>
      </top>
      <bottom style="thin">
        <color rgb="FF808080"/>
      </bottom>
      <diagonal/>
    </border>
    <border>
      <left style="thin">
        <color rgb="FF808080"/>
      </left>
      <right style="medium">
        <color rgb="FF000000"/>
      </right>
      <top style="medium">
        <color rgb="FF000000"/>
      </top>
      <bottom style="thin">
        <color rgb="FF808080"/>
      </bottom>
      <diagonal/>
    </border>
    <border>
      <left style="medium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medium">
        <color rgb="FF000000"/>
      </right>
      <top style="thin">
        <color rgb="FF808080"/>
      </top>
      <bottom style="thin">
        <color rgb="FF808080"/>
      </bottom>
      <diagonal/>
    </border>
    <border>
      <left style="medium">
        <color rgb="FF000000"/>
      </left>
      <right style="thin">
        <color rgb="FF808080"/>
      </right>
      <top style="thin">
        <color rgb="FF808080"/>
      </top>
      <bottom style="medium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medium">
        <color rgb="FF000000"/>
      </bottom>
      <diagonal/>
    </border>
    <border>
      <left style="thin">
        <color rgb="FF808080"/>
      </left>
      <right style="medium">
        <color rgb="FF000000"/>
      </right>
      <top style="thin">
        <color rgb="FF80808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80808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808080"/>
      </top>
      <bottom style="medium">
        <color rgb="FF00000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08">
    <xf numFmtId="0" fontId="0" fillId="0" borderId="0" xfId="0"/>
    <xf numFmtId="0" fontId="1" fillId="0" borderId="0" xfId="0" applyFont="1"/>
    <xf numFmtId="0" fontId="2" fillId="0" borderId="0" xfId="0" applyFont="1"/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4" borderId="3" xfId="0" applyFont="1" applyFill="1" applyBorder="1"/>
    <xf numFmtId="0" fontId="4" fillId="0" borderId="5" xfId="0" applyFont="1" applyBorder="1" applyAlignment="1">
      <alignment horizontal="center" vertical="center" wrapText="1"/>
    </xf>
    <xf numFmtId="0" fontId="6" fillId="0" borderId="1" xfId="0" applyFont="1" applyBorder="1"/>
    <xf numFmtId="0" fontId="6" fillId="5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/>
    <xf numFmtId="0" fontId="7" fillId="0" borderId="6" xfId="0" applyFont="1" applyBorder="1"/>
    <xf numFmtId="1" fontId="4" fillId="5" borderId="1" xfId="0" applyNumberFormat="1" applyFont="1" applyFill="1" applyBorder="1" applyAlignment="1">
      <alignment horizontal="right" vertical="center"/>
    </xf>
    <xf numFmtId="2" fontId="4" fillId="5" borderId="1" xfId="0" applyNumberFormat="1" applyFont="1" applyFill="1" applyBorder="1" applyAlignment="1">
      <alignment horizontal="right" vertical="center"/>
    </xf>
    <xf numFmtId="164" fontId="4" fillId="5" borderId="1" xfId="0" applyNumberFormat="1" applyFont="1" applyFill="1" applyBorder="1" applyAlignment="1">
      <alignment horizontal="right" vertical="center"/>
    </xf>
    <xf numFmtId="0" fontId="4" fillId="0" borderId="1" xfId="0" applyFont="1" applyBorder="1"/>
    <xf numFmtId="165" fontId="4" fillId="6" borderId="1" xfId="0" applyNumberFormat="1" applyFont="1" applyFill="1" applyBorder="1" applyAlignment="1">
      <alignment horizontal="right" vertical="center"/>
    </xf>
    <xf numFmtId="0" fontId="4" fillId="0" borderId="7" xfId="0" applyFont="1" applyBorder="1" applyAlignment="1">
      <alignment horizontal="center" vertical="center" wrapText="1"/>
    </xf>
    <xf numFmtId="0" fontId="6" fillId="0" borderId="8" xfId="0" applyFont="1" applyBorder="1"/>
    <xf numFmtId="2" fontId="4" fillId="5" borderId="8" xfId="0" applyNumberFormat="1" applyFont="1" applyFill="1" applyBorder="1" applyAlignment="1">
      <alignment horizontal="right" vertical="center"/>
    </xf>
    <xf numFmtId="0" fontId="6" fillId="0" borderId="8" xfId="0" applyFont="1" applyBorder="1" applyAlignment="1">
      <alignment horizontal="center" vertical="center" wrapText="1"/>
    </xf>
    <xf numFmtId="0" fontId="7" fillId="0" borderId="8" xfId="0" applyFont="1" applyBorder="1"/>
    <xf numFmtId="0" fontId="7" fillId="0" borderId="9" xfId="0" applyFont="1" applyBorder="1"/>
    <xf numFmtId="2" fontId="4" fillId="6" borderId="1" xfId="0" applyNumberFormat="1" applyFont="1" applyFill="1" applyBorder="1" applyAlignment="1">
      <alignment horizontal="right" vertical="center"/>
    </xf>
    <xf numFmtId="0" fontId="8" fillId="0" borderId="5" xfId="0" applyFont="1" applyBorder="1" applyAlignment="1">
      <alignment horizontal="center" vertical="center" wrapText="1"/>
    </xf>
    <xf numFmtId="0" fontId="8" fillId="0" borderId="1" xfId="0" applyFont="1" applyBorder="1"/>
    <xf numFmtId="2" fontId="8" fillId="7" borderId="1" xfId="0" applyNumberFormat="1" applyFont="1" applyFill="1" applyBorder="1" applyAlignment="1">
      <alignment horizontal="right" vertical="center"/>
    </xf>
    <xf numFmtId="0" fontId="9" fillId="0" borderId="1" xfId="0" applyFont="1" applyBorder="1"/>
    <xf numFmtId="0" fontId="9" fillId="0" borderId="6" xfId="0" applyFont="1" applyBorder="1"/>
    <xf numFmtId="1" fontId="4" fillId="5" borderId="8" xfId="0" applyNumberFormat="1" applyFont="1" applyFill="1" applyBorder="1" applyAlignment="1">
      <alignment horizontal="right" vertical="center"/>
    </xf>
    <xf numFmtId="0" fontId="5" fillId="8" borderId="2" xfId="0" applyFont="1" applyFill="1" applyBorder="1" applyAlignment="1">
      <alignment horizontal="center" vertical="center" wrapText="1"/>
    </xf>
    <xf numFmtId="166" fontId="4" fillId="6" borderId="1" xfId="0" applyNumberFormat="1" applyFont="1" applyFill="1" applyBorder="1" applyAlignment="1">
      <alignment horizontal="right" vertical="center"/>
    </xf>
    <xf numFmtId="167" fontId="4" fillId="6" borderId="1" xfId="0" applyNumberFormat="1" applyFont="1" applyFill="1" applyBorder="1" applyAlignment="1">
      <alignment horizontal="right" vertical="center"/>
    </xf>
    <xf numFmtId="168" fontId="4" fillId="6" borderId="8" xfId="0" applyNumberFormat="1" applyFont="1" applyFill="1" applyBorder="1" applyAlignment="1">
      <alignment horizontal="right" vertical="center"/>
    </xf>
    <xf numFmtId="4" fontId="5" fillId="4" borderId="3" xfId="0" applyNumberFormat="1" applyFont="1" applyFill="1" applyBorder="1" applyAlignment="1">
      <alignment horizontal="right" vertical="center"/>
    </xf>
    <xf numFmtId="0" fontId="5" fillId="4" borderId="3" xfId="0" applyFont="1" applyFill="1" applyBorder="1" applyAlignment="1">
      <alignment horizontal="center" vertical="center" wrapText="1"/>
    </xf>
    <xf numFmtId="0" fontId="7" fillId="4" borderId="3" xfId="0" applyFont="1" applyFill="1" applyBorder="1"/>
    <xf numFmtId="0" fontId="7" fillId="4" borderId="4" xfId="0" applyFont="1" applyFill="1" applyBorder="1"/>
    <xf numFmtId="4" fontId="4" fillId="6" borderId="1" xfId="0" applyNumberFormat="1" applyFont="1" applyFill="1" applyBorder="1" applyAlignment="1">
      <alignment horizontal="right" vertical="center"/>
    </xf>
    <xf numFmtId="3" fontId="4" fillId="6" borderId="1" xfId="0" applyNumberFormat="1" applyFont="1" applyFill="1" applyBorder="1" applyAlignment="1">
      <alignment horizontal="right" vertical="center"/>
    </xf>
    <xf numFmtId="3" fontId="4" fillId="6" borderId="8" xfId="0" applyNumberFormat="1" applyFont="1" applyFill="1" applyBorder="1" applyAlignment="1">
      <alignment horizontal="right" vertical="center"/>
    </xf>
    <xf numFmtId="0" fontId="5" fillId="9" borderId="2" xfId="0" applyFont="1" applyFill="1" applyBorder="1" applyAlignment="1">
      <alignment horizontal="center" vertical="center" wrapText="1"/>
    </xf>
    <xf numFmtId="1" fontId="4" fillId="6" borderId="1" xfId="0" applyNumberFormat="1" applyFont="1" applyFill="1" applyBorder="1" applyAlignment="1">
      <alignment horizontal="right" vertical="center"/>
    </xf>
    <xf numFmtId="3" fontId="11" fillId="9" borderId="1" xfId="0" applyNumberFormat="1" applyFont="1" applyFill="1" applyBorder="1" applyAlignment="1">
      <alignment horizontal="right" vertical="center"/>
    </xf>
    <xf numFmtId="4" fontId="11" fillId="9" borderId="1" xfId="0" applyNumberFormat="1" applyFont="1" applyFill="1" applyBorder="1" applyAlignment="1">
      <alignment horizontal="right" vertical="center"/>
    </xf>
    <xf numFmtId="0" fontId="4" fillId="0" borderId="8" xfId="0" applyFont="1" applyBorder="1"/>
    <xf numFmtId="4" fontId="11" fillId="9" borderId="8" xfId="0" applyNumberFormat="1" applyFont="1" applyFill="1" applyBorder="1" applyAlignment="1">
      <alignment horizontal="right" vertical="center"/>
    </xf>
    <xf numFmtId="0" fontId="4" fillId="3" borderId="10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left" vertical="center" wrapText="1"/>
    </xf>
    <xf numFmtId="0" fontId="5" fillId="4" borderId="10" xfId="0" applyFont="1" applyFill="1" applyBorder="1" applyAlignment="1">
      <alignment horizontal="center" vertical="center" wrapText="1"/>
    </xf>
    <xf numFmtId="0" fontId="5" fillId="4" borderId="10" xfId="0" applyFont="1" applyFill="1" applyBorder="1" applyAlignment="1">
      <alignment horizontal="left" vertical="center" wrapText="1"/>
    </xf>
    <xf numFmtId="4" fontId="5" fillId="4" borderId="10" xfId="0" applyNumberFormat="1" applyFont="1" applyFill="1" applyBorder="1" applyAlignment="1">
      <alignment horizontal="right" vertical="center"/>
    </xf>
    <xf numFmtId="0" fontId="7" fillId="4" borderId="10" xfId="0" applyFont="1" applyFill="1" applyBorder="1" applyAlignment="1">
      <alignment horizontal="left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4" fontId="4" fillId="0" borderId="1" xfId="0" applyNumberFormat="1" applyFont="1" applyBorder="1" applyAlignment="1">
      <alignment horizontal="right" vertical="center"/>
    </xf>
    <xf numFmtId="4" fontId="5" fillId="10" borderId="1" xfId="0" applyNumberFormat="1" applyFont="1" applyFill="1" applyBorder="1" applyAlignment="1">
      <alignment horizontal="right" vertical="center"/>
    </xf>
    <xf numFmtId="0" fontId="7" fillId="0" borderId="6" xfId="0" applyFont="1" applyBorder="1" applyAlignment="1">
      <alignment horizontal="left" vertical="center" wrapText="1"/>
    </xf>
    <xf numFmtId="4" fontId="5" fillId="11" borderId="1" xfId="0" applyNumberFormat="1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left" vertical="center" wrapText="1"/>
    </xf>
    <xf numFmtId="3" fontId="4" fillId="0" borderId="8" xfId="0" applyNumberFormat="1" applyFont="1" applyBorder="1" applyAlignment="1">
      <alignment horizontal="right" vertical="center"/>
    </xf>
    <xf numFmtId="4" fontId="5" fillId="10" borderId="8" xfId="0" applyNumberFormat="1" applyFont="1" applyFill="1" applyBorder="1" applyAlignment="1">
      <alignment horizontal="right" vertical="center"/>
    </xf>
    <xf numFmtId="4" fontId="4" fillId="6" borderId="8" xfId="0" applyNumberFormat="1" applyFont="1" applyFill="1" applyBorder="1" applyAlignment="1">
      <alignment horizontal="right" vertical="center"/>
    </xf>
    <xf numFmtId="0" fontId="7" fillId="0" borderId="9" xfId="0" applyFont="1" applyBorder="1" applyAlignment="1">
      <alignment horizontal="left" vertical="center" wrapText="1"/>
    </xf>
    <xf numFmtId="4" fontId="6" fillId="0" borderId="1" xfId="0" applyNumberFormat="1" applyFont="1" applyBorder="1" applyAlignment="1">
      <alignment horizontal="right" vertical="center"/>
    </xf>
    <xf numFmtId="4" fontId="4" fillId="8" borderId="1" xfId="0" applyNumberFormat="1" applyFont="1" applyFill="1" applyBorder="1" applyAlignment="1">
      <alignment horizontal="right" vertical="center"/>
    </xf>
    <xf numFmtId="3" fontId="6" fillId="0" borderId="1" xfId="0" applyNumberFormat="1" applyFont="1" applyBorder="1" applyAlignment="1">
      <alignment horizontal="right" vertical="center"/>
    </xf>
    <xf numFmtId="0" fontId="13" fillId="12" borderId="17" xfId="0" applyFont="1" applyFill="1" applyBorder="1" applyAlignment="1">
      <alignment horizontal="center" vertical="center" wrapText="1"/>
    </xf>
    <xf numFmtId="0" fontId="13" fillId="12" borderId="17" xfId="0" applyFont="1" applyFill="1" applyBorder="1"/>
    <xf numFmtId="4" fontId="4" fillId="12" borderId="17" xfId="0" applyNumberFormat="1" applyFont="1" applyFill="1" applyBorder="1" applyAlignment="1">
      <alignment horizontal="right" vertical="center"/>
    </xf>
    <xf numFmtId="0" fontId="4" fillId="12" borderId="17" xfId="0" applyFont="1" applyFill="1" applyBorder="1" applyAlignment="1">
      <alignment horizontal="center" vertical="center" wrapText="1"/>
    </xf>
    <xf numFmtId="4" fontId="13" fillId="12" borderId="17" xfId="0" applyNumberFormat="1" applyFont="1" applyFill="1" applyBorder="1" applyAlignment="1">
      <alignment horizontal="right" vertical="center"/>
    </xf>
    <xf numFmtId="0" fontId="7" fillId="12" borderId="17" xfId="0" applyFont="1" applyFill="1" applyBorder="1"/>
    <xf numFmtId="0" fontId="0" fillId="0" borderId="1" xfId="0" applyBorder="1"/>
    <xf numFmtId="4" fontId="6" fillId="0" borderId="8" xfId="0" applyNumberFormat="1" applyFont="1" applyBorder="1" applyAlignment="1">
      <alignment horizontal="right" vertical="center"/>
    </xf>
    <xf numFmtId="0" fontId="0" fillId="0" borderId="8" xfId="0" applyBorder="1"/>
    <xf numFmtId="0" fontId="6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right" vertical="center"/>
    </xf>
    <xf numFmtId="2" fontId="6" fillId="0" borderId="1" xfId="0" applyNumberFormat="1" applyFont="1" applyBorder="1" applyAlignment="1">
      <alignment horizontal="right" vertical="center"/>
    </xf>
    <xf numFmtId="2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0" fontId="5" fillId="4" borderId="3" xfId="0" applyFont="1" applyFill="1" applyBorder="1"/>
    <xf numFmtId="0" fontId="0" fillId="4" borderId="3" xfId="0" applyFill="1" applyBorder="1"/>
    <xf numFmtId="0" fontId="0" fillId="4" borderId="4" xfId="0" applyFill="1" applyBorder="1"/>
    <xf numFmtId="0" fontId="10" fillId="8" borderId="3" xfId="0" applyFont="1" applyFill="1" applyBorder="1"/>
    <xf numFmtId="0" fontId="0" fillId="8" borderId="3" xfId="0" applyFill="1" applyBorder="1"/>
    <xf numFmtId="0" fontId="0" fillId="8" borderId="4" xfId="0" applyFill="1" applyBorder="1"/>
    <xf numFmtId="0" fontId="3" fillId="2" borderId="0" xfId="0" applyFont="1" applyFill="1" applyAlignment="1">
      <alignment horizontal="left" vertical="center" wrapText="1"/>
    </xf>
    <xf numFmtId="0" fontId="0" fillId="0" borderId="0" xfId="0"/>
    <xf numFmtId="0" fontId="11" fillId="9" borderId="3" xfId="0" applyFont="1" applyFill="1" applyBorder="1"/>
    <xf numFmtId="0" fontId="0" fillId="9" borderId="3" xfId="0" applyFill="1" applyBorder="1"/>
    <xf numFmtId="0" fontId="0" fillId="9" borderId="4" xfId="0" applyFill="1" applyBorder="1"/>
    <xf numFmtId="0" fontId="10" fillId="4" borderId="14" xfId="0" applyFont="1" applyFill="1" applyBorder="1"/>
    <xf numFmtId="0" fontId="0" fillId="0" borderId="15" xfId="0" applyBorder="1"/>
    <xf numFmtId="0" fontId="0" fillId="0" borderId="16" xfId="0" applyBorder="1"/>
    <xf numFmtId="4" fontId="12" fillId="9" borderId="11" xfId="0" applyNumberFormat="1" applyFont="1" applyFill="1" applyBorder="1" applyAlignment="1">
      <alignment horizontal="center" vertical="center" wrapText="1"/>
    </xf>
    <xf numFmtId="0" fontId="0" fillId="0" borderId="12" xfId="0" applyBorder="1"/>
    <xf numFmtId="0" fontId="0" fillId="0" borderId="13" xfId="0" applyBorder="1"/>
    <xf numFmtId="0" fontId="3" fillId="2" borderId="14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0" fillId="0" borderId="18" xfId="0" applyBorder="1"/>
    <xf numFmtId="0" fontId="0" fillId="0" borderId="19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4"/>
  <sheetViews>
    <sheetView tabSelected="1" topLeftCell="A7" workbookViewId="0">
      <selection activeCell="C37" sqref="C37"/>
    </sheetView>
  </sheetViews>
  <sheetFormatPr defaultRowHeight="14.5" x14ac:dyDescent="0.35"/>
  <cols>
    <col min="1" max="1" width="12" customWidth="1"/>
    <col min="2" max="2" width="56" customWidth="1"/>
    <col min="3" max="3" width="18" customWidth="1"/>
    <col min="4" max="4" width="14" customWidth="1"/>
    <col min="5" max="5" width="40" customWidth="1"/>
    <col min="6" max="6" width="62" customWidth="1"/>
  </cols>
  <sheetData>
    <row r="1" spans="1:6" ht="20" x14ac:dyDescent="0.55000000000000004">
      <c r="A1" s="1" t="s">
        <v>0</v>
      </c>
    </row>
    <row r="2" spans="1:6" x14ac:dyDescent="0.35">
      <c r="A2" s="2" t="s">
        <v>1</v>
      </c>
    </row>
    <row r="4" spans="1:6" x14ac:dyDescent="0.35">
      <c r="A4" s="92" t="s">
        <v>2</v>
      </c>
      <c r="B4" s="93"/>
      <c r="C4" s="93"/>
      <c r="D4" s="93"/>
      <c r="E4" s="93"/>
      <c r="F4" s="93"/>
    </row>
    <row r="5" spans="1:6" ht="16" x14ac:dyDescent="0.35">
      <c r="A5" s="3" t="s">
        <v>3</v>
      </c>
      <c r="B5" s="4" t="s">
        <v>4</v>
      </c>
      <c r="C5" s="3" t="s">
        <v>5</v>
      </c>
      <c r="D5" s="3" t="s">
        <v>6</v>
      </c>
      <c r="E5" s="4" t="s">
        <v>7</v>
      </c>
      <c r="F5" s="4" t="s">
        <v>8</v>
      </c>
    </row>
    <row r="6" spans="1:6" ht="17" x14ac:dyDescent="0.5">
      <c r="A6" s="5" t="s">
        <v>9</v>
      </c>
      <c r="B6" s="86" t="s">
        <v>10</v>
      </c>
      <c r="C6" s="87"/>
      <c r="D6" s="87"/>
      <c r="E6" s="87"/>
      <c r="F6" s="88"/>
    </row>
    <row r="7" spans="1:6" ht="48" x14ac:dyDescent="0.45">
      <c r="A7" s="7" t="s">
        <v>11</v>
      </c>
      <c r="B7" s="8" t="s">
        <v>12</v>
      </c>
      <c r="C7" s="9" t="s">
        <v>13</v>
      </c>
      <c r="D7" s="10" t="s">
        <v>14</v>
      </c>
      <c r="E7" s="11" t="s">
        <v>15</v>
      </c>
      <c r="F7" s="12" t="s">
        <v>16</v>
      </c>
    </row>
    <row r="8" spans="1:6" ht="16" x14ac:dyDescent="0.45">
      <c r="A8" s="7" t="s">
        <v>17</v>
      </c>
      <c r="B8" s="8" t="s">
        <v>18</v>
      </c>
      <c r="C8" s="13">
        <v>12</v>
      </c>
      <c r="D8" s="10" t="s">
        <v>19</v>
      </c>
      <c r="E8" s="11" t="s">
        <v>20</v>
      </c>
      <c r="F8" s="12" t="str">
        <f>"Λεμεσός (Bolton Tower, " &amp; C8 &amp; " km) — Ζώνη 0-40 km (βασικές τιμές μετακινήσεων)"</f>
        <v>Λεμεσός (Bolton Tower, 12 km) — Ζώνη 0-40 km (βασικές τιμές μετακινήσεων)</v>
      </c>
    </row>
    <row r="9" spans="1:6" ht="16" x14ac:dyDescent="0.45">
      <c r="A9" s="7" t="s">
        <v>21</v>
      </c>
      <c r="B9" s="8" t="s">
        <v>22</v>
      </c>
      <c r="C9" s="13">
        <v>4</v>
      </c>
      <c r="D9" s="10" t="s">
        <v>23</v>
      </c>
      <c r="E9" s="11" t="s">
        <v>24</v>
      </c>
      <c r="F9" s="12" t="str">
        <f>"Type A &amp; B: " &amp; C9 &amp; " σειρές αγκυρώσεων | Type C: 3 σειρές αγκυρώσεων"</f>
        <v>Type A &amp; B: 4 σειρές αγκυρώσεων | Type C: 3 σειρές αγκυρώσεων</v>
      </c>
    </row>
    <row r="10" spans="1:6" ht="16" x14ac:dyDescent="0.45">
      <c r="A10" s="7" t="s">
        <v>25</v>
      </c>
      <c r="B10" s="8" t="s">
        <v>26</v>
      </c>
      <c r="C10" s="14">
        <v>1.5</v>
      </c>
      <c r="D10" s="10" t="s">
        <v>27</v>
      </c>
      <c r="E10" s="11" t="s">
        <v>20</v>
      </c>
      <c r="F10" s="12" t="str">
        <f>"[!!! ΣΥΓΚΡΟΥΣΗ ΜΕΛΕΤΗΣ !!!]: Αναγράφονται 2 διαφορετικοί αριθμοί: @ 2000mm στο κείμενο λεπτομέρειας vs (1500) στη διάσταση CL και 1.50m στις τομές. Επιλέχθηκε ο πιο ασφαλής στατικά αριθμός s = " &amp; TEXT(C10,"0.00") &amp; " m."</f>
        <v>[!!! ΣΥΓΚΡΟΥΣΗ ΜΕΛΕΤΗΣ !!!]: Αναγράφονται 2 διαφορετικοί αριθμοί: @ 2000mm στο κείμενο λεπτομέρειας vs (1500) στη διάσταση CL και 1.50m στις τομές. Επιλέχθηκε ο πιο ασφαλής στατικά αριθμός s = 1.50 m.</v>
      </c>
    </row>
    <row r="11" spans="1:6" ht="16" x14ac:dyDescent="0.45">
      <c r="A11" s="7" t="s">
        <v>28</v>
      </c>
      <c r="B11" s="8" t="str">
        <f>"Διάμετρος Οπής Διάτρησης Μεγάλου Τρυπανιού (Ø" &amp; (C11*1000) &amp; "mm)"</f>
        <v>Διάμετρος Οπής Διάτρησης Μεγάλου Τρυπανιού (Ø800mm)</v>
      </c>
      <c r="C11" s="14">
        <v>0.8</v>
      </c>
      <c r="D11" s="10" t="s">
        <v>27</v>
      </c>
      <c r="E11" s="11" t="s">
        <v>29</v>
      </c>
      <c r="F11" s="12" t="str">
        <f>"[DEFAULT ΕΤΑΙΡΕΙΑΣ]: Δεν αναγράφεται διάμετρος νέφκας στη μελέτη (το D=800 στο ΘΕΜ/1 αφορά υποστυλώματα κτιρίου). Εφαρμόζεται by default Ø" &amp; (C11*1000) &amp; " mm (" &amp; TEXT(C11,"0.00") &amp; " m)."</f>
        <v>[DEFAULT ΕΤΑΙΡΕΙΑΣ]: Δεν αναγράφεται διάμετρος νέφκας στη μελέτη (το D=800 στο ΘΕΜ/1 αφορά υποστυλώματα κτιρίου). Εφαρμόζεται by default Ø800 mm (0.80 m).</v>
      </c>
    </row>
    <row r="12" spans="1:6" ht="16" x14ac:dyDescent="0.45">
      <c r="A12" s="7" t="s">
        <v>30</v>
      </c>
      <c r="B12" s="8" t="s">
        <v>31</v>
      </c>
      <c r="C12" s="13">
        <v>2</v>
      </c>
      <c r="D12" s="10" t="s">
        <v>32</v>
      </c>
      <c r="E12" s="11" t="s">
        <v>33</v>
      </c>
      <c r="F12" s="12" t="str">
        <f>"Δίδυμο προφίλ (Ζεύγος " &amp; C12 &amp; " No. HEB ανά πάσσαλο)"</f>
        <v>Δίδυμο προφίλ (Ζεύγος 2 No. HEB ανά πάσσαλο)</v>
      </c>
    </row>
    <row r="13" spans="1:6" ht="16" x14ac:dyDescent="0.45">
      <c r="A13" s="7" t="s">
        <v>34</v>
      </c>
      <c r="B13" s="8" t="s">
        <v>35</v>
      </c>
      <c r="C13" s="15">
        <v>71.5</v>
      </c>
      <c r="D13" s="10" t="s">
        <v>36</v>
      </c>
      <c r="E13" s="11" t="s">
        <v>37</v>
      </c>
      <c r="F13" s="12" t="str">
        <f>"=" &amp; TEXT(C13,"0.0") &amp; " kg/m ανά HEB 220 (" &amp; TEXT(C13*C12,"0.0") &amp; " kg/m ανά ζεύγος)"</f>
        <v>=71.5 kg/m ανά HEB 220 (143.0 kg/m ανά ζεύγος)</v>
      </c>
    </row>
    <row r="14" spans="1:6" ht="16" x14ac:dyDescent="0.45">
      <c r="A14" s="7" t="s">
        <v>38</v>
      </c>
      <c r="B14" s="8" t="s">
        <v>39</v>
      </c>
      <c r="C14" s="15">
        <v>61.3</v>
      </c>
      <c r="D14" s="10" t="s">
        <v>36</v>
      </c>
      <c r="E14" s="11" t="s">
        <v>37</v>
      </c>
      <c r="F14" s="12" t="str">
        <f>"=" &amp; TEXT(C14,"0.0") &amp; " kg/m ανά HEB 200 (" &amp; TEXT(C14*C12,"0.0") &amp; " kg/m ανά ζεύγος)"</f>
        <v>=61.3 kg/m ανά HEB 200 (122.6 kg/m ανά ζεύγος)</v>
      </c>
    </row>
    <row r="15" spans="1:6" ht="16" x14ac:dyDescent="0.45">
      <c r="A15" s="7" t="s">
        <v>40</v>
      </c>
      <c r="B15" s="8" t="s">
        <v>41</v>
      </c>
      <c r="C15" s="14">
        <v>1</v>
      </c>
      <c r="D15" s="10" t="s">
        <v>27</v>
      </c>
      <c r="E15" s="11" t="s">
        <v>33</v>
      </c>
      <c r="F15" s="12" t="str">
        <f>"Λάμες " &amp; C16 &amp; "x" &amp; C17 &amp; "x" &amp; C18 &amp; "mm ανά " &amp; (C15*1000) &amp; "mm (" &amp; TEXT(C15,"0.00") &amp; "m) καθ' ύψος (Κανόνας L_beam / s_plate)"</f>
        <v>Λάμες 200x200x10mm ανά 1000mm (1.00m) καθ' ύψος (Κανόνας L_beam / s_plate)</v>
      </c>
    </row>
    <row r="16" spans="1:6" ht="16" x14ac:dyDescent="0.45">
      <c r="A16" s="7" t="s">
        <v>42</v>
      </c>
      <c r="B16" s="8" t="s">
        <v>43</v>
      </c>
      <c r="C16" s="13">
        <v>200</v>
      </c>
      <c r="D16" s="10" t="s">
        <v>44</v>
      </c>
      <c r="E16" s="11" t="s">
        <v>33</v>
      </c>
      <c r="F16" s="12" t="str">
        <f>"Πλάτος λάμας σύνδεσης = " &amp; C16 &amp; " mm (" &amp; TEXT(C16/1000,"0.00") &amp; " m)"</f>
        <v>Πλάτος λάμας σύνδεσης = 200 mm (0.20 m)</v>
      </c>
    </row>
    <row r="17" spans="1:6" ht="16" x14ac:dyDescent="0.45">
      <c r="A17" s="7" t="s">
        <v>45</v>
      </c>
      <c r="B17" s="8" t="s">
        <v>46</v>
      </c>
      <c r="C17" s="13">
        <v>200</v>
      </c>
      <c r="D17" s="10" t="s">
        <v>44</v>
      </c>
      <c r="E17" s="11" t="s">
        <v>33</v>
      </c>
      <c r="F17" s="12" t="str">
        <f>"Μήκος λάμας σύνδεσης = " &amp; C17 &amp; " mm (" &amp; TEXT(C17/1000,"0.00") &amp; " m)"</f>
        <v>Μήκος λάμας σύνδεσης = 200 mm (0.20 m)</v>
      </c>
    </row>
    <row r="18" spans="1:6" ht="16" x14ac:dyDescent="0.45">
      <c r="A18" s="7" t="s">
        <v>47</v>
      </c>
      <c r="B18" s="8" t="s">
        <v>48</v>
      </c>
      <c r="C18" s="13">
        <v>10</v>
      </c>
      <c r="D18" s="10" t="s">
        <v>44</v>
      </c>
      <c r="E18" s="11" t="s">
        <v>33</v>
      </c>
      <c r="F18" s="12" t="str">
        <f>"Πάχος λάμας σύνδεσης = " &amp; C18 &amp; " mm (" &amp; TEXT(C18/1000,"0.000") &amp; " m)"</f>
        <v>Πάχος λάμας σύνδεσης = 10 mm (0.010 m)</v>
      </c>
    </row>
    <row r="19" spans="1:6" ht="16" x14ac:dyDescent="0.45">
      <c r="A19" s="7" t="s">
        <v>49</v>
      </c>
      <c r="B19" s="16" t="str">
        <f>"Βάρος 1 Λάμας Σύνδεσης (" &amp; C16 &amp; "x" &amp; C17 &amp; "x" &amp; C18 &amp; " mm)"</f>
        <v>Βάρος 1 Λάμας Σύνδεσης (200x200x10 mm)</v>
      </c>
      <c r="C19" s="17">
        <f>(C16/1000)*(C17/1000)*(C18/1000)*7850</f>
        <v>3.1400000000000006</v>
      </c>
      <c r="D19" s="10" t="s">
        <v>50</v>
      </c>
      <c r="E19" s="11" t="str">
        <f>"Τύπος: (" &amp; C16 &amp; "/1000)×(" &amp; C17 &amp; "/1000)×(" &amp; C18 &amp; "/1000)×7850"</f>
        <v>Τύπος: (200/1000)×(200/1000)×(10/1000)×7850</v>
      </c>
      <c r="F19" s="12" t="str">
        <f>"=" &amp; TEXT(C16/1000,"0.00") &amp; "m × " &amp; TEXT(C17/1000,"0.00") &amp; "m × " &amp; TEXT(C18/1000,"0.000") &amp; "m × 7,850 kg/m³ = " &amp; TEXT(C19,"0.000") &amp; " kg/τεμ (Αλλάζοντας τα C16:C18 ενημερώνονται αυτόματα τίτλοι &amp; σημειώσεις)"</f>
        <v>=0.20m × 0.20m × 0.010m × 7,850 kg/m³ = 3.140 kg/τεμ (Αλλάζοντας τα C16:C18 ενημερώνονται αυτόματα τίτλοι &amp; σημειώσεις)</v>
      </c>
    </row>
    <row r="20" spans="1:6" ht="16" x14ac:dyDescent="0.45">
      <c r="A20" s="7" t="s">
        <v>51</v>
      </c>
      <c r="B20" s="8" t="s">
        <v>52</v>
      </c>
      <c r="C20" s="14">
        <v>6.38</v>
      </c>
      <c r="D20" s="10" t="s">
        <v>36</v>
      </c>
      <c r="E20" s="11" t="s">
        <v>53</v>
      </c>
      <c r="F20" s="12" t="str">
        <f>"Γωνιές 70x70x6mm (" &amp; TEXT(C20,"0.00") &amp; " kg/m × 2 γωνιές καθ' ύψος εκσκαφής H_exc)"</f>
        <v>Γωνιές 70x70x6mm (6.38 kg/m × 2 γωνιές καθ' ύψος εκσκαφής H_exc)</v>
      </c>
    </row>
    <row r="21" spans="1:6" ht="16" x14ac:dyDescent="0.45">
      <c r="A21" s="7" t="s">
        <v>54</v>
      </c>
      <c r="B21" s="8" t="str">
        <f>"Διάμετρος Ράβδων Σχάρας Οριζόντιων &amp; Κατακόρυφων (#Y" &amp; C21 &amp; "/" &amp; C22 &amp; ")"</f>
        <v>Διάμετρος Ράβδων Σχάρας Οριζόντιων &amp; Κατακόρυφων (#Y8/150)</v>
      </c>
      <c r="C21" s="13">
        <v>8</v>
      </c>
      <c r="D21" s="10" t="s">
        <v>44</v>
      </c>
      <c r="E21" s="11" t="s">
        <v>33</v>
      </c>
      <c r="F21" s="12" t="str">
        <f>"Αναγράφεται ρητά #Y" &amp; C21 &amp; "/" &amp; C22 &amp; " (αυστηρή τήρηση Y" &amp; C21 &amp; " βάσει κανόνα 2.3)"</f>
        <v>Αναγράφεται ρητά #Y8/150 (αυστηρή τήρηση Y8 βάσει κανόνα 2.3)</v>
      </c>
    </row>
    <row r="22" spans="1:6" ht="16" x14ac:dyDescent="0.45">
      <c r="A22" s="7" t="s">
        <v>55</v>
      </c>
      <c r="B22" s="8" t="str">
        <f>"Βήμα Ράβδων Σχάρας Οριζόντιων &amp; Κατακόρυφων (#Y" &amp; C21 &amp; "/" &amp; C22 &amp; ")"</f>
        <v>Βήμα Ράβδων Σχάρας Οριζόντιων &amp; Κατακόρυφων (#Y8/150)</v>
      </c>
      <c r="C22" s="13">
        <v>150</v>
      </c>
      <c r="D22" s="10" t="s">
        <v>44</v>
      </c>
      <c r="E22" s="11" t="s">
        <v>33</v>
      </c>
      <c r="F22" s="12" t="str">
        <f>"Βήμα " &amp; C22 &amp; "mm × " &amp; C22 &amp; "mm (2 × " &amp; TEXT(1000/C22,"0.00") &amp; " m/m² = " &amp; TEXT(C81,"0.000") &amp; " kg/m²)"</f>
        <v>Βήμα 150mm × 150mm (2 × 6.67 m/m² = 5.261 kg/m²)</v>
      </c>
    </row>
    <row r="23" spans="1:6" ht="16" x14ac:dyDescent="0.45">
      <c r="A23" s="7" t="s">
        <v>56</v>
      </c>
      <c r="B23" s="8" t="s">
        <v>57</v>
      </c>
      <c r="C23" s="9" t="s">
        <v>58</v>
      </c>
      <c r="D23" s="10" t="s">
        <v>14</v>
      </c>
      <c r="E23" s="11" t="s">
        <v>29</v>
      </c>
      <c r="F23" s="12" t="str">
        <f>"[DEFAULT ΕΤΑΙΡΕΙΑΣ]: Δεν αναγράφεται στη μελέτη. Εφαρμόζεται by default " &amp; C23 &amp; " βάσει κανόνα εταιρείας."</f>
        <v>[DEFAULT ΕΤΑΙΡΕΙΑΣ]: Δεν αναγράφεται στη μελέτη. Εφαρμόζεται by default C30/37 βάσει κανόνα εταιρείας.</v>
      </c>
    </row>
    <row r="24" spans="1:6" ht="16" x14ac:dyDescent="0.45">
      <c r="A24" s="7" t="s">
        <v>59</v>
      </c>
      <c r="B24" s="8" t="str">
        <f>"Ονομαστικό Πάχος Shotcrete Μελέτης (" &amp; (C24*100) &amp; " cm)"</f>
        <v>Ονομαστικό Πάχος Shotcrete Μελέτης (15 cm)</v>
      </c>
      <c r="C24" s="14">
        <v>0.15</v>
      </c>
      <c r="D24" s="10" t="s">
        <v>27</v>
      </c>
      <c r="E24" s="11" t="s">
        <v>33</v>
      </c>
      <c r="F24" s="12" t="str">
        <f>"=" &amp; (C24*1000) &amp; " mm (" &amp; (C24*100) &amp; " cm) εκτοξευόμενο σκυρόδεμα (gunite)"</f>
        <v>=150 mm (15 cm) εκτοξευόμενο σκυρόδεμα (gunite)</v>
      </c>
    </row>
    <row r="25" spans="1:6" ht="16" x14ac:dyDescent="0.45">
      <c r="A25" s="7" t="s">
        <v>60</v>
      </c>
      <c r="B25" s="8" t="str">
        <f>"Πάγια Απώλεια / Αναπήδηση Shotcrete Εταιρείας (+" &amp; (C25*100) &amp; " cm)"</f>
        <v>Πάγια Απώλεια / Αναπήδηση Shotcrete Εταιρείας (+5 cm)</v>
      </c>
      <c r="C25" s="14">
        <v>0.05</v>
      </c>
      <c r="D25" s="10" t="s">
        <v>27</v>
      </c>
      <c r="E25" s="11" t="s">
        <v>29</v>
      </c>
      <c r="F25" s="12" t="str">
        <f>"+" &amp; (C25*100) &amp; " cm πάγια προσαύξηση εταιρείας (+" &amp; TEXT(C25/C24,"0.0%") &amp; " επί του ονομαστικού πάχους)"</f>
        <v>+5 cm πάγια προσαύξηση εταιρείας (+33.3% επί του ονομαστικού πάχους)</v>
      </c>
    </row>
    <row r="26" spans="1:6" ht="16" x14ac:dyDescent="0.45">
      <c r="A26" s="7" t="s">
        <v>61</v>
      </c>
      <c r="B26" s="8" t="str">
        <f>"Διάμετρος Οπής Διάτρησης Αγκυρώσεων (Ø" &amp; (C26*1000) &amp; "mm)"</f>
        <v>Διάμετρος Οπής Διάτρησης Αγκυρώσεων (Ø120mm)</v>
      </c>
      <c r="C26" s="14">
        <v>0.12</v>
      </c>
      <c r="D26" s="10" t="s">
        <v>27</v>
      </c>
      <c r="E26" s="11" t="s">
        <v>29</v>
      </c>
      <c r="F26" s="12" t="str">
        <f>"Ø" &amp; (C26*1000) &amp; " mm τυπική διάμετρος διάτρησης αγκυρίων"</f>
        <v>Ø120 mm τυπική διάμετρος διάτρησης αγκυρίων</v>
      </c>
    </row>
    <row r="27" spans="1:6" ht="16" x14ac:dyDescent="0.45">
      <c r="A27" s="7" t="s">
        <v>62</v>
      </c>
      <c r="B27" s="8" t="s">
        <v>63</v>
      </c>
      <c r="C27" s="14">
        <v>1.2</v>
      </c>
      <c r="D27" s="10" t="s">
        <v>14</v>
      </c>
      <c r="E27" s="11" t="s">
        <v>29</v>
      </c>
      <c r="F27" s="12" t="str">
        <f>"+" &amp; TEXT((C27-1),"0%") &amp; " προσαύξηση όγκου τσιμεντενέματος (" &amp; TEXT(C82,"0.000000") &amp; " m³/m)"</f>
        <v>+20% προσαύξηση όγκου τσιμεντενέματος (0.013572 m³/m)</v>
      </c>
    </row>
    <row r="28" spans="1:6" ht="16" x14ac:dyDescent="0.45">
      <c r="A28" s="7" t="s">
        <v>64</v>
      </c>
      <c r="B28" s="8" t="s">
        <v>65</v>
      </c>
      <c r="C28" s="14">
        <v>1</v>
      </c>
      <c r="D28" s="10" t="s">
        <v>27</v>
      </c>
      <c r="E28" s="11" t="s">
        <v>29</v>
      </c>
      <c r="F28" s="12" t="str">
        <f>"+" &amp; TEXT(C28,"0.00") &amp; " m έξω από το μέτωπο σε κάθε τένοντα"</f>
        <v>+1.00 m έξω από το μέτωπο σε κάθε τένοντα</v>
      </c>
    </row>
    <row r="29" spans="1:6" ht="16" x14ac:dyDescent="0.45">
      <c r="A29" s="18" t="s">
        <v>66</v>
      </c>
      <c r="B29" s="19" t="s">
        <v>67</v>
      </c>
      <c r="C29" s="20">
        <v>1.1000000000000001</v>
      </c>
      <c r="D29" s="21" t="s">
        <v>36</v>
      </c>
      <c r="E29" s="22" t="s">
        <v>29</v>
      </c>
      <c r="F29" s="23" t="str">
        <f>"7-wire strand 0.6'' (1670/1860 MPa) = " &amp; TEXT(C29,"0.00") &amp; " kg/m"</f>
        <v>7-wire strand 0.6'' (1670/1860 MPa) = 1.10 kg/m</v>
      </c>
    </row>
    <row r="31" spans="1:6" ht="17" x14ac:dyDescent="0.5">
      <c r="A31" s="5" t="s">
        <v>68</v>
      </c>
      <c r="B31" s="86" t="str">
        <f>"ΚΟΥΤΙ ΣΤΟΙΧΕΙΩΝ ΜΕΛΕΤΗΣ TYPE A — ΤΟΙΧΟΣ ΑΝΤΙΣΤΗΡΙΞΗΣ Α (Εκσκαφή " &amp; TEXT(C34,"0.00") &amp; "m, " &amp; C32 &amp; "No Ζεύγη HEB 220, L_beam=" &amp; TEXT(C36,"0.00") &amp; "m, Εκσκαφή Νέφκας=" &amp; TEXT(IF(ISBLANK(C37),C36,C37),"0.00") &amp; "m, Πάκτωση " &amp; TEXT(C35,"0.00") &amp; "m)"</f>
        <v>ΚΟΥΤΙ ΣΤΟΙΧΕΙΩΝ ΜΕΛΕΤΗΣ TYPE A — ΤΟΙΧΟΣ ΑΝΤΙΣΤΗΡΙΞΗΣ Α (Εκσκαφή 17.00m, 27No Ζεύγη HEB 220, L_beam=19.00m, Εκσκαφή Νέφκας=19.00m, Πάκτωση 1.50m)</v>
      </c>
      <c r="C31" s="87"/>
      <c r="D31" s="87"/>
      <c r="E31" s="87"/>
      <c r="F31" s="88"/>
    </row>
    <row r="32" spans="1:6" ht="16" x14ac:dyDescent="0.45">
      <c r="A32" s="7" t="s">
        <v>69</v>
      </c>
      <c r="B32" s="8" t="s">
        <v>70</v>
      </c>
      <c r="C32" s="13">
        <v>27</v>
      </c>
      <c r="D32" s="10" t="s">
        <v>71</v>
      </c>
      <c r="E32" s="11" t="s">
        <v>72</v>
      </c>
      <c r="F32" s="12" t="str">
        <f>"=" &amp; C32 &amp; " πάσσαλοι / θέσεις αγκυρώσεων (22 στο Ανατολικό + 5 στο Νότιο τμήμα Τοίχου Α)"</f>
        <v>=27 πάσσαλοι / θέσεις αγκυρώσεων (22 στο Ανατολικό + 5 στο Νότιο τμήμα Τοίχου Α)</v>
      </c>
    </row>
    <row r="33" spans="1:6" ht="16" x14ac:dyDescent="0.45">
      <c r="A33" s="7" t="s">
        <v>73</v>
      </c>
      <c r="B33" s="8" t="str">
        <f>"Αναπτυγμένο Μήκος Μετώπου Type A (" &amp; C32 &amp; " × " &amp; TEXT(C10,"0.00") &amp; "m)"</f>
        <v>Αναπτυγμένο Μήκος Μετώπου Type A (27 × 1.50m)</v>
      </c>
      <c r="C33" s="24">
        <f>C32*C10</f>
        <v>40.5</v>
      </c>
      <c r="D33" s="10" t="s">
        <v>74</v>
      </c>
      <c r="E33" s="11" t="s">
        <v>75</v>
      </c>
      <c r="F33" s="12" t="str">
        <f>"=" &amp; C32 &amp; " πάσσαλοι × " &amp; TEXT(C10,"0.00") &amp; "m = " &amp; TEXT(C33,"0.00") &amp; " τρ.μ."</f>
        <v>=27 πάσσαλοι × 1.50m = 40.50 τρ.μ.</v>
      </c>
    </row>
    <row r="34" spans="1:6" ht="16" x14ac:dyDescent="0.45">
      <c r="A34" s="7" t="s">
        <v>76</v>
      </c>
      <c r="B34" s="8" t="s">
        <v>77</v>
      </c>
      <c r="C34" s="14">
        <v>17</v>
      </c>
      <c r="D34" s="10" t="s">
        <v>27</v>
      </c>
      <c r="E34" s="11" t="s">
        <v>78</v>
      </c>
      <c r="F34" s="12" t="str">
        <f>"Αναγραφόμενο ελεύθερο ύψος εκσκαφής " &amp; (C34*1000) &amp; " mm (" &amp; TEXT(C34,"0.00") &amp; " m)"</f>
        <v>Αναγραφόμενο ελεύθερο ύψος εκσκαφής 17000 mm (17.00 m)</v>
      </c>
    </row>
    <row r="35" spans="1:6" ht="16" x14ac:dyDescent="0.45">
      <c r="A35" s="7" t="s">
        <v>79</v>
      </c>
      <c r="B35" s="8" t="s">
        <v>80</v>
      </c>
      <c r="C35" s="14">
        <v>1.5</v>
      </c>
      <c r="D35" s="10" t="s">
        <v>27</v>
      </c>
      <c r="E35" s="11" t="s">
        <v>78</v>
      </c>
      <c r="F35" s="12" t="str">
        <f>"Αναγραφόμενο ύψος πάκτωσης σκυροδέματος " &amp; (C35*1000) &amp; " mm (" &amp; TEXT(C35,"0.00") &amp; " m) στη βάση της νέφκας"</f>
        <v>Αναγραφόμενο ύψος πάκτωσης σκυροδέματος 1500 mm (1.50 m) στη βάση της νέφκας</v>
      </c>
    </row>
    <row r="36" spans="1:6" ht="16" x14ac:dyDescent="0.45">
      <c r="A36" s="7" t="s">
        <v>81</v>
      </c>
      <c r="B36" s="8" t="s">
        <v>82</v>
      </c>
      <c r="C36" s="14">
        <v>19</v>
      </c>
      <c r="D36" s="10" t="s">
        <v>27</v>
      </c>
      <c r="E36" s="11" t="s">
        <v>78</v>
      </c>
      <c r="F36" s="12" t="str">
        <f>"Αναγραφόμενο συνολικό μήκος νέφκας " &amp; (C36*1000) &amp; " mm (" &amp; TEXT(C36,"0.00") &amp; " m) — ελεύθερο " &amp; TEXT(C34,"0.00") &amp; "m, υπόγειο " &amp; TEXT(C36-C34,"0.00") &amp; "m, πάκτωση μπετόν " &amp; TEXT(C35,"0.00") &amp; "m"</f>
        <v>Αναγραφόμενο συνολικό μήκος νέφκας 19000 mm (19.00 m) — ελεύθερο 17.00m, υπόγειο 2.00m, πάκτωση μπετόν 1.50m</v>
      </c>
    </row>
    <row r="37" spans="1:6" ht="16" x14ac:dyDescent="0.45">
      <c r="A37" s="25" t="s">
        <v>83</v>
      </c>
      <c r="B37" s="26" t="s">
        <v>84</v>
      </c>
      <c r="C37" s="27"/>
      <c r="D37" s="10" t="s">
        <v>27</v>
      </c>
      <c r="E37" s="28" t="str">
        <f>IF(ISBLANK(C37),"Δεν δόθηκε WPL / Cut-Off Level","Δόθηκε WPL / Cut-Off Level")</f>
        <v>Δεν δόθηκε WPL / Cut-Off Level</v>
      </c>
      <c r="F37" s="29" t="str">
        <f>IF(ISBLANK(C37),"[!!! ΕΛΛΕΙΨΗ WPL / CUT-OFF LEVEL — ΚΟΚΚΙΝΟ ΚΕΛΙ !!!]: Δεν δόθηκε WPL / Cut-Off Level. Θεωρείται ότι το ύψος εκσκαφής νεφκών ισούται με το μήκος νέφκας (" &amp; TEXT(C36,"0.00") &amp; " m). Αν δοθεί WPL/Cut-Off Level, συμπληρώστε το εδώ!","[ΕΦΑΡΜΟΓΗ WPL / CUT-OFF LEVEL]: Το ύψος εκσκαφής/διάτρησης νεφκών ορίστηκε βάσει WPL σε " &amp; TEXT(C37,"0.00") &amp; " m (αντί " &amp; TEXT(C36,"0.00") &amp; " m της νέφκας).")</f>
        <v>[!!! ΕΛΛΕΙΨΗ WPL / CUT-OFF LEVEL — ΚΟΚΚΙΝΟ ΚΕΛΙ !!!]: Δεν δόθηκε WPL / Cut-Off Level. Θεωρείται ότι το ύψος εκσκαφής νεφκών ισούται με το μήκος νέφκας (19.00 m). Αν δοθεί WPL/Cut-Off Level, συμπληρώστε το εδώ!</v>
      </c>
    </row>
    <row r="38" spans="1:6" ht="16" x14ac:dyDescent="0.45">
      <c r="A38" s="7" t="s">
        <v>85</v>
      </c>
      <c r="B38" s="8" t="s">
        <v>86</v>
      </c>
      <c r="C38" s="14">
        <v>20</v>
      </c>
      <c r="D38" s="10" t="s">
        <v>27</v>
      </c>
      <c r="E38" s="11" t="s">
        <v>78</v>
      </c>
      <c r="F38" s="12" t="str">
        <f>"10.0m ελεύθερο + 10.0m πάκτωση grout = " &amp; TEXT(C38,"0.00") &amp; "m (30°, 144 kN)"</f>
        <v>10.0m ελεύθερο + 10.0m πάκτωση grout = 20.00m (30°, 144 kN)</v>
      </c>
    </row>
    <row r="39" spans="1:6" ht="16" x14ac:dyDescent="0.45">
      <c r="A39" s="7" t="s">
        <v>87</v>
      </c>
      <c r="B39" s="8" t="s">
        <v>88</v>
      </c>
      <c r="C39" s="13">
        <v>2</v>
      </c>
      <c r="D39" s="10" t="s">
        <v>89</v>
      </c>
      <c r="E39" s="11" t="s">
        <v>78</v>
      </c>
      <c r="F39" s="12" t="str">
        <f>"Αναγράφεται: " &amp; C39 &amp; " ΚΑΛΩΔΙΑ 15.2mm (Type 1670/1860)"</f>
        <v>Αναγράφεται: 2 ΚΑΛΩΔΙΑ 15.2mm (Type 1670/1860)</v>
      </c>
    </row>
    <row r="40" spans="1:6" ht="16" x14ac:dyDescent="0.45">
      <c r="A40" s="7" t="s">
        <v>90</v>
      </c>
      <c r="B40" s="8" t="s">
        <v>91</v>
      </c>
      <c r="C40" s="14">
        <v>19.5</v>
      </c>
      <c r="D40" s="10" t="s">
        <v>27</v>
      </c>
      <c r="E40" s="11" t="s">
        <v>78</v>
      </c>
      <c r="F40" s="12" t="str">
        <f>"8.5m ελεύθερο + 11.0m πάκτωση grout = " &amp; TEXT(C40,"0.00") &amp; "m (30°, 338 kN)"</f>
        <v>8.5m ελεύθερο + 11.0m πάκτωση grout = 19.50m (30°, 338 kN)</v>
      </c>
    </row>
    <row r="41" spans="1:6" ht="16" x14ac:dyDescent="0.45">
      <c r="A41" s="7" t="s">
        <v>92</v>
      </c>
      <c r="B41" s="8" t="s">
        <v>93</v>
      </c>
      <c r="C41" s="13">
        <v>2</v>
      </c>
      <c r="D41" s="10" t="s">
        <v>89</v>
      </c>
      <c r="E41" s="11" t="s">
        <v>78</v>
      </c>
      <c r="F41" s="12" t="str">
        <f>"Αναγράφεται: " &amp; C41 &amp; " ΚΑΛΩΔΙΑ 15.2mm (Type 1670/1860)"</f>
        <v>Αναγράφεται: 2 ΚΑΛΩΔΙΑ 15.2mm (Type 1670/1860)</v>
      </c>
    </row>
    <row r="42" spans="1:6" ht="16" x14ac:dyDescent="0.45">
      <c r="A42" s="7" t="s">
        <v>94</v>
      </c>
      <c r="B42" s="8" t="s">
        <v>95</v>
      </c>
      <c r="C42" s="14">
        <v>20</v>
      </c>
      <c r="D42" s="10" t="s">
        <v>27</v>
      </c>
      <c r="E42" s="11" t="s">
        <v>78</v>
      </c>
      <c r="F42" s="12" t="str">
        <f>"8.0m ελεύθερο + 12.0m πάκτωση grout = " &amp; TEXT(C42,"0.00") &amp; "m (30°, 439 kN)"</f>
        <v>8.0m ελεύθερο + 12.0m πάκτωση grout = 20.00m (30°, 439 kN)</v>
      </c>
    </row>
    <row r="43" spans="1:6" ht="16" x14ac:dyDescent="0.45">
      <c r="A43" s="7" t="s">
        <v>96</v>
      </c>
      <c r="B43" s="8" t="s">
        <v>97</v>
      </c>
      <c r="C43" s="13">
        <v>3</v>
      </c>
      <c r="D43" s="10" t="s">
        <v>89</v>
      </c>
      <c r="E43" s="11" t="s">
        <v>78</v>
      </c>
      <c r="F43" s="12" t="str">
        <f>"Αναγράφεται: " &amp; C43 &amp; " ΚΑΛΩΔΙΑ 15.2mm (Type 1670/1860)"</f>
        <v>Αναγράφεται: 3 ΚΑΛΩΔΙΑ 15.2mm (Type 1670/1860)</v>
      </c>
    </row>
    <row r="44" spans="1:6" ht="16" x14ac:dyDescent="0.45">
      <c r="A44" s="7" t="s">
        <v>98</v>
      </c>
      <c r="B44" s="8" t="s">
        <v>99</v>
      </c>
      <c r="C44" s="14">
        <v>18.5</v>
      </c>
      <c r="D44" s="10" t="s">
        <v>27</v>
      </c>
      <c r="E44" s="11" t="s">
        <v>78</v>
      </c>
      <c r="F44" s="12" t="str">
        <f>"3.5m ελεύθερο + 15.0m πάκτωση grout = " &amp; TEXT(C44,"0.00") &amp; "m (30°, 584 kN)"</f>
        <v>3.5m ελεύθερο + 15.0m πάκτωση grout = 18.50m (30°, 584 kN)</v>
      </c>
    </row>
    <row r="45" spans="1:6" ht="16" x14ac:dyDescent="0.45">
      <c r="A45" s="18" t="s">
        <v>100</v>
      </c>
      <c r="B45" s="19" t="s">
        <v>101</v>
      </c>
      <c r="C45" s="30">
        <v>3</v>
      </c>
      <c r="D45" s="21" t="s">
        <v>89</v>
      </c>
      <c r="E45" s="22" t="s">
        <v>78</v>
      </c>
      <c r="F45" s="23" t="str">
        <f>"Αναγράφεται: " &amp; C45 &amp; " ΚΑΛΩΔΙΑ 15.2mm (Type 1670/1860)"</f>
        <v>Αναγράφεται: 3 ΚΑΛΩΔΙΑ 15.2mm (Type 1670/1860)</v>
      </c>
    </row>
    <row r="47" spans="1:6" ht="17" x14ac:dyDescent="0.5">
      <c r="A47" s="5" t="s">
        <v>102</v>
      </c>
      <c r="B47" s="86" t="str">
        <f>"ΚΟΥΤΙ ΣΤΟΙΧΕΙΩΝ ΜΕΛΕΤΗΣ TYPE B — ΤΟΙΧΟΣ ΑΝΤΙΣΤΗΡΙΞΗΣ Β (Εκσκαφή " &amp; TEXT(C50,"0.00") &amp; "m, " &amp; C48 &amp; "No Ζεύγη HEB 200, L_beam=" &amp; TEXT(C52,"0.00") &amp; "m, Εκσκαφή Νέφκας=" &amp; TEXT(IF(ISBLANK(C53),C52,C53),"0.00") &amp; "m, Πάκτωση " &amp; TEXT(C51,"0.00") &amp; "m)"</f>
        <v>ΚΟΥΤΙ ΣΤΟΙΧΕΙΩΝ ΜΕΛΕΤΗΣ TYPE B — ΤΟΙΧΟΣ ΑΝΤΙΣΤΗΡΙΞΗΣ Β (Εκσκαφή 15.60m, 74No Ζεύγη HEB 200, L_beam=17.00m, Εκσκαφή Νέφκας=17.00m, Πάκτωση 1.50m)</v>
      </c>
      <c r="C47" s="87"/>
      <c r="D47" s="87"/>
      <c r="E47" s="87"/>
      <c r="F47" s="88"/>
    </row>
    <row r="48" spans="1:6" ht="16" x14ac:dyDescent="0.45">
      <c r="A48" s="7" t="s">
        <v>103</v>
      </c>
      <c r="B48" s="8" t="s">
        <v>104</v>
      </c>
      <c r="C48" s="13">
        <v>74</v>
      </c>
      <c r="D48" s="10" t="s">
        <v>71</v>
      </c>
      <c r="E48" s="11" t="s">
        <v>72</v>
      </c>
      <c r="F48" s="12" t="str">
        <f>"=" &amp; C48 &amp; " πάσσαλοι / θέσεις αγκυρώσεων (Βόρειο, Δυτικό-Κάτω, Νότιο &amp; Βορειοανατολικό τμήμα Τοίχου Β)"</f>
        <v>=74 πάσσαλοι / θέσεις αγκυρώσεων (Βόρειο, Δυτικό-Κάτω, Νότιο &amp; Βορειοανατολικό τμήμα Τοίχου Β)</v>
      </c>
    </row>
    <row r="49" spans="1:6" ht="16" x14ac:dyDescent="0.45">
      <c r="A49" s="7" t="s">
        <v>105</v>
      </c>
      <c r="B49" s="8" t="str">
        <f>"Αναπτυγμένο Μήκος Μετώπου Type B (" &amp; C48 &amp; " × " &amp; TEXT(C10,"0.00") &amp; "m)"</f>
        <v>Αναπτυγμένο Μήκος Μετώπου Type B (74 × 1.50m)</v>
      </c>
      <c r="C49" s="24">
        <f>C48*C10</f>
        <v>111</v>
      </c>
      <c r="D49" s="10" t="s">
        <v>74</v>
      </c>
      <c r="E49" s="11" t="s">
        <v>75</v>
      </c>
      <c r="F49" s="12" t="str">
        <f>"=" &amp; C48 &amp; " πάσσαλοι × " &amp; TEXT(C10,"0.00") &amp; "m = " &amp; TEXT(C49,"0.00") &amp; " τρ.μ."</f>
        <v>=74 πάσσαλοι × 1.50m = 111.00 τρ.μ.</v>
      </c>
    </row>
    <row r="50" spans="1:6" ht="16" x14ac:dyDescent="0.45">
      <c r="A50" s="7" t="s">
        <v>106</v>
      </c>
      <c r="B50" s="8" t="s">
        <v>107</v>
      </c>
      <c r="C50" s="14">
        <v>15.6</v>
      </c>
      <c r="D50" s="10" t="s">
        <v>27</v>
      </c>
      <c r="E50" s="11" t="s">
        <v>108</v>
      </c>
      <c r="F50" s="12" t="str">
        <f>"Αναγραφόμενο ελεύθερο ύψος εκσκαφής " &amp; (C50*1000) &amp; " mm (" &amp; TEXT(C50,"0.00") &amp; " m)"</f>
        <v>Αναγραφόμενο ελεύθερο ύψος εκσκαφής 15600 mm (15.60 m)</v>
      </c>
    </row>
    <row r="51" spans="1:6" ht="16" x14ac:dyDescent="0.45">
      <c r="A51" s="7" t="s">
        <v>109</v>
      </c>
      <c r="B51" s="8" t="s">
        <v>110</v>
      </c>
      <c r="C51" s="14">
        <v>1.5</v>
      </c>
      <c r="D51" s="10" t="s">
        <v>27</v>
      </c>
      <c r="E51" s="11" t="s">
        <v>108</v>
      </c>
      <c r="F51" s="12" t="str">
        <f>"Αναγραφόμενο ύψος πάκτωσης σκυροδέματος " &amp; (C51*1000) &amp; " mm (" &amp; TEXT(C51,"0.00") &amp; " m) στη βάση της νέφκας"</f>
        <v>Αναγραφόμενο ύψος πάκτωσης σκυροδέματος 1500 mm (1.50 m) στη βάση της νέφκας</v>
      </c>
    </row>
    <row r="52" spans="1:6" ht="16" x14ac:dyDescent="0.45">
      <c r="A52" s="7" t="s">
        <v>111</v>
      </c>
      <c r="B52" s="8" t="s">
        <v>112</v>
      </c>
      <c r="C52" s="14">
        <v>17</v>
      </c>
      <c r="D52" s="10" t="s">
        <v>27</v>
      </c>
      <c r="E52" s="11" t="s">
        <v>108</v>
      </c>
      <c r="F52" s="12" t="str">
        <f>"Αναγραφόμενο συνολικό μήκος νέφκας " &amp; (C52*1000) &amp; " mm (" &amp; TEXT(C52,"0.00") &amp; " m) — ελεύθερο " &amp; TEXT(C50,"0.00") &amp; "m, υπόγειο " &amp; TEXT(C52-C50,"0.00") &amp; "m, πάκτωση μπετόν " &amp; TEXT(C51,"0.00") &amp; "m"</f>
        <v>Αναγραφόμενο συνολικό μήκος νέφκας 17000 mm (17.00 m) — ελεύθερο 15.60m, υπόγειο 1.40m, πάκτωση μπετόν 1.50m</v>
      </c>
    </row>
    <row r="53" spans="1:6" ht="16" x14ac:dyDescent="0.45">
      <c r="A53" s="25" t="s">
        <v>113</v>
      </c>
      <c r="B53" s="26" t="s">
        <v>114</v>
      </c>
      <c r="C53" s="27"/>
      <c r="D53" s="10" t="s">
        <v>27</v>
      </c>
      <c r="E53" s="28" t="str">
        <f>IF(ISBLANK(C53),"Δεν δόθηκε WPL / Cut-Off Level","Δόθηκε WPL / Cut-Off Level")</f>
        <v>Δεν δόθηκε WPL / Cut-Off Level</v>
      </c>
      <c r="F53" s="29" t="str">
        <f>IF(ISBLANK(C53),"[!!! ΕΛΛΕΙΨΗ WPL / CUT-OFF LEVEL — ΚΟΚΚΙΝΟ ΚΕΛΙ !!!]: Δεν δόθηκε WPL / Cut-Off Level. Θεωρείται ότι το ύψος εκσκαφής νεφκών ισούται με το μήκος νέφκας (" &amp; TEXT(C52,"0.00") &amp; " m). Αν δοθεί WPL/Cut-Off Level, συμπληρώστε το εδώ!","[ΕΦΑΡΜΟΓΗ WPL / CUT-OFF LEVEL]: Το ύψος εκσκαφής/διάτρησης νεφκών ορίστηκε βάσει WPL σε " &amp; TEXT(C53,"0.00") &amp; " m (αντί " &amp; TEXT(C52,"0.00") &amp; " m της νέφκας).")</f>
        <v>[!!! ΕΛΛΕΙΨΗ WPL / CUT-OFF LEVEL — ΚΟΚΚΙΝΟ ΚΕΛΙ !!!]: Δεν δόθηκε WPL / Cut-Off Level. Θεωρείται ότι το ύψος εκσκαφής νεφκών ισούται με το μήκος νέφκας (17.00 m). Αν δοθεί WPL/Cut-Off Level, συμπληρώστε το εδώ!</v>
      </c>
    </row>
    <row r="54" spans="1:6" ht="16" x14ac:dyDescent="0.45">
      <c r="A54" s="7" t="s">
        <v>115</v>
      </c>
      <c r="B54" s="8" t="s">
        <v>86</v>
      </c>
      <c r="C54" s="14">
        <v>20</v>
      </c>
      <c r="D54" s="10" t="s">
        <v>27</v>
      </c>
      <c r="E54" s="11" t="s">
        <v>108</v>
      </c>
      <c r="F54" s="12" t="str">
        <f>"10.0m ελεύθερο + 10.0m πάκτωση grout = " &amp; TEXT(C54,"0.00") &amp; "m (30°, 141 kN)"</f>
        <v>10.0m ελεύθερο + 10.0m πάκτωση grout = 20.00m (30°, 141 kN)</v>
      </c>
    </row>
    <row r="55" spans="1:6" ht="16" x14ac:dyDescent="0.45">
      <c r="A55" s="7" t="s">
        <v>116</v>
      </c>
      <c r="B55" s="8" t="s">
        <v>88</v>
      </c>
      <c r="C55" s="13">
        <v>2</v>
      </c>
      <c r="D55" s="10" t="s">
        <v>89</v>
      </c>
      <c r="E55" s="11" t="s">
        <v>108</v>
      </c>
      <c r="F55" s="12" t="str">
        <f>"Αναγράφεται: " &amp; C55 &amp; " ΚΑΛΩΔΙΑ 15.2mm (Type 1670/1860)"</f>
        <v>Αναγράφεται: 2 ΚΑΛΩΔΙΑ 15.2mm (Type 1670/1860)</v>
      </c>
    </row>
    <row r="56" spans="1:6" ht="16" x14ac:dyDescent="0.45">
      <c r="A56" s="7" t="s">
        <v>117</v>
      </c>
      <c r="B56" s="8" t="s">
        <v>91</v>
      </c>
      <c r="C56" s="14">
        <v>19.5</v>
      </c>
      <c r="D56" s="10" t="s">
        <v>27</v>
      </c>
      <c r="E56" s="11" t="s">
        <v>108</v>
      </c>
      <c r="F56" s="12" t="str">
        <f>"8.5m ελεύθερο + 11.0m πάκτωση grout = " &amp; TEXT(C56,"0.00") &amp; "m (30°, 323 kN)"</f>
        <v>8.5m ελεύθερο + 11.0m πάκτωση grout = 19.50m (30°, 323 kN)</v>
      </c>
    </row>
    <row r="57" spans="1:6" ht="16" x14ac:dyDescent="0.45">
      <c r="A57" s="7" t="s">
        <v>118</v>
      </c>
      <c r="B57" s="8" t="s">
        <v>93</v>
      </c>
      <c r="C57" s="13">
        <v>2</v>
      </c>
      <c r="D57" s="10" t="s">
        <v>89</v>
      </c>
      <c r="E57" s="11" t="s">
        <v>108</v>
      </c>
      <c r="F57" s="12" t="str">
        <f>"Αναγράφεται: " &amp; C57 &amp; " ΚΑΛΩΔΙΑ 15.2mm (Type 1670/1860)"</f>
        <v>Αναγράφεται: 2 ΚΑΛΩΔΙΑ 15.2mm (Type 1670/1860)</v>
      </c>
    </row>
    <row r="58" spans="1:6" ht="16" x14ac:dyDescent="0.45">
      <c r="A58" s="7" t="s">
        <v>119</v>
      </c>
      <c r="B58" s="8" t="s">
        <v>95</v>
      </c>
      <c r="C58" s="14">
        <v>19.5</v>
      </c>
      <c r="D58" s="10" t="s">
        <v>27</v>
      </c>
      <c r="E58" s="11" t="s">
        <v>108</v>
      </c>
      <c r="F58" s="12" t="str">
        <f>"8.5m ελεύθερο + 11.0m πάκτωση grout = " &amp; TEXT(C58,"0.00") &amp; "m (30°, 412 kN)"</f>
        <v>8.5m ελεύθερο + 11.0m πάκτωση grout = 19.50m (30°, 412 kN)</v>
      </c>
    </row>
    <row r="59" spans="1:6" ht="16" x14ac:dyDescent="0.45">
      <c r="A59" s="7" t="s">
        <v>120</v>
      </c>
      <c r="B59" s="8" t="s">
        <v>97</v>
      </c>
      <c r="C59" s="13">
        <v>3</v>
      </c>
      <c r="D59" s="10" t="s">
        <v>89</v>
      </c>
      <c r="E59" s="11" t="s">
        <v>108</v>
      </c>
      <c r="F59" s="12" t="str">
        <f>"Αναγράφεται: " &amp; C59 &amp; " ΚΑΛΩΔΙΑ 15.2mm (Type 1670/1860)"</f>
        <v>Αναγράφεται: 3 ΚΑΛΩΔΙΑ 15.2mm (Type 1670/1860)</v>
      </c>
    </row>
    <row r="60" spans="1:6" ht="16" x14ac:dyDescent="0.45">
      <c r="A60" s="7" t="s">
        <v>121</v>
      </c>
      <c r="B60" s="8" t="s">
        <v>122</v>
      </c>
      <c r="C60" s="14">
        <v>16</v>
      </c>
      <c r="D60" s="10" t="s">
        <v>27</v>
      </c>
      <c r="E60" s="11" t="s">
        <v>108</v>
      </c>
      <c r="F60" s="12" t="str">
        <f>"4.0m ελεύθερο + 12.0m πάκτωση grout = " &amp; TEXT(C60,"0.00") &amp; "m (30°, 438 kN)"</f>
        <v>4.0m ελεύθερο + 12.0m πάκτωση grout = 16.00m (30°, 438 kN)</v>
      </c>
    </row>
    <row r="61" spans="1:6" ht="16" x14ac:dyDescent="0.45">
      <c r="A61" s="18" t="s">
        <v>123</v>
      </c>
      <c r="B61" s="19" t="s">
        <v>124</v>
      </c>
      <c r="C61" s="30">
        <v>3</v>
      </c>
      <c r="D61" s="21" t="s">
        <v>89</v>
      </c>
      <c r="E61" s="22" t="s">
        <v>108</v>
      </c>
      <c r="F61" s="23" t="str">
        <f>"Αναγράφεται: " &amp; C61 &amp; " ΚΑΛΩΔΙΑ 15.2mm (Type 1670/1860)"</f>
        <v>Αναγράφεται: 3 ΚΑΛΩΔΙΑ 15.2mm (Type 1670/1860)</v>
      </c>
    </row>
    <row r="63" spans="1:6" ht="17" x14ac:dyDescent="0.5">
      <c r="A63" s="5" t="s">
        <v>125</v>
      </c>
      <c r="B63" s="86" t="str">
        <f>"ΚΟΥΤΙ ΣΤΟΙΧΕΙΩΝ ΜΕΛΕΤΗΣ TYPE C — ΤΟΙΧΟΣ ΑΝΤΙΣΤΗΡΙΞΗΣ Γ (Εκσκαφή " &amp; TEXT(C66,"0.00") &amp; "m, " &amp; C64 &amp; "No Ζεύγη HEB 200, L_beam=" &amp; TEXT(C68,"0.00") &amp; "m, Εκσκαφή Νέφκας=" &amp; TEXT(IF(ISBLANK(C69),C68,C69),"0.00") &amp; "m, Πάκτωση " &amp; TEXT(C67,"0.00") &amp; "m)"</f>
        <v>ΚΟΥΤΙ ΣΤΟΙΧΕΙΩΝ ΜΕΛΕΤΗΣ TYPE C — ΤΟΙΧΟΣ ΑΝΤΙΣΤΗΡΙΞΗΣ Γ (Εκσκαφή 11.10m, 15No Ζεύγη HEB 200, L_beam=13.00m, Εκσκαφή Νέφκας=13.00m, Πάκτωση 1.50m)</v>
      </c>
      <c r="C63" s="87"/>
      <c r="D63" s="87"/>
      <c r="E63" s="87"/>
      <c r="F63" s="88"/>
    </row>
    <row r="64" spans="1:6" ht="16" x14ac:dyDescent="0.45">
      <c r="A64" s="7" t="s">
        <v>126</v>
      </c>
      <c r="B64" s="8" t="s">
        <v>127</v>
      </c>
      <c r="C64" s="13">
        <v>15</v>
      </c>
      <c r="D64" s="10" t="s">
        <v>71</v>
      </c>
      <c r="E64" s="11" t="s">
        <v>72</v>
      </c>
      <c r="F64" s="12" t="str">
        <f>"=" &amp; C64 &amp; " πάσσαλοι / θέσεις αγκυρώσεων (Βορειοδυτικό τμήμα Τοίχου Γ)"</f>
        <v>=15 πάσσαλοι / θέσεις αγκυρώσεων (Βορειοδυτικό τμήμα Τοίχου Γ)</v>
      </c>
    </row>
    <row r="65" spans="1:6" ht="16" x14ac:dyDescent="0.45">
      <c r="A65" s="7" t="s">
        <v>128</v>
      </c>
      <c r="B65" s="8" t="str">
        <f>"Αναπτυγμένο Μήκος Μετώπου Type C (" &amp; C64 &amp; " × " &amp; TEXT(C10,"0.00") &amp; "m)"</f>
        <v>Αναπτυγμένο Μήκος Μετώπου Type C (15 × 1.50m)</v>
      </c>
      <c r="C65" s="24">
        <f>C64*C10</f>
        <v>22.5</v>
      </c>
      <c r="D65" s="10" t="s">
        <v>74</v>
      </c>
      <c r="E65" s="11" t="s">
        <v>75</v>
      </c>
      <c r="F65" s="12" t="str">
        <f>"=" &amp; C64 &amp; " πάσσαλοι × " &amp; TEXT(C10,"0.00") &amp; "m = " &amp; TEXT(C65,"0.00") &amp; " τρ.μ."</f>
        <v>=15 πάσσαλοι × 1.50m = 22.50 τρ.μ.</v>
      </c>
    </row>
    <row r="66" spans="1:6" ht="16" x14ac:dyDescent="0.45">
      <c r="A66" s="7" t="s">
        <v>129</v>
      </c>
      <c r="B66" s="8" t="s">
        <v>130</v>
      </c>
      <c r="C66" s="14">
        <v>11.1</v>
      </c>
      <c r="D66" s="10" t="s">
        <v>27</v>
      </c>
      <c r="E66" s="11" t="s">
        <v>131</v>
      </c>
      <c r="F66" s="12" t="str">
        <f>"Αναγραφόμενο ελεύθερο ύψος εκσκαφής " &amp; (C66*1000) &amp; " mm (" &amp; TEXT(C66,"0.00") &amp; " m)"</f>
        <v>Αναγραφόμενο ελεύθερο ύψος εκσκαφής 11100 mm (11.10 m)</v>
      </c>
    </row>
    <row r="67" spans="1:6" ht="16" x14ac:dyDescent="0.45">
      <c r="A67" s="7" t="s">
        <v>132</v>
      </c>
      <c r="B67" s="8" t="s">
        <v>133</v>
      </c>
      <c r="C67" s="14">
        <v>1.5</v>
      </c>
      <c r="D67" s="10" t="s">
        <v>27</v>
      </c>
      <c r="E67" s="11" t="s">
        <v>131</v>
      </c>
      <c r="F67" s="12" t="str">
        <f>"Αναγραφόμενο ύψος πάκτωσης σκυροδέματος " &amp; (C67*1000) &amp; " mm (" &amp; TEXT(C67,"0.00") &amp; " m) στη βάση της νέφκας"</f>
        <v>Αναγραφόμενο ύψος πάκτωσης σκυροδέματος 1500 mm (1.50 m) στη βάση της νέφκας</v>
      </c>
    </row>
    <row r="68" spans="1:6" ht="16" x14ac:dyDescent="0.45">
      <c r="A68" s="7" t="s">
        <v>134</v>
      </c>
      <c r="B68" s="8" t="s">
        <v>135</v>
      </c>
      <c r="C68" s="14">
        <v>13</v>
      </c>
      <c r="D68" s="10" t="s">
        <v>27</v>
      </c>
      <c r="E68" s="11" t="s">
        <v>131</v>
      </c>
      <c r="F68" s="12" t="str">
        <f>"Αναγραφόμενο συνολικό μήκος νέφκας " &amp; (C68*1000) &amp; " mm (" &amp; TEXT(C68,"0.00") &amp; " m) — ελεύθερο " &amp; TEXT(C66,"0.00") &amp; "m, υπόγειο " &amp; TEXT(C68-C66,"0.00") &amp; "m, πάκτωση μπετόν " &amp; TEXT(C67,"0.00") &amp; "m"</f>
        <v>Αναγραφόμενο συνολικό μήκος νέφκας 13000 mm (13.00 m) — ελεύθερο 11.10m, υπόγειο 1.90m, πάκτωση μπετόν 1.50m</v>
      </c>
    </row>
    <row r="69" spans="1:6" ht="16" x14ac:dyDescent="0.45">
      <c r="A69" s="25" t="s">
        <v>136</v>
      </c>
      <c r="B69" s="26" t="s">
        <v>137</v>
      </c>
      <c r="C69" s="27"/>
      <c r="D69" s="10" t="s">
        <v>27</v>
      </c>
      <c r="E69" s="28" t="str">
        <f>IF(ISBLANK(C69),"Δεν δόθηκε WPL / Cut-Off Level","Δόθηκε WPL / Cut-Off Level")</f>
        <v>Δεν δόθηκε WPL / Cut-Off Level</v>
      </c>
      <c r="F69" s="29" t="str">
        <f>IF(ISBLANK(C69),"[!!! ΕΛΛΕΙΨΗ WPL / CUT-OFF LEVEL — ΚΟΚΚΙΝΟ ΚΕΛΙ !!!]: Δεν δόθηκε WPL / Cut-Off Level. Θεωρείται ότι το ύψος εκσκαφής νεφκών ισούται με το μήκος νέφκας (" &amp; TEXT(C68,"0.00") &amp; " m). Αν δοθεί WPL/Cut-Off Level, συμπληρώστε το εδώ!","[ΕΦΑΡΜΟΓΗ WPL / CUT-OFF LEVEL]: Το ύψος εκσκαφής/διάτρησης νεφκών ορίστηκε βάσει WPL σε " &amp; TEXT(C69,"0.00") &amp; " m (αντί " &amp; TEXT(C68,"0.00") &amp; " m της νέφκας).")</f>
        <v>[!!! ΕΛΛΕΙΨΗ WPL / CUT-OFF LEVEL — ΚΟΚΚΙΝΟ ΚΕΛΙ !!!]: Δεν δόθηκε WPL / Cut-Off Level. Θεωρείται ότι το ύψος εκσκαφής νεφκών ισούται με το μήκος νέφκας (13.00 m). Αν δοθεί WPL/Cut-Off Level, συμπληρώστε το εδώ!</v>
      </c>
    </row>
    <row r="70" spans="1:6" ht="16" x14ac:dyDescent="0.45">
      <c r="A70" s="7" t="s">
        <v>138</v>
      </c>
      <c r="B70" s="8" t="s">
        <v>86</v>
      </c>
      <c r="C70" s="14">
        <v>19</v>
      </c>
      <c r="D70" s="10" t="s">
        <v>27</v>
      </c>
      <c r="E70" s="11" t="s">
        <v>131</v>
      </c>
      <c r="F70" s="12" t="str">
        <f>"9.0m ελεύθερο + 10.0m πάκτωση grout = " &amp; TEXT(C70,"0.00") &amp; "m (30°, 176 kN)"</f>
        <v>9.0m ελεύθερο + 10.0m πάκτωση grout = 19.00m (30°, 176 kN)</v>
      </c>
    </row>
    <row r="71" spans="1:6" ht="16" x14ac:dyDescent="0.45">
      <c r="A71" s="7" t="s">
        <v>139</v>
      </c>
      <c r="B71" s="8" t="s">
        <v>88</v>
      </c>
      <c r="C71" s="13">
        <v>3</v>
      </c>
      <c r="D71" s="10" t="s">
        <v>89</v>
      </c>
      <c r="E71" s="11" t="s">
        <v>131</v>
      </c>
      <c r="F71" s="12" t="str">
        <f>"Αναγράφεται: " &amp; C71 &amp; " ΚΑΛΩΔΙΑ 15.2mm (Type 1670/1860)"</f>
        <v>Αναγράφεται: 3 ΚΑΛΩΔΙΑ 15.2mm (Type 1670/1860)</v>
      </c>
    </row>
    <row r="72" spans="1:6" ht="16" x14ac:dyDescent="0.45">
      <c r="A72" s="7" t="s">
        <v>140</v>
      </c>
      <c r="B72" s="8" t="s">
        <v>91</v>
      </c>
      <c r="C72" s="14">
        <v>17</v>
      </c>
      <c r="D72" s="10" t="s">
        <v>27</v>
      </c>
      <c r="E72" s="11" t="s">
        <v>131</v>
      </c>
      <c r="F72" s="12" t="str">
        <f>"7.0m ελεύθερο + 10.0m πάκτωση grout = " &amp; TEXT(C72,"0.00") &amp; "m (30°, 371 kN)"</f>
        <v>7.0m ελεύθερο + 10.0m πάκτωση grout = 17.00m (30°, 371 kN)</v>
      </c>
    </row>
    <row r="73" spans="1:6" ht="16" x14ac:dyDescent="0.45">
      <c r="A73" s="7" t="s">
        <v>141</v>
      </c>
      <c r="B73" s="8" t="s">
        <v>93</v>
      </c>
      <c r="C73" s="13">
        <v>3</v>
      </c>
      <c r="D73" s="10" t="s">
        <v>89</v>
      </c>
      <c r="E73" s="11" t="s">
        <v>131</v>
      </c>
      <c r="F73" s="12" t="str">
        <f>"Αναγράφεται: " &amp; C73 &amp; " ΚΑΛΩΔΙΑ 15.2mm (Type 1670/1860)"</f>
        <v>Αναγράφεται: 3 ΚΑΛΩΔΙΑ 15.2mm (Type 1670/1860)</v>
      </c>
    </row>
    <row r="74" spans="1:6" ht="16" x14ac:dyDescent="0.45">
      <c r="A74" s="7" t="s">
        <v>142</v>
      </c>
      <c r="B74" s="8" t="s">
        <v>95</v>
      </c>
      <c r="C74" s="14">
        <v>16</v>
      </c>
      <c r="D74" s="10" t="s">
        <v>27</v>
      </c>
      <c r="E74" s="11" t="s">
        <v>131</v>
      </c>
      <c r="F74" s="12" t="str">
        <f>"6.0m ελεύθερο + 10.0m πάκτωση grout = " &amp; TEXT(C74,"0.00") &amp; "m (30°, 341.6 kN)"</f>
        <v>6.0m ελεύθερο + 10.0m πάκτωση grout = 16.00m (30°, 341.6 kN)</v>
      </c>
    </row>
    <row r="75" spans="1:6" ht="16" x14ac:dyDescent="0.45">
      <c r="A75" s="18" t="s">
        <v>143</v>
      </c>
      <c r="B75" s="19" t="s">
        <v>97</v>
      </c>
      <c r="C75" s="30">
        <v>3</v>
      </c>
      <c r="D75" s="21" t="s">
        <v>89</v>
      </c>
      <c r="E75" s="22" t="s">
        <v>131</v>
      </c>
      <c r="F75" s="23" t="str">
        <f>"Αναγράφεται: " &amp; C75 &amp; " ΚΑΛΩΔΙΑ 15.2mm (Type 1670/1860)"</f>
        <v>Αναγράφεται: 3 ΚΑΛΩΔΙΑ 15.2mm (Type 1670/1860)</v>
      </c>
    </row>
    <row r="77" spans="1:6" x14ac:dyDescent="0.35">
      <c r="A77" s="92" t="s">
        <v>144</v>
      </c>
      <c r="B77" s="93"/>
      <c r="C77" s="93"/>
      <c r="D77" s="93"/>
      <c r="E77" s="93"/>
      <c r="F77" s="93"/>
    </row>
    <row r="78" spans="1:6" ht="16" x14ac:dyDescent="0.35">
      <c r="A78" s="3" t="s">
        <v>3</v>
      </c>
      <c r="B78" s="4" t="s">
        <v>145</v>
      </c>
      <c r="C78" s="3" t="s">
        <v>146</v>
      </c>
      <c r="D78" s="3" t="s">
        <v>6</v>
      </c>
      <c r="E78" s="4" t="s">
        <v>147</v>
      </c>
      <c r="F78" s="4" t="s">
        <v>8</v>
      </c>
    </row>
    <row r="79" spans="1:6" ht="17" x14ac:dyDescent="0.45">
      <c r="A79" s="31" t="s">
        <v>148</v>
      </c>
      <c r="B79" s="89" t="s">
        <v>149</v>
      </c>
      <c r="C79" s="90"/>
      <c r="D79" s="90"/>
      <c r="E79" s="90"/>
      <c r="F79" s="91"/>
    </row>
    <row r="80" spans="1:6" ht="16" x14ac:dyDescent="0.45">
      <c r="A80" s="7" t="s">
        <v>150</v>
      </c>
      <c r="B80" s="8" t="str">
        <f>"Διατομή / Όγκος Οπής Μεγάλου Τρυπανιού ανά Μέτρο (Ø" &amp; (C11*1000) &amp; "mm)"</f>
        <v>Διατομή / Όγκος Οπής Μεγάλου Τρυπανιού ανά Μέτρο (Ø800mm)</v>
      </c>
      <c r="C80" s="32">
        <f>PI()*((C11/2)^2)</f>
        <v>0.50265482457436694</v>
      </c>
      <c r="D80" s="10" t="s">
        <v>151</v>
      </c>
      <c r="E80" s="11" t="str">
        <f>"π × (" &amp; TEXT(C11,"0.00") &amp; "/2)² = " &amp; TEXT(C80,"0.0000") &amp; " m³/m"</f>
        <v>π × (0.80/2)² = 0.5027 m³/m</v>
      </c>
      <c r="F80" s="12" t="str">
        <f>"=" &amp; TEXT(C80,"0.0000") &amp; " m³/m για διάτρηση Ø" &amp; (C11*1000) &amp; "mm"</f>
        <v>=0.5027 m³/m για διάτρηση Ø800mm</v>
      </c>
    </row>
    <row r="81" spans="1:6" ht="16" x14ac:dyDescent="0.45">
      <c r="A81" s="7" t="s">
        <v>152</v>
      </c>
      <c r="B81" s="8" t="str">
        <f>"Υπολογιστικό Βάρος Σχάρας #Y" &amp; C21 &amp; "/" &amp; C22 &amp; " ανά m² (Οριζ. + Κατακ.)"</f>
        <v>Υπολογιστικό Βάρος Σχάρας #Y8/150 ανά m² (Οριζ. + Κατακ.)</v>
      </c>
      <c r="C81" s="17">
        <f>ROUND(2*(1000/C22)*((PI()*((C21/1000)^2)/4)*7850), 3)</f>
        <v>5.2610000000000001</v>
      </c>
      <c r="D81" s="10" t="s">
        <v>153</v>
      </c>
      <c r="E81" s="11" t="str">
        <f>"2 × (1000/" &amp; C22 &amp; ") × " &amp; TEXT((PI()*((C21/1000)^2)/4)*7850,"0.000") &amp; " kg/m = " &amp; TEXT(C81,"0.000") &amp; " kg/m²"</f>
        <v>2 × (1000/150) × 0.395 kg/m = 5.261 kg/m²</v>
      </c>
      <c r="F81" s="12" t="str">
        <f>"=" &amp; TEXT(C81,"0.000") &amp; " kg/m² για #Y" &amp; C21 &amp; "/" &amp; C22 &amp; " (2 κατευθύνσεις)"</f>
        <v>=5.261 kg/m² για #Y8/150 (2 κατευθύνσεις)</v>
      </c>
    </row>
    <row r="82" spans="1:6" ht="16" x14ac:dyDescent="0.45">
      <c r="A82" s="7" t="s">
        <v>154</v>
      </c>
      <c r="B82" s="8" t="str">
        <f>"Όγκος Grout Αγκύρωσης ανά Μέτρο Διάτρησης (Ø" &amp; (C26*1000) &amp; "mm × " &amp; TEXT(C27,"0.00") &amp; ")"</f>
        <v>Όγκος Grout Αγκύρωσης ανά Μέτρο Διάτρησης (Ø120mm × 1.20)</v>
      </c>
      <c r="C82" s="33">
        <f>PI()*((C26/2)^2)*C27</f>
        <v>1.3571680263507906E-2</v>
      </c>
      <c r="D82" s="10" t="s">
        <v>151</v>
      </c>
      <c r="E82" s="11" t="str">
        <f>"π × (" &amp; TEXT(C26,"0.00") &amp; "/2)² × " &amp; TEXT(C27,"0.00") &amp; " = " &amp; TEXT(C82,"0.000000") &amp; " m³/m"</f>
        <v>π × (0.12/2)² × 1.20 = 0.013572 m³/m</v>
      </c>
      <c r="F82" s="12" t="str">
        <f>"=" &amp; TEXT(C82,"0.000000") &amp; " m³/m (συμπεριλαμβάνει +" &amp; TEXT(C27-1,"0%") &amp; " απώλεια)"</f>
        <v>=0.013572 m³/m (συμπεριλαμβάνει +20% απώλεια)</v>
      </c>
    </row>
    <row r="83" spans="1:6" ht="16" x14ac:dyDescent="0.45">
      <c r="A83" s="18" t="s">
        <v>155</v>
      </c>
      <c r="B83" s="19" t="str">
        <f>"Ποσοστό Απώλειας Shotcrete επί του Ονομαστικού Πάχους (+" &amp; (C25*100) &amp; "cm / " &amp; (C24*100) &amp; "cm)"</f>
        <v>Ποσοστό Απώλειας Shotcrete επί του Ονομαστικού Πάχους (+5cm / 15cm)</v>
      </c>
      <c r="C83" s="34">
        <f>C25/C24</f>
        <v>0.33333333333333337</v>
      </c>
      <c r="D83" s="21" t="s">
        <v>156</v>
      </c>
      <c r="E83" s="22" t="str">
        <f>"Απώλεια " &amp; TEXT(C25,"0.00") &amp; "m / Ονομαστικό " &amp; TEXT(C24,"0.00") &amp; "m = " &amp; TEXT(C83,"0.0%")</f>
        <v>Απώλεια 0.05m / Ονομαστικό 0.15m = 33.3%</v>
      </c>
      <c r="F83" s="23" t="str">
        <f>"+" &amp; TEXT(C83,"0.0%") &amp; " προσαύξηση λόγω αναπήδησης (+" &amp; (C25*100) &amp; "cm)"</f>
        <v>+33.3% προσαύξηση λόγω αναπήδησης (+5cm)</v>
      </c>
    </row>
    <row r="85" spans="1:6" ht="17" x14ac:dyDescent="0.5">
      <c r="A85" s="5" t="s">
        <v>68</v>
      </c>
      <c r="B85" s="6" t="str">
        <f>"BERLIN WALL TYPE A: " &amp; C32 &amp; "No Ζεύγη HEB220, L_beam=" &amp; TEXT(C36,"0.00") &amp; "m (Διάτρηση=" &amp; TEXT(IF(ISBLANK(C37),C36,C37),"0.00") &amp; "m), Εκσκαφή " &amp; TEXT(C34,"0.00") &amp; "m, " &amp; TEXT(C33,"0.00") &amp; " τρ.μ."</f>
        <v>BERLIN WALL TYPE A: 27No Ζεύγη HEB220, L_beam=19.00m (Διάτρηση=19.00m), Εκσκαφή 17.00m, 40.50 τρ.μ.</v>
      </c>
      <c r="C85" s="35">
        <f>C33</f>
        <v>40.5</v>
      </c>
      <c r="D85" s="36" t="s">
        <v>74</v>
      </c>
      <c r="E85" s="37" t="str">
        <f>"Περίμετρος Type A = " &amp; C32 &amp; " × " &amp; TEXT(C10,"0.00") &amp; "m = " &amp; TEXT(C33,"0.00") &amp; " m"</f>
        <v>Περίμετρος Type A = 27 × 1.50m = 40.50 m</v>
      </c>
      <c r="F85" s="38" t="s">
        <v>157</v>
      </c>
    </row>
    <row r="86" spans="1:6" ht="16" x14ac:dyDescent="0.45">
      <c r="A86" s="7" t="s">
        <v>158</v>
      </c>
      <c r="B86" s="8" t="str">
        <f>"ΤΡΥΠΗΜΑ / ΕΚΣΚΑΦΗ ΝΕΦΚΩΝ Ø" &amp; (C11*1000) &amp; "mm = " &amp; C32 &amp; "No X " &amp; TEXT(IF(ISBLANK(C37),C36,C37),"0.00") &amp; "m (Όγκος: " &amp; TEXT(ROUND(C86*C80,2),"#,##0.00") &amp; " m³)"</f>
        <v>ΤΡΥΠΗΜΑ / ΕΚΣΚΑΦΗ ΝΕΦΚΩΝ Ø800mm = 27No X 19.00m (Όγκος: 257.86 m³)</v>
      </c>
      <c r="C86" s="39">
        <f>C32*IF(ISBLANK(C37),C36,C37)</f>
        <v>513</v>
      </c>
      <c r="D86" s="10" t="s">
        <v>27</v>
      </c>
      <c r="E86" s="11" t="str">
        <f>"=" &amp; C32 &amp; " πάσσαλοι × " &amp; TEXT(IF(ISBLANK(C37),C36,C37),"0.00") &amp; "m = " &amp; TEXT(C86,"#,##0.00") &amp; " m (Όγκος Εκσκαφής = " &amp; TEXT(ROUND(C86*C80,2),"#,##0.00") &amp; " m³)"</f>
        <v>=27 πάσσαλοι × 19.00m = 513.00 m (Όγκος Εκσκαφής = 257.86 m³)</v>
      </c>
      <c r="F86" s="12" t="str">
        <f>IF(ISBLANK(C37),"[ΧΩΡΙΣ WPL]: Εκσκαφή με μήκος νέφκας " &amp; TEXT(C36,"0.00") &amp; "m → Όγκος = " &amp; TEXT(ROUND(C86*C80,2),"#,##0.00") &amp; " m³","[ΜΕ WPL]: Εκσκαφή βάσει WPL " &amp; TEXT(C37,"0.00") &amp; "m (Νέφκα " &amp; TEXT(C36,"0.00") &amp; "m) → Όγκος = " &amp; TEXT(ROUND(C86*C80,2),"#,##0.00") &amp; " m³")</f>
        <v>[ΧΩΡΙΣ WPL]: Εκσκαφή με μήκος νέφκας 19.00m → Όγκος = 257.86 m³</v>
      </c>
    </row>
    <row r="87" spans="1:6" ht="16" x14ac:dyDescent="0.45">
      <c r="A87" s="7" t="s">
        <v>159</v>
      </c>
      <c r="B87" s="8" t="str">
        <f>"ΜΠΕΤΟΝ ΠΑΚΤΩΣΗΣ " &amp; C23 &amp; " = " &amp; C32 &amp; "No X " &amp; TEXT(C35,"0.00") &amp; "m X " &amp; TEXT(C80,"0.000") &amp; "m³/m"</f>
        <v>ΜΠΕΤΟΝ ΠΑΚΤΩΣΗΣ C30/37 = 27No X 1.50m X 0.503m³/m</v>
      </c>
      <c r="C87" s="39">
        <f>ROUND(C32*C35*C80, 2)</f>
        <v>20.36</v>
      </c>
      <c r="D87" s="10" t="s">
        <v>160</v>
      </c>
      <c r="E87" s="11" t="str">
        <f>"=" &amp; C32 &amp; " × " &amp; TEXT(C35,"0.00") &amp; "m × " &amp; TEXT(C80,"0.0000") &amp; " = " &amp; TEXT(C87,"#,##0.00") &amp; " m³"</f>
        <v>=27 × 1.50m × 0.5027 = 20.36 m³</v>
      </c>
      <c r="F87" s="12" t="str">
        <f>"Κουγκρί πάκτωσης σε ύψος H_embed = " &amp; TEXT(C35,"0.00") &amp; "m (" &amp; (C35*1000) &amp; "mm)"</f>
        <v>Κουγκρί πάκτωσης σε ύψος H_embed = 1.50m (1500mm)</v>
      </c>
    </row>
    <row r="88" spans="1:6" ht="16" x14ac:dyDescent="0.45">
      <c r="A88" s="7" t="s">
        <v>161</v>
      </c>
      <c r="B88" s="8" t="str">
        <f>"HEB220 - ΠΡΟΜΗΘΕΙΑ, ΕΠΕΞΕΡΓΑΣΙΑ &amp; ΤΟΠΟΘΕΤΗΣΗ (" &amp; C32 &amp; "No x " &amp; C12 &amp; "No x " &amp; TEXT(C36,"0.00") &amp; "m x " &amp; TEXT(C13,"0.0") &amp; "kg/m)"</f>
        <v>HEB220 - ΠΡΟΜΗΘΕΙΑ, ΕΠΕΞΕΡΓΑΣΙΑ &amp; ΤΟΠΟΘΕΤΗΣΗ (27No x 2No x 19.00m x 71.5kg/m)</v>
      </c>
      <c r="C88" s="39">
        <f>ROUND(C32*C12*C36*C13, 2)</f>
        <v>73359</v>
      </c>
      <c r="D88" s="10" t="s">
        <v>162</v>
      </c>
      <c r="E88" s="11" t="str">
        <f>"=" &amp; C32 &amp; " × " &amp; C12 &amp; " × " &amp; TEXT(C36,"0.00") &amp; "m × " &amp; TEXT(C13,"0.0") &amp; " = " &amp; TEXT(C88,"#,##0.00") &amp; " kg"</f>
        <v>=27 × 2 × 19.00m × 71.5 = 73,359.00 kg</v>
      </c>
      <c r="F88" s="12" t="s">
        <v>163</v>
      </c>
    </row>
    <row r="89" spans="1:6" ht="16" x14ac:dyDescent="0.45">
      <c r="A89" s="7" t="s">
        <v>164</v>
      </c>
      <c r="B89" s="8" t="str">
        <f>"ΛΑΜΕΣ ΣΥΝΔΕΣΗΣ " &amp; C16 &amp; "x" &amp; C17 &amp; "x" &amp; C18 &amp; "mm = " &amp; C32 &amp; "No x (" &amp; (C36/C15) &amp; "No x " &amp; TEXT(C19,"0.000") &amp; "kg)"</f>
        <v>ΛΑΜΕΣ ΣΥΝΔΕΣΗΣ 200x200x10mm = 27No x (19No x 3.140kg)</v>
      </c>
      <c r="C89" s="39">
        <f>ROUND(C32*(C36/C15)*C19, 2)</f>
        <v>1610.82</v>
      </c>
      <c r="D89" s="10" t="s">
        <v>162</v>
      </c>
      <c r="E89" s="11" t="str">
        <f>"=" &amp; C32 &amp; " × " &amp; (C36/C15) &amp; " λάμες/οπή (" &amp; (C32*(C36/C15)) &amp; " τεμ.) × " &amp; TEXT(C19,"0.000") &amp; " kg"</f>
        <v>=27 × 19 λάμες/οπή (513 τεμ.) × 3.140 kg</v>
      </c>
      <c r="F89" s="12" t="str">
        <f>"Κανόνας 3.2: L_beam / s_plate = " &amp; TEXT(C36,"0.0") &amp; "m / " &amp; TEXT(C15,"0.0") &amp; "m = " &amp; (C36/C15) &amp; " λάμες/οπή (" &amp; C16 &amp; "x" &amp; C17 &amp; "x" &amp; C18 &amp; "mm)"</f>
        <v>Κανόνας 3.2: L_beam / s_plate = 19.0m / 1.0m = 19 λάμες/οπή (200x200x10mm)</v>
      </c>
    </row>
    <row r="90" spans="1:6" ht="16" x14ac:dyDescent="0.45">
      <c r="A90" s="7" t="s">
        <v>165</v>
      </c>
      <c r="B90" s="8" t="str">
        <f>"ΓΩΝΙΕΣ ΣΤΗΡΙΞΗΣ L70x70x6mm = " &amp; C32 &amp; "No x " &amp; TEXT(C34,"0.00") &amp; "m x " &amp; TEXT(C20,"0.00") &amp; "kg/m x 2No"</f>
        <v>ΓΩΝΙΕΣ ΣΤΗΡΙΞΗΣ L70x70x6mm = 27No x 17.00m x 6.38kg/m x 2No</v>
      </c>
      <c r="C90" s="39">
        <f>ROUND(C32*2*C34*C20, 2)</f>
        <v>5856.84</v>
      </c>
      <c r="D90" s="10" t="s">
        <v>162</v>
      </c>
      <c r="E90" s="11" t="str">
        <f>"=" &amp; C32 &amp; " × 2 × " &amp; TEXT(C34,"0.00") &amp; "m (" &amp; TEXT(C32*2*C34,"0.0") &amp; "m) × " &amp; TEXT(C20,"0.00") &amp; " kg/m"</f>
        <v>=27 × 2 × 17.00m (918.0m) × 6.38 kg/m</v>
      </c>
      <c r="F90" s="12" t="str">
        <f>"2 γωνιές L 70x70x6 ανά πάσσαλο στο ύψος εκσκαφής " &amp; TEXT(C34,"0.00") &amp; "m"</f>
        <v>2 γωνιές L 70x70x6 ανά πάσσαλο στο ύψος εκσκαφής 17.00m</v>
      </c>
    </row>
    <row r="91" spans="1:6" ht="16" x14ac:dyDescent="0.45">
      <c r="A91" s="7" t="s">
        <v>166</v>
      </c>
      <c r="B91" s="8" t="str">
        <f>"ΑΓΟΡΑ ΧΑΛΥΒΑ ΣΧΑΡΑΣ #Y" &amp; C21 &amp; "/" &amp; C22 &amp; " = " &amp; TEXT(C92,"#,##0.00") &amp; "m² x " &amp; TEXT(C81,"0.000") &amp; "kg/m²"</f>
        <v>ΑΓΟΡΑ ΧΑΛΥΒΑ ΣΧΑΡΑΣ #Y8/150 = 688.50m² x 5.261kg/m²</v>
      </c>
      <c r="C91" s="39">
        <f>ROUND(C92*C81, 2)</f>
        <v>3622.2</v>
      </c>
      <c r="D91" s="10" t="s">
        <v>162</v>
      </c>
      <c r="E91" s="11" t="str">
        <f>"=" &amp; TEXT(C92,"#,##0.00") &amp; " m² × " &amp; TEXT(C81,"0.000") &amp; " kg/m² = " &amp; TEXT(C91,"#,##0.00") &amp; " kg"</f>
        <v>=688.50 m² × 5.261 kg/m² = 3,622.20 kg</v>
      </c>
      <c r="F91" s="12" t="str">
        <f>"Χάλυβας σχάρας #Y" &amp; C21 &amp; "/" &amp; C22 &amp; " μετώπου Type A"</f>
        <v>Χάλυβας σχάρας #Y8/150 μετώπου Type A</v>
      </c>
    </row>
    <row r="92" spans="1:6" ht="16" x14ac:dyDescent="0.45">
      <c r="A92" s="7" t="s">
        <v>167</v>
      </c>
      <c r="B92" s="8" t="str">
        <f>"ΤΟΠΟΘΕΤΗΣΗ ΣΧΑΡΑΣ ΜΕΤΩΠΟΥ = " &amp; TEXT(C33,"0.00") &amp; "m X " &amp; TEXT(C34,"0.00") &amp; "m"</f>
        <v>ΤΟΠΟΘΕΤΗΣΗ ΣΧΑΡΑΣ ΜΕΤΩΠΟΥ = 40.50m X 17.00m</v>
      </c>
      <c r="C92" s="39">
        <f>ROUND(C33*C34, 2)</f>
        <v>688.5</v>
      </c>
      <c r="D92" s="10" t="s">
        <v>168</v>
      </c>
      <c r="E92" s="11" t="str">
        <f>"=" &amp; TEXT(C33,"0.00") &amp; "m × " &amp; TEXT(C34,"0.00") &amp; "m = " &amp; TEXT(C92,"#,##0.00") &amp; " m²"</f>
        <v>=40.50m × 17.00m = 688.50 m²</v>
      </c>
      <c r="F92" s="12" t="s">
        <v>169</v>
      </c>
    </row>
    <row r="93" spans="1:6" ht="16" x14ac:dyDescent="0.45">
      <c r="A93" s="7" t="s">
        <v>170</v>
      </c>
      <c r="B93" s="8" t="str">
        <f>"ΑΓΟΡΑ ΣΚΥΡΟΔΕΜΑΤΟΣ SHOTCRETE " &amp; C23 &amp; " = " &amp; TEXT(C92,"#,##0.00") &amp; "m² x " &amp; TEXT(C24,"0.00") &amp; "m"</f>
        <v>ΑΓΟΡΑ ΣΚΥΡΟΔΕΜΑΤΟΣ SHOTCRETE C30/37 = 688.50m² x 0.15m</v>
      </c>
      <c r="C93" s="39">
        <f>ROUND(C92*C24, 2)</f>
        <v>103.28</v>
      </c>
      <c r="D93" s="10" t="s">
        <v>160</v>
      </c>
      <c r="E93" s="11" t="str">
        <f>"=" &amp; TEXT(C92,"#,##0.00") &amp; " m² × " &amp; TEXT(C24,"0.00") &amp; "m = " &amp; TEXT(C93,"#,##0.00") &amp; " m³"</f>
        <v>=688.50 m² × 0.15m = 103.28 m³</v>
      </c>
      <c r="F93" s="12" t="str">
        <f>"Ονομαστικός όγκος Shotcrete (πάχος " &amp; (C24*100) &amp; "cm)"</f>
        <v>Ονομαστικός όγκος Shotcrete (πάχος 15cm)</v>
      </c>
    </row>
    <row r="94" spans="1:6" ht="16" x14ac:dyDescent="0.45">
      <c r="A94" s="7" t="s">
        <v>171</v>
      </c>
      <c r="B94" s="8" t="str">
        <f>"ΤΟΠΟΘΕΤΗΣΗ / ΕΚΤΟΞΕΥΣΗ SHOTCRETE = " &amp; TEXT(C92,"#,##0.00") &amp; "m² x " &amp; TEXT(C24,"0.00") &amp; "m (με απώλεια +" &amp; TEXT(C83,"0.0%") &amp; ")"</f>
        <v>ΤΟΠΟΘΕΤΗΣΗ / ΕΚΤΟΞΕΥΣΗ SHOTCRETE = 688.50m² x 0.15m (με απώλεια +33.3%)</v>
      </c>
      <c r="C94" s="39">
        <f>C93</f>
        <v>103.28</v>
      </c>
      <c r="D94" s="10" t="s">
        <v>160</v>
      </c>
      <c r="E94" s="11" t="str">
        <f>"Ονομαστικός όγκος " &amp; TEXT(C93,"#,##0.00") &amp; " m³ (η απώλεια +" &amp; (C25*100) &amp; "cm ενσωματώνεται στην τιμή μονάδας)"</f>
        <v>Ονομαστικός όγκος 103.28 m³ (η απώλεια +5cm ενσωματώνεται στην τιμή μονάδας)</v>
      </c>
      <c r="F94" s="12" t="s">
        <v>172</v>
      </c>
    </row>
    <row r="95" spans="1:6" ht="16" x14ac:dyDescent="0.45">
      <c r="A95" s="7" t="s">
        <v>173</v>
      </c>
      <c r="B95" s="8" t="str">
        <f>"ΔΙΑΤΡΗΣΗ ΑΓΚΥΡΩΣΕΩΝ Ø" &amp; (C26*1000) &amp; "mm (4 Σειρές: L1=" &amp; C38 &amp; "m, L2=" &amp; C40 &amp; "m, L3=" &amp; C42 &amp; "m, L4=" &amp; C44 &amp; "m)"</f>
        <v>ΔΙΑΤΡΗΣΗ ΑΓΚΥΡΩΣΕΩΝ Ø120mm (4 Σειρές: L1=20m, L2=19.5m, L3=20m, L4=18.5m)</v>
      </c>
      <c r="C95" s="39">
        <f>C32*(C38+C40+C42+C44)</f>
        <v>2106</v>
      </c>
      <c r="D95" s="10" t="s">
        <v>27</v>
      </c>
      <c r="E95" s="11" t="str">
        <f>"=" &amp; C32 &amp; "No × (" &amp; C38 &amp; "+" &amp; C40 &amp; "+" &amp; C42 &amp; "+" &amp; C44 &amp; "m) = " &amp; TEXT(C95,"#,##0.00") &amp; " m"</f>
        <v>=27No × (20+19.5+20+18.5m) = 2,106.00 m</v>
      </c>
      <c r="F95" s="12" t="str">
        <f>"Συνολικά μέτρα διάτρησης " &amp; C99 &amp; " αγκυρώσεων Type A"</f>
        <v>Συνολικά μέτρα διάτρησης 108 αγκυρώσεων Type A</v>
      </c>
    </row>
    <row r="96" spans="1:6" ht="16" x14ac:dyDescent="0.45">
      <c r="A96" s="7" t="s">
        <v>174</v>
      </c>
      <c r="B96" s="8" t="str">
        <f>"GROUT ΤΣΙΜΕΝΤΕΝΕΜΑ ΑΓΚΥΡΩΣΕΩΝ (με απώλεια " &amp; TEXT(C27,"0.00") &amp; ") = " &amp; TEXT(C95,"#,##0.00") &amp; "m x " &amp; TEXT(C82,"0.0000") &amp; "m³/m"</f>
        <v>GROUT ΤΣΙΜΕΝΤΕΝΕΜΑ ΑΓΚΥΡΩΣΕΩΝ (με απώλεια 1.20) = 2,106.00m x 0.0136m³/m</v>
      </c>
      <c r="C96" s="39">
        <f>ROUND(C95*C82, 2)</f>
        <v>28.58</v>
      </c>
      <c r="D96" s="10" t="s">
        <v>160</v>
      </c>
      <c r="E96" s="11" t="str">
        <f>"=" &amp; TEXT(C95,"#,##0.00") &amp; "m × " &amp; TEXT(C82,"0.000000") &amp; " m³/m = " &amp; TEXT(C96,"#,##0.00") &amp; " m³"</f>
        <v>=2,106.00m × 0.013572 m³/m = 28.58 m³</v>
      </c>
      <c r="F96" s="12" t="s">
        <v>175</v>
      </c>
    </row>
    <row r="97" spans="1:6" ht="16" x14ac:dyDescent="0.45">
      <c r="A97" s="7" t="s">
        <v>176</v>
      </c>
      <c r="B97" s="8" t="str">
        <f>"ΤΕΝΟΝΤΕΣ 0.6'' (" &amp; C39 &amp; " ΚΑΛΩΔΙΑ) — Σειρά 1 (L=" &amp; C38 &amp; "m) &amp; Σειρά 2 (L=" &amp; C40 &amp; "m) (+" &amp; TEXT(C28,"0.0") &amp; "m)"</f>
        <v>ΤΕΝΟΝΤΕΣ 0.6'' (2 ΚΑΛΩΔΙΑ) — Σειρά 1 (L=20m) &amp; Σειρά 2 (L=19.5m) (+1.0m)</v>
      </c>
      <c r="C97" s="39">
        <f>C32*(((C38+C28)*C39)+((C40+C28)*C41))</f>
        <v>2241</v>
      </c>
      <c r="D97" s="10" t="s">
        <v>27</v>
      </c>
      <c r="E97" s="11" t="str">
        <f>"=" &amp; C32 &amp; "No × ((" &amp; C38 &amp; "+" &amp; C28 &amp; ")×" &amp; C39 &amp; " + (" &amp; C40 &amp; "+" &amp; C28 &amp; ")×" &amp; C41 &amp; ") = " &amp; TEXT(C97,"#,##0.00") &amp; " m"</f>
        <v>=27No × ((20+1)×2 + (19.5+1)×2) = 2,241.00 m</v>
      </c>
      <c r="F97" s="12" t="str">
        <f>"=" &amp; (C32*2) &amp; " αγκυρώσεις 2-strands (Σειρές 1 &amp; 2 Τοίχου Α)"</f>
        <v>=54 αγκυρώσεις 2-strands (Σειρές 1 &amp; 2 Τοίχου Α)</v>
      </c>
    </row>
    <row r="98" spans="1:6" ht="16" x14ac:dyDescent="0.45">
      <c r="A98" s="7" t="s">
        <v>177</v>
      </c>
      <c r="B98" s="8" t="str">
        <f>"ΤΕΝΟΝΤΕΣ 0.6'' (" &amp; C43 &amp; " ΚΑΛΩΔΙΑ) — Σειρά 3 (L=" &amp; C42 &amp; "m) &amp; Σειρά 4 (L=" &amp; C44 &amp; "m) (+" &amp; TEXT(C28,"0.0") &amp; "m)"</f>
        <v>ΤΕΝΟΝΤΕΣ 0.6'' (3 ΚΑΛΩΔΙΑ) — Σειρά 3 (L=20m) &amp; Σειρά 4 (L=18.5m) (+1.0m)</v>
      </c>
      <c r="C98" s="39">
        <f>C32*(((C42+C28)*C43)+((C44+C28)*C45))</f>
        <v>3280.5</v>
      </c>
      <c r="D98" s="10" t="s">
        <v>27</v>
      </c>
      <c r="E98" s="11" t="str">
        <f>"=" &amp; C32 &amp; "No × ((" &amp; C42 &amp; "+" &amp; C28 &amp; ")×" &amp; C43 &amp; " + (" &amp; C44 &amp; "+" &amp; C28 &amp; ")×" &amp; C45 &amp; ") = " &amp; TEXT(C98,"#,##0.00") &amp; " m"</f>
        <v>=27No × ((20+1)×3 + (18.5+1)×3) = 3,280.50 m</v>
      </c>
      <c r="F98" s="12" t="str">
        <f>"=" &amp; (C32*2) &amp; " αγκυρώσεις 3-strands (Σειρές 3 &amp; 4 Τοίχου Α)"</f>
        <v>=54 αγκυρώσεις 3-strands (Σειρές 3 &amp; 4 Τοίχου Α)</v>
      </c>
    </row>
    <row r="99" spans="1:6" ht="16" x14ac:dyDescent="0.45">
      <c r="A99" s="7" t="s">
        <v>178</v>
      </c>
      <c r="B99" s="8" t="str">
        <f>"ΠΡΟΕΝΤΑΣΗ ΑΓΚΥΡΩΣΕΩΝ (STRESSING &amp; LOCK-OFF) = 4 Σειρές X " &amp; C32 &amp; "No"</f>
        <v>ΠΡΟΕΝΤΑΣΗ ΑΓΚΥΡΩΣΕΩΝ (STRESSING &amp; LOCK-OFF) = 4 Σειρές X 27No</v>
      </c>
      <c r="C99" s="40">
        <f>C32*4</f>
        <v>108</v>
      </c>
      <c r="D99" s="10" t="s">
        <v>71</v>
      </c>
      <c r="E99" s="11" t="str">
        <f>"= 4 σειρές × " &amp; C32 &amp; " πάσσαλοι = " &amp; C99 &amp; " αγκυρώσεις (" &amp; (C32*2) &amp; "×2-strands + " &amp; (C32*2) &amp; "×3-strands)"</f>
        <v>= 4 σειρές × 27 πάσσαλοι = 108 αγκυρώσεις (54×2-strands + 54×3-strands)</v>
      </c>
      <c r="F99" s="12" t="str">
        <f>"Τάνυση &amp; Lock-off " &amp; C99 &amp; " αγκυρώσεων Type A"</f>
        <v>Τάνυση &amp; Lock-off 108 αγκυρώσεων Type A</v>
      </c>
    </row>
    <row r="100" spans="1:6" ht="16" x14ac:dyDescent="0.45">
      <c r="A100" s="18" t="s">
        <v>179</v>
      </c>
      <c r="B100" s="19" t="str">
        <f>"ΚΕΦΑΛΕΣ ΑΓΚΥΡΩΣΗΣ (ANCHOR HEAD, WEDGES, PLATE) = 4 Σειρές X " &amp; C32 &amp; "No"</f>
        <v>ΚΕΦΑΛΕΣ ΑΓΚΥΡΩΣΗΣ (ANCHOR HEAD, WEDGES, PLATE) = 4 Σειρές X 27No</v>
      </c>
      <c r="C100" s="41">
        <f>C99</f>
        <v>108</v>
      </c>
      <c r="D100" s="21" t="s">
        <v>71</v>
      </c>
      <c r="E100" s="22" t="str">
        <f>"=" &amp; C100 &amp; " πλήρη σετ κεφαλών αγκύρωσης (Σειρές 1 έως 4)"</f>
        <v>=108 πλήρη σετ κεφαλών αγκύρωσης (Σειρές 1 έως 4)</v>
      </c>
      <c r="F100" s="23" t="str">
        <f>"Κεφαλές, σφήνες &amp; πλάκες " &amp; C100 &amp; " αγκυρώσεων Type A"</f>
        <v>Κεφαλές, σφήνες &amp; πλάκες 108 αγκυρώσεων Type A</v>
      </c>
    </row>
    <row r="102" spans="1:6" ht="17" x14ac:dyDescent="0.5">
      <c r="A102" s="5" t="s">
        <v>102</v>
      </c>
      <c r="B102" s="6" t="str">
        <f>"BERLIN WALL TYPE B: " &amp; C48 &amp; "No Ζεύγη HEB200, L_beam=" &amp; TEXT(C52,"0.00") &amp; "m (Διάτρηση=" &amp; TEXT(IF(ISBLANK(C53),C52,C53),"0.00") &amp; "m), Εκσκαφή " &amp; TEXT(C50,"0.00") &amp; "m, " &amp; TEXT(C49,"0.00") &amp; " τρ.μ."</f>
        <v>BERLIN WALL TYPE B: 74No Ζεύγη HEB200, L_beam=17.00m (Διάτρηση=17.00m), Εκσκαφή 15.60m, 111.00 τρ.μ.</v>
      </c>
      <c r="C102" s="35">
        <f>C49</f>
        <v>111</v>
      </c>
      <c r="D102" s="36" t="s">
        <v>74</v>
      </c>
      <c r="E102" s="37" t="str">
        <f>"Περίμετρος Type B = " &amp; C48 &amp; " × " &amp; TEXT(C10,"0.00") &amp; "m = " &amp; TEXT(C49,"0.00") &amp; " m"</f>
        <v>Περίμετρος Type B = 74 × 1.50m = 111.00 m</v>
      </c>
      <c r="F102" s="38" t="s">
        <v>180</v>
      </c>
    </row>
    <row r="103" spans="1:6" ht="16" x14ac:dyDescent="0.45">
      <c r="A103" s="7" t="s">
        <v>181</v>
      </c>
      <c r="B103" s="8" t="str">
        <f>"ΤΡΥΠΗΜΑ / ΕΚΣΚΑΦΗ ΝΕΦΚΩΝ Ø" &amp; (C11*1000) &amp; "mm = " &amp; C48 &amp; "No X " &amp; TEXT(IF(ISBLANK(C53),C52,C53),"0.00") &amp; "m (Όγκος: " &amp; TEXT(ROUND(C103*C80,2),"#,##0.00") &amp; " m³)"</f>
        <v>ΤΡΥΠΗΜΑ / ΕΚΣΚΑΦΗ ΝΕΦΚΩΝ Ø800mm = 74No X 17.00m (Όγκος: 632.34 m³)</v>
      </c>
      <c r="C103" s="39">
        <f>C48*IF(ISBLANK(C53),C52,C53)</f>
        <v>1258</v>
      </c>
      <c r="D103" s="10" t="s">
        <v>27</v>
      </c>
      <c r="E103" s="11" t="str">
        <f>"=" &amp; C48 &amp; " πάσσαλοι × " &amp; TEXT(IF(ISBLANK(C53),C52,C53),"0.00") &amp; "m = " &amp; TEXT(C103,"#,##0.00") &amp; " m (Όγκος Εκσκαφής = " &amp; TEXT(ROUND(C103*C80,2),"#,##0.00") &amp; " m³)"</f>
        <v>=74 πάσσαλοι × 17.00m = 1,258.00 m (Όγκος Εκσκαφής = 632.34 m³)</v>
      </c>
      <c r="F103" s="12" t="str">
        <f>IF(ISBLANK(C53),"[ΧΩΡΙΣ WPL]: Εκσκαφή με μήκος νέφκας " &amp; TEXT(C52,"0.00") &amp; "m → Όγκος = " &amp; TEXT(ROUND(C103*C80,2),"#,##0.00") &amp; " m³","[ΜΕ WPL]: Εκσκαφή βάσει WPL " &amp; TEXT(C53,"0.00") &amp; "m (Νέφκα " &amp; TEXT(C52,"0.00") &amp; "m) → Όγκος = " &amp; TEXT(ROUND(C103*C80,2),"#,##0.00") &amp; " m³")</f>
        <v>[ΧΩΡΙΣ WPL]: Εκσκαφή με μήκος νέφκας 17.00m → Όγκος = 632.34 m³</v>
      </c>
    </row>
    <row r="104" spans="1:6" ht="16" x14ac:dyDescent="0.45">
      <c r="A104" s="7" t="s">
        <v>182</v>
      </c>
      <c r="B104" s="8" t="str">
        <f>"ΜΠΕΤΟΝ ΠΑΚΤΩΣΗΣ " &amp; C23 &amp; " = " &amp; C48 &amp; "No X " &amp; TEXT(C51,"0.00") &amp; "m X " &amp; TEXT(C80,"0.000") &amp; "m³/m"</f>
        <v>ΜΠΕΤΟΝ ΠΑΚΤΩΣΗΣ C30/37 = 74No X 1.50m X 0.503m³/m</v>
      </c>
      <c r="C104" s="39">
        <f>ROUND(C48*C51*C80, 2)</f>
        <v>55.79</v>
      </c>
      <c r="D104" s="10" t="s">
        <v>160</v>
      </c>
      <c r="E104" s="11" t="str">
        <f>"=" &amp; C48 &amp; " × " &amp; TEXT(C51,"0.00") &amp; "m × " &amp; TEXT(C80,"0.0000") &amp; " = " &amp; TEXT(C104,"#,##0.00") &amp; " m³"</f>
        <v>=74 × 1.50m × 0.5027 = 55.79 m³</v>
      </c>
      <c r="F104" s="12" t="str">
        <f>"Κουγκρί πάκτωσης σε ύψος H_embed = " &amp; TEXT(C51,"0.00") &amp; "m (" &amp; (C51*1000) &amp; "mm)"</f>
        <v>Κουγκρί πάκτωσης σε ύψος H_embed = 1.50m (1500mm)</v>
      </c>
    </row>
    <row r="105" spans="1:6" ht="16" x14ac:dyDescent="0.45">
      <c r="A105" s="7" t="s">
        <v>183</v>
      </c>
      <c r="B105" s="8" t="str">
        <f>"HEB200 - ΠΡΟΜΗΘΕΙΑ, ΕΠΕΞΕΡΓΑΣΙΑ &amp; ΤΟΠΟΘΕΤΗΣΗ (" &amp; C48 &amp; "No x " &amp; C12 &amp; "No x " &amp; TEXT(C52,"0.00") &amp; "m x " &amp; TEXT(C14,"0.0") &amp; "kg/m)"</f>
        <v>HEB200 - ΠΡΟΜΗΘΕΙΑ, ΕΠΕΞΕΡΓΑΣΙΑ &amp; ΤΟΠΟΘΕΤΗΣΗ (74No x 2No x 17.00m x 61.3kg/m)</v>
      </c>
      <c r="C105" s="39">
        <f>ROUND(C48*C12*C52*C14, 2)</f>
        <v>154230.79999999999</v>
      </c>
      <c r="D105" s="10" t="s">
        <v>162</v>
      </c>
      <c r="E105" s="11" t="str">
        <f>"=" &amp; C48 &amp; " × " &amp; C12 &amp; " × " &amp; TEXT(C52,"0.00") &amp; "m × " &amp; TEXT(C14,"0.0") &amp; " = " &amp; TEXT(C105,"#,##0.00") &amp; " kg"</f>
        <v>=74 × 2 × 17.00m × 61.3 = 154,230.80 kg</v>
      </c>
      <c r="F105" s="12" t="s">
        <v>184</v>
      </c>
    </row>
    <row r="106" spans="1:6" ht="16" x14ac:dyDescent="0.45">
      <c r="A106" s="7" t="s">
        <v>185</v>
      </c>
      <c r="B106" s="8" t="str">
        <f>"ΛΑΜΕΣ ΣΥΝΔΕΣΗΣ " &amp; C16 &amp; "x" &amp; C17 &amp; "x" &amp; C18 &amp; "mm = " &amp; C48 &amp; "No x (" &amp; (C52/C15) &amp; "No x " &amp; TEXT(C19,"0.000") &amp; "kg)"</f>
        <v>ΛΑΜΕΣ ΣΥΝΔΕΣΗΣ 200x200x10mm = 74No x (17No x 3.140kg)</v>
      </c>
      <c r="C106" s="39">
        <f>ROUND(C48*(C52/C15)*C19, 2)</f>
        <v>3950.12</v>
      </c>
      <c r="D106" s="10" t="s">
        <v>162</v>
      </c>
      <c r="E106" s="11" t="str">
        <f>"=" &amp; C48 &amp; " × " &amp; (C52/C15) &amp; " λάμες/οπή (" &amp; (C48*(C52/C15)) &amp; " τεμ.) × " &amp; TEXT(C19,"0.000") &amp; " kg"</f>
        <v>=74 × 17 λάμες/οπή (1258 τεμ.) × 3.140 kg</v>
      </c>
      <c r="F106" s="12" t="str">
        <f>"Κανόνας 3.2: L_beam / s_plate = " &amp; TEXT(C52,"0.0") &amp; "m / " &amp; TEXT(C15,"0.0") &amp; "m = " &amp; (C52/C15) &amp; " λάμες/οπή (" &amp; C16 &amp; "x" &amp; C17 &amp; "x" &amp; C18 &amp; "mm)"</f>
        <v>Κανόνας 3.2: L_beam / s_plate = 17.0m / 1.0m = 17 λάμες/οπή (200x200x10mm)</v>
      </c>
    </row>
    <row r="107" spans="1:6" ht="16" x14ac:dyDescent="0.45">
      <c r="A107" s="7" t="s">
        <v>186</v>
      </c>
      <c r="B107" s="8" t="str">
        <f>"ΓΩΝΙΕΣ ΣΤΗΡΙΞΗΣ L70x70x6mm = " &amp; C48 &amp; "No x " &amp; TEXT(C50,"0.00") &amp; "m x " &amp; TEXT(C20,"0.00") &amp; "kg/m x 2No"</f>
        <v>ΓΩΝΙΕΣ ΣΤΗΡΙΞΗΣ L70x70x6mm = 74No x 15.60m x 6.38kg/m x 2No</v>
      </c>
      <c r="C107" s="39">
        <f>ROUND(C48*2*C50*C20, 2)</f>
        <v>14730.14</v>
      </c>
      <c r="D107" s="10" t="s">
        <v>162</v>
      </c>
      <c r="E107" s="11" t="str">
        <f>"=" &amp; C48 &amp; " × 2 × " &amp; TEXT(C50,"0.00") &amp; "m (" &amp; TEXT(C48*2*C50,"0.0") &amp; "m) × " &amp; TEXT(C20,"0.00") &amp; " kg/m"</f>
        <v>=74 × 2 × 15.60m (2308.8m) × 6.38 kg/m</v>
      </c>
      <c r="F107" s="12" t="str">
        <f>"2 γωνιές L 70x70x6 ανά πάσσαλο στο ύψος εκσκαφής " &amp; TEXT(C50,"0.00") &amp; "m"</f>
        <v>2 γωνιές L 70x70x6 ανά πάσσαλο στο ύψος εκσκαφής 15.60m</v>
      </c>
    </row>
    <row r="108" spans="1:6" ht="16" x14ac:dyDescent="0.45">
      <c r="A108" s="7" t="s">
        <v>187</v>
      </c>
      <c r="B108" s="8" t="str">
        <f>"ΑΓΟΡΑ ΧΑΛΥΒΑ ΣΧΑΡΑΣ #Y" &amp; C21 &amp; "/" &amp; C22 &amp; " = " &amp; TEXT(C109,"#,##0.00") &amp; "m² x " &amp; TEXT(C81,"0.000") &amp; "kg/m²"</f>
        <v>ΑΓΟΡΑ ΧΑΛΥΒΑ ΣΧΑΡΑΣ #Y8/150 = 1,731.60m² x 5.261kg/m²</v>
      </c>
      <c r="C108" s="39">
        <f>ROUND(C109*C81, 2)</f>
        <v>9109.9500000000007</v>
      </c>
      <c r="D108" s="10" t="s">
        <v>162</v>
      </c>
      <c r="E108" s="11" t="str">
        <f>"=" &amp; TEXT(C109,"#,##0.00") &amp; " m² × " &amp; TEXT(C81,"0.000") &amp; " kg/m² = " &amp; TEXT(C108,"#,##0.00") &amp; " kg"</f>
        <v>=1,731.60 m² × 5.261 kg/m² = 9,109.95 kg</v>
      </c>
      <c r="F108" s="12" t="str">
        <f>"Χάλυβας σχάρας #Y" &amp; C21 &amp; "/" &amp; C22 &amp; " μετώπου Type B"</f>
        <v>Χάλυβας σχάρας #Y8/150 μετώπου Type B</v>
      </c>
    </row>
    <row r="109" spans="1:6" ht="16" x14ac:dyDescent="0.45">
      <c r="A109" s="7" t="s">
        <v>188</v>
      </c>
      <c r="B109" s="8" t="str">
        <f>"ΤΟΠΟΘΕΤΗΣΗ ΣΧΑΡΑΣ ΜΕΤΩΠΟΥ = " &amp; TEXT(C49,"0.00") &amp; "m X " &amp; TEXT(C50,"0.00") &amp; "m"</f>
        <v>ΤΟΠΟΘΕΤΗΣΗ ΣΧΑΡΑΣ ΜΕΤΩΠΟΥ = 111.00m X 15.60m</v>
      </c>
      <c r="C109" s="39">
        <f>ROUND(C49*C50, 2)</f>
        <v>1731.6</v>
      </c>
      <c r="D109" s="10" t="s">
        <v>168</v>
      </c>
      <c r="E109" s="11" t="str">
        <f>"=" &amp; TEXT(C49,"0.00") &amp; "m × " &amp; TEXT(C50,"0.00") &amp; "m = " &amp; TEXT(C109,"#,##0.00") &amp; " m²"</f>
        <v>=111.00m × 15.60m = 1,731.60 m²</v>
      </c>
      <c r="F109" s="12" t="s">
        <v>189</v>
      </c>
    </row>
    <row r="110" spans="1:6" ht="16" x14ac:dyDescent="0.45">
      <c r="A110" s="7" t="s">
        <v>190</v>
      </c>
      <c r="B110" s="8" t="str">
        <f>"ΑΓΟΡΑ ΣΚΥΡΟΔΕΜΑΤΟΣ SHOTCRETE " &amp; C23 &amp; " = " &amp; TEXT(C109,"#,##0.00") &amp; "m² x " &amp; TEXT(C24,"0.00") &amp; "m"</f>
        <v>ΑΓΟΡΑ ΣΚΥΡΟΔΕΜΑΤΟΣ SHOTCRETE C30/37 = 1,731.60m² x 0.15m</v>
      </c>
      <c r="C110" s="39">
        <f>ROUND(C109*C24, 2)</f>
        <v>259.74</v>
      </c>
      <c r="D110" s="10" t="s">
        <v>160</v>
      </c>
      <c r="E110" s="11" t="str">
        <f>"=" &amp; TEXT(C109,"#,##0.00") &amp; " m² × " &amp; TEXT(C24,"0.00") &amp; "m = " &amp; TEXT(C110,"#,##0.00") &amp; " m³"</f>
        <v>=1,731.60 m² × 0.15m = 259.74 m³</v>
      </c>
      <c r="F110" s="12" t="str">
        <f>"Ονομαστικός όγκος Shotcrete (πάχος " &amp; (C24*100) &amp; "cm)"</f>
        <v>Ονομαστικός όγκος Shotcrete (πάχος 15cm)</v>
      </c>
    </row>
    <row r="111" spans="1:6" ht="16" x14ac:dyDescent="0.45">
      <c r="A111" s="7" t="s">
        <v>191</v>
      </c>
      <c r="B111" s="8" t="str">
        <f>"ΤΟΠΟΘΕΤΗΣΗ / ΕΚΤΟΞΕΥΣΗ SHOTCRETE = " &amp; TEXT(C109,"#,##0.00") &amp; "m² x " &amp; TEXT(C24,"0.00") &amp; "m (με απώλεια +" &amp; TEXT(C83,"0.0%") &amp; ")"</f>
        <v>ΤΟΠΟΘΕΤΗΣΗ / ΕΚΤΟΞΕΥΣΗ SHOTCRETE = 1,731.60m² x 0.15m (με απώλεια +33.3%)</v>
      </c>
      <c r="C111" s="39">
        <f>C110</f>
        <v>259.74</v>
      </c>
      <c r="D111" s="10" t="s">
        <v>160</v>
      </c>
      <c r="E111" s="11" t="str">
        <f>"Ονομαστικός όγκος " &amp; TEXT(C110,"#,##0.00") &amp; " m³ (η απώλεια +" &amp; (C25*100) &amp; "cm ενσωματώνεται στην τιμή μονάδας)"</f>
        <v>Ονομαστικός όγκος 259.74 m³ (η απώλεια +5cm ενσωματώνεται στην τιμή μονάδας)</v>
      </c>
      <c r="F111" s="12" t="s">
        <v>192</v>
      </c>
    </row>
    <row r="112" spans="1:6" ht="16" x14ac:dyDescent="0.45">
      <c r="A112" s="7" t="s">
        <v>193</v>
      </c>
      <c r="B112" s="8" t="str">
        <f>"ΔΙΑΤΡΗΣΗ ΑΓΚΥΡΩΣΕΩΝ Ø" &amp; (C26*1000) &amp; "mm (4 Σειρές: L1=" &amp; C54 &amp; "m, L2=" &amp; C56 &amp; "m, L3=" &amp; C58 &amp; "m, L4=" &amp; C60 &amp; "m)"</f>
        <v>ΔΙΑΤΡΗΣΗ ΑΓΚΥΡΩΣΕΩΝ Ø120mm (4 Σειρές: L1=20m, L2=19.5m, L3=19.5m, L4=16m)</v>
      </c>
      <c r="C112" s="39">
        <f>C48*(C54+C56+C58+C60)</f>
        <v>5550</v>
      </c>
      <c r="D112" s="10" t="s">
        <v>27</v>
      </c>
      <c r="E112" s="11" t="str">
        <f>"=" &amp; C48 &amp; "No × (" &amp; C54 &amp; "+" &amp; C56 &amp; "+" &amp; C58 &amp; "+" &amp; C60 &amp; "m) = " &amp; TEXT(C112,"#,##0.00") &amp; " m"</f>
        <v>=74No × (20+19.5+19.5+16m) = 5,550.00 m</v>
      </c>
      <c r="F112" s="12" t="str">
        <f>"Συνολικά μέτρα διάτρησης " &amp; C116 &amp; " αγκυρώσεων Type B"</f>
        <v>Συνολικά μέτρα διάτρησης 296 αγκυρώσεων Type B</v>
      </c>
    </row>
    <row r="113" spans="1:6" ht="16" x14ac:dyDescent="0.45">
      <c r="A113" s="7" t="s">
        <v>194</v>
      </c>
      <c r="B113" s="8" t="str">
        <f>"GROUT ΤΣΙΜΕΝΤΕΝΕΜΑ ΑΓΚΥΡΩΣΕΩΝ (με απώλεια " &amp; TEXT(C27,"0.00") &amp; ") = " &amp; TEXT(C112,"#,##0.00") &amp; "m x " &amp; TEXT(C82,"0.0000") &amp; "m³/m"</f>
        <v>GROUT ΤΣΙΜΕΝΤΕΝΕΜΑ ΑΓΚΥΡΩΣΕΩΝ (με απώλεια 1.20) = 5,550.00m x 0.0136m³/m</v>
      </c>
      <c r="C113" s="39">
        <f>ROUND(C112*C82, 2)</f>
        <v>75.319999999999993</v>
      </c>
      <c r="D113" s="10" t="s">
        <v>160</v>
      </c>
      <c r="E113" s="11" t="str">
        <f>"=" &amp; TEXT(C112,"#,##0.00") &amp; "m × " &amp; TEXT(C82,"0.000000") &amp; " m³/m = " &amp; TEXT(C113,"#,##0.00") &amp; " m³"</f>
        <v>=5,550.00m × 0.013572 m³/m = 75.32 m³</v>
      </c>
      <c r="F113" s="12" t="s">
        <v>195</v>
      </c>
    </row>
    <row r="114" spans="1:6" ht="16" x14ac:dyDescent="0.45">
      <c r="A114" s="7" t="s">
        <v>196</v>
      </c>
      <c r="B114" s="8" t="str">
        <f>"ΤΕΝΟΝΤΕΣ 0.6'' (" &amp; C55 &amp; " ΚΑΛΩΔΙΑ) — Σειρά 1 (L=" &amp; C54 &amp; "m) &amp; Σειρά 2 (L=" &amp; C56 &amp; "m) (+" &amp; TEXT(C28,"0.0") &amp; "m)"</f>
        <v>ΤΕΝΟΝΤΕΣ 0.6'' (2 ΚΑΛΩΔΙΑ) — Σειρά 1 (L=20m) &amp; Σειρά 2 (L=19.5m) (+1.0m)</v>
      </c>
      <c r="C114" s="39">
        <f>C48*(((C54+C28)*C55)+((C56+C28)*C57))</f>
        <v>6142</v>
      </c>
      <c r="D114" s="10" t="s">
        <v>27</v>
      </c>
      <c r="E114" s="11" t="str">
        <f>"=" &amp; C48 &amp; "No × ((" &amp; C54 &amp; "+" &amp; C28 &amp; ")×" &amp; C55 &amp; " + (" &amp; C56 &amp; "+" &amp; C28 &amp; ")×" &amp; C57 &amp; ") = " &amp; TEXT(C114,"#,##0.00") &amp; " m"</f>
        <v>=74No × ((20+1)×2 + (19.5+1)×2) = 6,142.00 m</v>
      </c>
      <c r="F114" s="12" t="str">
        <f>"=" &amp; (C48*2) &amp; " αγκυρώσεις 2-strands (Σειρές 1 &amp; 2 Τοίχου Β)"</f>
        <v>=148 αγκυρώσεις 2-strands (Σειρές 1 &amp; 2 Τοίχου Β)</v>
      </c>
    </row>
    <row r="115" spans="1:6" ht="16" x14ac:dyDescent="0.45">
      <c r="A115" s="7" t="s">
        <v>197</v>
      </c>
      <c r="B115" s="8" t="str">
        <f>"ΤΕΝΟΝΤΕΣ 0.6'' (" &amp; C59 &amp; " ΚΑΛΩΔΙΑ) — Σειρά 3 (L=" &amp; C58 &amp; "m) &amp; Σειρά 4 (L=" &amp; C60 &amp; "m) (+" &amp; TEXT(C28,"0.0") &amp; "m)"</f>
        <v>ΤΕΝΟΝΤΕΣ 0.6'' (3 ΚΑΛΩΔΙΑ) — Σειρά 3 (L=19.5m) &amp; Σειρά 4 (L=16m) (+1.0m)</v>
      </c>
      <c r="C115" s="39">
        <f>C48*(((C58+C28)*C59)+((C60+C28)*C61))</f>
        <v>8325</v>
      </c>
      <c r="D115" s="10" t="s">
        <v>27</v>
      </c>
      <c r="E115" s="11" t="str">
        <f>"=" &amp; C48 &amp; "No × ((" &amp; C58 &amp; "+" &amp; C28 &amp; ")×" &amp; C59 &amp; " + (" &amp; C60 &amp; "+" &amp; C28 &amp; ")×" &amp; C61 &amp; ") = " &amp; TEXT(C115,"#,##0.00") &amp; " m"</f>
        <v>=74No × ((19.5+1)×3 + (16+1)×3) = 8,325.00 m</v>
      </c>
      <c r="F115" s="12" t="str">
        <f>"=" &amp; (C48*2) &amp; " αγκυρώσεις 3-strands (Σειρές 3 &amp; 4 Τοίχου Β)"</f>
        <v>=148 αγκυρώσεις 3-strands (Σειρές 3 &amp; 4 Τοίχου Β)</v>
      </c>
    </row>
    <row r="116" spans="1:6" ht="16" x14ac:dyDescent="0.45">
      <c r="A116" s="7" t="s">
        <v>198</v>
      </c>
      <c r="B116" s="8" t="str">
        <f>"ΠΡΟΕΝΤΑΣΗ ΑΓΚΥΡΩΣΕΩΝ (STRESSING &amp; LOCK-OFF) = 4 Σειρές X " &amp; C48 &amp; "No"</f>
        <v>ΠΡΟΕΝΤΑΣΗ ΑΓΚΥΡΩΣΕΩΝ (STRESSING &amp; LOCK-OFF) = 4 Σειρές X 74No</v>
      </c>
      <c r="C116" s="40">
        <f>C48*4</f>
        <v>296</v>
      </c>
      <c r="D116" s="10" t="s">
        <v>71</v>
      </c>
      <c r="E116" s="11" t="str">
        <f>"= 4 σειρές × " &amp; C48 &amp; " πάσσαλοι = " &amp; C116 &amp; " αγκυρώσεις (" &amp; (C48*2) &amp; "×2-strands + " &amp; (C48*2) &amp; "×3-strands)"</f>
        <v>= 4 σειρές × 74 πάσσαλοι = 296 αγκυρώσεις (148×2-strands + 148×3-strands)</v>
      </c>
      <c r="F116" s="12" t="str">
        <f>"Τάνυση &amp; Lock-off " &amp; C116 &amp; " αγκυρώσεων Type B"</f>
        <v>Τάνυση &amp; Lock-off 296 αγκυρώσεων Type B</v>
      </c>
    </row>
    <row r="117" spans="1:6" ht="16" x14ac:dyDescent="0.45">
      <c r="A117" s="18" t="s">
        <v>199</v>
      </c>
      <c r="B117" s="19" t="str">
        <f>"ΚΕΦΑΛΕΣ ΑΓΚΥΡΩΣΗΣ (ANCHOR HEAD, WEDGES, PLATE) = 4 Σειρές X " &amp; C48 &amp; "No"</f>
        <v>ΚΕΦΑΛΕΣ ΑΓΚΥΡΩΣΗΣ (ANCHOR HEAD, WEDGES, PLATE) = 4 Σειρές X 74No</v>
      </c>
      <c r="C117" s="41">
        <f>C116</f>
        <v>296</v>
      </c>
      <c r="D117" s="21" t="s">
        <v>71</v>
      </c>
      <c r="E117" s="22" t="str">
        <f>"=" &amp; C117 &amp; " πλήρη σετ κεφαλών αγκύρωσης (Σειρές 1 έως 4)"</f>
        <v>=296 πλήρη σετ κεφαλών αγκύρωσης (Σειρές 1 έως 4)</v>
      </c>
      <c r="F117" s="23" t="str">
        <f>"Κεφαλές, σφήνες &amp; πλάκες " &amp; C117 &amp; " αγκυρώσεων Type B"</f>
        <v>Κεφαλές, σφήνες &amp; πλάκες 296 αγκυρώσεων Type B</v>
      </c>
    </row>
    <row r="119" spans="1:6" ht="17" x14ac:dyDescent="0.5">
      <c r="A119" s="5" t="s">
        <v>125</v>
      </c>
      <c r="B119" s="6" t="str">
        <f>"BERLIN WALL TYPE C: " &amp; C64 &amp; "No Ζεύγη HEB200, L_beam=" &amp; TEXT(C68,"0.00") &amp; "m (Διάτρηση=" &amp; TEXT(IF(ISBLANK(C69),C68,C69),"0.00") &amp; "m), Εκσκαφή " &amp; TEXT(C66,"0.00") &amp; "m, " &amp; TEXT(C65,"0.00") &amp; " τρ.μ."</f>
        <v>BERLIN WALL TYPE C: 15No Ζεύγη HEB200, L_beam=13.00m (Διάτρηση=13.00m), Εκσκαφή 11.10m, 22.50 τρ.μ.</v>
      </c>
      <c r="C119" s="35">
        <f>C65</f>
        <v>22.5</v>
      </c>
      <c r="D119" s="36" t="s">
        <v>74</v>
      </c>
      <c r="E119" s="37" t="str">
        <f>"Περίμετρος Type C = " &amp; C64 &amp; " × " &amp; TEXT(C10,"0.00") &amp; "m = " &amp; TEXT(C65,"0.00") &amp; " m"</f>
        <v>Περίμετρος Type C = 15 × 1.50m = 22.50 m</v>
      </c>
      <c r="F119" s="38" t="s">
        <v>200</v>
      </c>
    </row>
    <row r="120" spans="1:6" ht="16" x14ac:dyDescent="0.45">
      <c r="A120" s="7" t="s">
        <v>201</v>
      </c>
      <c r="B120" s="8" t="str">
        <f>"ΤΡΥΠΗΜΑ / ΕΚΣΚΑΦΗ ΝΕΦΚΩΝ Ø" &amp; (C11*1000) &amp; "mm = " &amp; C64 &amp; "No X " &amp; TEXT(IF(ISBLANK(C69),C68,C69),"0.00") &amp; "m (Όγκος: " &amp; TEXT(ROUND(C120*C80,2),"#,##0.00") &amp; " m³)"</f>
        <v>ΤΡΥΠΗΜΑ / ΕΚΣΚΑΦΗ ΝΕΦΚΩΝ Ø800mm = 15No X 13.00m (Όγκος: 98.02 m³)</v>
      </c>
      <c r="C120" s="39">
        <f>C64*IF(ISBLANK(C69),C68,C69)</f>
        <v>195</v>
      </c>
      <c r="D120" s="10" t="s">
        <v>27</v>
      </c>
      <c r="E120" s="11" t="str">
        <f>"=" &amp; C64 &amp; " πάσσαλοι × " &amp; TEXT(IF(ISBLANK(C69),C68,C69),"0.00") &amp; "m = " &amp; TEXT(C120,"#,##0.00") &amp; " m (Όγκος Εκσκαφής = " &amp; TEXT(ROUND(C120*C80,2),"#,##0.00") &amp; " m³)"</f>
        <v>=15 πάσσαλοι × 13.00m = 195.00 m (Όγκος Εκσκαφής = 98.02 m³)</v>
      </c>
      <c r="F120" s="12" t="str">
        <f>IF(ISBLANK(C69),"[ΧΩΡΙΣ WPL]: Εκσκαφή με μήκος νέφκας " &amp; TEXT(C68,"0.00") &amp; "m → Όγκος = " &amp; TEXT(ROUND(C120*C80,2),"#,##0.00") &amp; " m³","[ΜΕ WPL]: Εκσκαφή βάσει WPL " &amp; TEXT(C69,"0.00") &amp; "m (Νέφκα " &amp; TEXT(C68,"0.00") &amp; "m) → Όγκος = " &amp; TEXT(ROUND(C120*C80,2),"#,##0.00") &amp; " m³")</f>
        <v>[ΧΩΡΙΣ WPL]: Εκσκαφή με μήκος νέφκας 13.00m → Όγκος = 98.02 m³</v>
      </c>
    </row>
    <row r="121" spans="1:6" ht="16" x14ac:dyDescent="0.45">
      <c r="A121" s="7" t="s">
        <v>202</v>
      </c>
      <c r="B121" s="8" t="str">
        <f>"ΜΠΕΤΟΝ ΠΑΚΤΩΣΗΣ " &amp; C23 &amp; " = " &amp; C64 &amp; "No X " &amp; TEXT(C67,"0.00") &amp; "m X " &amp; TEXT(C80,"0.000") &amp; "m³/m"</f>
        <v>ΜΠΕΤΟΝ ΠΑΚΤΩΣΗΣ C30/37 = 15No X 1.50m X 0.503m³/m</v>
      </c>
      <c r="C121" s="39">
        <f>ROUND(C64*C67*C80, 2)</f>
        <v>11.31</v>
      </c>
      <c r="D121" s="10" t="s">
        <v>160</v>
      </c>
      <c r="E121" s="11" t="str">
        <f>"=" &amp; C64 &amp; " × " &amp; TEXT(C67,"0.00") &amp; "m × " &amp; TEXT(C80,"0.0000") &amp; " = " &amp; TEXT(C121,"#,##0.00") &amp; " m³"</f>
        <v>=15 × 1.50m × 0.5027 = 11.31 m³</v>
      </c>
      <c r="F121" s="12" t="str">
        <f>"Κουγκρί πάκτωσης σε ύψος H_embed = " &amp; TEXT(C67,"0.00") &amp; "m (" &amp; (C67*1000) &amp; "mm)"</f>
        <v>Κουγκρί πάκτωσης σε ύψος H_embed = 1.50m (1500mm)</v>
      </c>
    </row>
    <row r="122" spans="1:6" ht="16" x14ac:dyDescent="0.45">
      <c r="A122" s="7" t="s">
        <v>203</v>
      </c>
      <c r="B122" s="8" t="str">
        <f>"HEB200 - ΠΡΟΜΗΘΕΙΑ, ΕΠΕΞΕΡΓΑΣΙΑ &amp; ΤΟΠΟΘΕΤΗΣΗ (" &amp; C64 &amp; "No x " &amp; C12 &amp; "No x " &amp; TEXT(C68,"0.00") &amp; "m x " &amp; TEXT(C14,"0.0") &amp; "kg/m)"</f>
        <v>HEB200 - ΠΡΟΜΗΘΕΙΑ, ΕΠΕΞΕΡΓΑΣΙΑ &amp; ΤΟΠΟΘΕΤΗΣΗ (15No x 2No x 13.00m x 61.3kg/m)</v>
      </c>
      <c r="C122" s="39">
        <f>ROUND(C64*C12*C68*C14, 2)</f>
        <v>23907</v>
      </c>
      <c r="D122" s="10" t="s">
        <v>162</v>
      </c>
      <c r="E122" s="11" t="str">
        <f>"=" &amp; C64 &amp; " × " &amp; C12 &amp; " × " &amp; TEXT(C68,"0.00") &amp; "m × " &amp; TEXT(C14,"0.0") &amp; " = " &amp; TEXT(C122,"#,##0.00") &amp; " kg"</f>
        <v>=15 × 2 × 13.00m × 61.3 = 23,907.00 kg</v>
      </c>
      <c r="F122" s="12" t="s">
        <v>204</v>
      </c>
    </row>
    <row r="123" spans="1:6" ht="16" x14ac:dyDescent="0.45">
      <c r="A123" s="7" t="s">
        <v>205</v>
      </c>
      <c r="B123" s="8" t="str">
        <f>"ΛΑΜΕΣ ΣΥΝΔΕΣΗΣ " &amp; C16 &amp; "x" &amp; C17 &amp; "x" &amp; C18 &amp; "mm = " &amp; C64 &amp; "No x (" &amp; (C68/C15) &amp; "No x " &amp; TEXT(C19,"0.000") &amp; "kg)"</f>
        <v>ΛΑΜΕΣ ΣΥΝΔΕΣΗΣ 200x200x10mm = 15No x (13No x 3.140kg)</v>
      </c>
      <c r="C123" s="39">
        <f>ROUND(C64*(C68/C15)*C19, 2)</f>
        <v>612.29999999999995</v>
      </c>
      <c r="D123" s="10" t="s">
        <v>162</v>
      </c>
      <c r="E123" s="11" t="str">
        <f>"=" &amp; C64 &amp; " × " &amp; (C68/C15) &amp; " λάμες/οπή (" &amp; (C64*(C68/C15)) &amp; " τεμ.) × " &amp; TEXT(C19,"0.000") &amp; " kg"</f>
        <v>=15 × 13 λάμες/οπή (195 τεμ.) × 3.140 kg</v>
      </c>
      <c r="F123" s="12" t="str">
        <f>"Κανόνας 3.2: L_beam / s_plate = " &amp; TEXT(C68,"0.0") &amp; "m / " &amp; TEXT(C15,"0.0") &amp; "m = " &amp; (C68/C15) &amp; " λάμες/οπή (" &amp; C16 &amp; "x" &amp; C17 &amp; "x" &amp; C18 &amp; "mm)"</f>
        <v>Κανόνας 3.2: L_beam / s_plate = 13.0m / 1.0m = 13 λάμες/οπή (200x200x10mm)</v>
      </c>
    </row>
    <row r="124" spans="1:6" ht="16" x14ac:dyDescent="0.45">
      <c r="A124" s="7" t="s">
        <v>206</v>
      </c>
      <c r="B124" s="8" t="str">
        <f>"ΓΩΝΙΕΣ ΣΤΗΡΙΞΗΣ L70x70x6mm = " &amp; C64 &amp; "No x " &amp; TEXT(C66,"0.00") &amp; "m x " &amp; TEXT(C20,"0.00") &amp; "kg/m x 2No"</f>
        <v>ΓΩΝΙΕΣ ΣΤΗΡΙΞΗΣ L70x70x6mm = 15No x 11.10m x 6.38kg/m x 2No</v>
      </c>
      <c r="C124" s="39">
        <f>ROUND(C64*2*C66*C20, 2)</f>
        <v>2124.54</v>
      </c>
      <c r="D124" s="10" t="s">
        <v>162</v>
      </c>
      <c r="E124" s="11" t="str">
        <f>"=" &amp; C64 &amp; " × 2 × " &amp; TEXT(C66,"0.00") &amp; "m (" &amp; TEXT(C64*2*C66,"0.0") &amp; "m) × " &amp; TEXT(C20,"0.00") &amp; " kg/m"</f>
        <v>=15 × 2 × 11.10m (333.0m) × 6.38 kg/m</v>
      </c>
      <c r="F124" s="12" t="str">
        <f>"2 γωνιές L 70x70x6 ανά πάσσαλο στο ύψος εκσκαφής " &amp; TEXT(C66,"0.00") &amp; "m"</f>
        <v>2 γωνιές L 70x70x6 ανά πάσσαλο στο ύψος εκσκαφής 11.10m</v>
      </c>
    </row>
    <row r="125" spans="1:6" ht="16" x14ac:dyDescent="0.45">
      <c r="A125" s="7" t="s">
        <v>207</v>
      </c>
      <c r="B125" s="8" t="str">
        <f>"ΑΓΟΡΑ ΧΑΛΥΒΑ ΣΧΑΡΑΣ #Y" &amp; C21 &amp; "/" &amp; C22 &amp; " = " &amp; TEXT(C126,"#,##0.00") &amp; "m² x " &amp; TEXT(C81,"0.000") &amp; "kg/m²"</f>
        <v>ΑΓΟΡΑ ΧΑΛΥΒΑ ΣΧΑΡΑΣ #Y8/150 = 249.75m² x 5.261kg/m²</v>
      </c>
      <c r="C125" s="39">
        <f>ROUND(C126*C81, 2)</f>
        <v>1313.93</v>
      </c>
      <c r="D125" s="10" t="s">
        <v>162</v>
      </c>
      <c r="E125" s="11" t="str">
        <f>"=" &amp; TEXT(C126,"#,##0.00") &amp; " m² × " &amp; TEXT(C81,"0.000") &amp; " kg/m² = " &amp; TEXT(C125,"#,##0.00") &amp; " kg"</f>
        <v>=249.75 m² × 5.261 kg/m² = 1,313.93 kg</v>
      </c>
      <c r="F125" s="12" t="str">
        <f>"Χάλυβας σχάρας #Y" &amp; C21 &amp; "/" &amp; C22 &amp; " μετώπου Type C"</f>
        <v>Χάλυβας σχάρας #Y8/150 μετώπου Type C</v>
      </c>
    </row>
    <row r="126" spans="1:6" ht="16" x14ac:dyDescent="0.45">
      <c r="A126" s="7" t="s">
        <v>208</v>
      </c>
      <c r="B126" s="8" t="str">
        <f>"ΤΟΠΟΘΕΤΗΣΗ ΣΧΑΡΑΣ ΜΕΤΩΠΟΥ = " &amp; TEXT(C65,"0.00") &amp; "m X " &amp; TEXT(C66,"0.00") &amp; "m"</f>
        <v>ΤΟΠΟΘΕΤΗΣΗ ΣΧΑΡΑΣ ΜΕΤΩΠΟΥ = 22.50m X 11.10m</v>
      </c>
      <c r="C126" s="39">
        <f>ROUND(C65*C66, 2)</f>
        <v>249.75</v>
      </c>
      <c r="D126" s="10" t="s">
        <v>168</v>
      </c>
      <c r="E126" s="11" t="str">
        <f>"=" &amp; TEXT(C65,"0.00") &amp; "m × " &amp; TEXT(C66,"0.00") &amp; "m = " &amp; TEXT(C126,"#,##0.00") &amp; " m²"</f>
        <v>=22.50m × 11.10m = 249.75 m²</v>
      </c>
      <c r="F126" s="12" t="s">
        <v>209</v>
      </c>
    </row>
    <row r="127" spans="1:6" ht="16" x14ac:dyDescent="0.45">
      <c r="A127" s="7" t="s">
        <v>210</v>
      </c>
      <c r="B127" s="8" t="str">
        <f>"ΑΓΟΡΑ ΣΚΥΡΟΔΕΜΑΤΟΣ SHOTCRETE " &amp; C23 &amp; " = " &amp; TEXT(C126,"#,##0.00") &amp; "m² x " &amp; TEXT(C24,"0.00") &amp; "m"</f>
        <v>ΑΓΟΡΑ ΣΚΥΡΟΔΕΜΑΤΟΣ SHOTCRETE C30/37 = 249.75m² x 0.15m</v>
      </c>
      <c r="C127" s="39">
        <f>ROUND(C126*C24, 2)</f>
        <v>37.46</v>
      </c>
      <c r="D127" s="10" t="s">
        <v>160</v>
      </c>
      <c r="E127" s="11" t="str">
        <f>"=" &amp; TEXT(C126,"#,##0.00") &amp; " m² × " &amp; TEXT(C24,"0.00") &amp; "m = " &amp; TEXT(C127,"#,##0.00") &amp; " m³"</f>
        <v>=249.75 m² × 0.15m = 37.46 m³</v>
      </c>
      <c r="F127" s="12" t="str">
        <f>"Ονομαστικός όγκος Shotcrete (πάχος " &amp; (C24*100) &amp; "cm)"</f>
        <v>Ονομαστικός όγκος Shotcrete (πάχος 15cm)</v>
      </c>
    </row>
    <row r="128" spans="1:6" ht="16" x14ac:dyDescent="0.45">
      <c r="A128" s="7" t="s">
        <v>211</v>
      </c>
      <c r="B128" s="8" t="str">
        <f>"ΤΟΠΟΘΕΤΗΣΗ / ΕΚΤΟΞΕΥΣΗ SHOTCRETE = " &amp; TEXT(C126,"#,##0.00") &amp; "m² x " &amp; TEXT(C24,"0.00") &amp; "m (με απώλεια +" &amp; TEXT(C83,"0.0%") &amp; ")"</f>
        <v>ΤΟΠΟΘΕΤΗΣΗ / ΕΚΤΟΞΕΥΣΗ SHOTCRETE = 249.75m² x 0.15m (με απώλεια +33.3%)</v>
      </c>
      <c r="C128" s="39">
        <f>C127</f>
        <v>37.46</v>
      </c>
      <c r="D128" s="10" t="s">
        <v>160</v>
      </c>
      <c r="E128" s="11" t="str">
        <f>"Ονομαστικός όγκος " &amp; TEXT(C127,"#,##0.00") &amp; " m³ (η απώλεια +" &amp; (C25*100) &amp; "cm ενσωματώνεται στην τιμή μονάδας)"</f>
        <v>Ονομαστικός όγκος 37.46 m³ (η απώλεια +5cm ενσωματώνεται στην τιμή μονάδας)</v>
      </c>
      <c r="F128" s="12" t="s">
        <v>212</v>
      </c>
    </row>
    <row r="129" spans="1:6" ht="16" x14ac:dyDescent="0.45">
      <c r="A129" s="7" t="s">
        <v>213</v>
      </c>
      <c r="B129" s="8" t="str">
        <f>"ΔΙΑΤΡΗΣΗ ΑΓΚΥΡΩΣΕΩΝ Ø" &amp; (C26*1000) &amp; "mm (3 Σειρές: L1=" &amp; C70 &amp; "m, L2=" &amp; C72 &amp; "m, L3=" &amp; C74 &amp; "m)"</f>
        <v>ΔΙΑΤΡΗΣΗ ΑΓΚΥΡΩΣΕΩΝ Ø120mm (3 Σειρές: L1=19m, L2=17m, L3=16m)</v>
      </c>
      <c r="C129" s="39">
        <f>C64*(C70+C72+C74)</f>
        <v>780</v>
      </c>
      <c r="D129" s="10" t="s">
        <v>27</v>
      </c>
      <c r="E129" s="11" t="str">
        <f>"=" &amp; C64 &amp; "No × (" &amp; C70 &amp; "+" &amp; C72 &amp; "+" &amp; C74 &amp; "m) = " &amp; TEXT(C129,"#,##0.00") &amp; " m"</f>
        <v>=15No × (19+17+16m) = 780.00 m</v>
      </c>
      <c r="F129" s="12" t="str">
        <f>"Συνολικά μέτρα διάτρησης " &amp; C132 &amp; " αγκυρώσεων Type C"</f>
        <v>Συνολικά μέτρα διάτρησης 45 αγκυρώσεων Type C</v>
      </c>
    </row>
    <row r="130" spans="1:6" ht="16" x14ac:dyDescent="0.45">
      <c r="A130" s="7" t="s">
        <v>214</v>
      </c>
      <c r="B130" s="8" t="str">
        <f>"GROUT ΤΣΙΜΕΝΤΕΝΕΜΑ ΑΓΚΥΡΩΣΕΩΝ (με απώλεια " &amp; TEXT(C27,"0.00") &amp; ") = " &amp; TEXT(C129,"#,##0.00") &amp; "m x " &amp; TEXT(C82,"0.0000") &amp; "m³/m"</f>
        <v>GROUT ΤΣΙΜΕΝΤΕΝΕΜΑ ΑΓΚΥΡΩΣΕΩΝ (με απώλεια 1.20) = 780.00m x 0.0136m³/m</v>
      </c>
      <c r="C130" s="39">
        <f>ROUND(C129*C82, 2)</f>
        <v>10.59</v>
      </c>
      <c r="D130" s="10" t="s">
        <v>160</v>
      </c>
      <c r="E130" s="11" t="str">
        <f>"=" &amp; TEXT(C129,"#,##0.00") &amp; "m × " &amp; TEXT(C82,"0.000000") &amp; " m³/m = " &amp; TEXT(C130,"#,##0.00") &amp; " m³"</f>
        <v>=780.00m × 0.013572 m³/m = 10.59 m³</v>
      </c>
      <c r="F130" s="12" t="s">
        <v>215</v>
      </c>
    </row>
    <row r="131" spans="1:6" ht="16" x14ac:dyDescent="0.45">
      <c r="A131" s="7" t="s">
        <v>216</v>
      </c>
      <c r="B131" s="8" t="str">
        <f>"ΤΕΝΟΝΤΕΣ 0.6'' (" &amp; C71 &amp; " ΚΑΛΩΔΙΑ) — Σειρές 1, 2 &amp; 3 (L1=" &amp; C70 &amp; "m, L2=" &amp; C72 &amp; "m, L3=" &amp; C74 &amp; "m) (+" &amp; TEXT(C28,"0.0") &amp; "m)"</f>
        <v>ΤΕΝΟΝΤΕΣ 0.6'' (3 ΚΑΛΩΔΙΑ) — Σειρές 1, 2 &amp; 3 (L1=19m, L2=17m, L3=16m) (+1.0m)</v>
      </c>
      <c r="C131" s="39">
        <f>C64*(((C70+C28)*C71)+((C72+C28)*C73)+((C74+C28)*C75))</f>
        <v>2475</v>
      </c>
      <c r="D131" s="10" t="s">
        <v>27</v>
      </c>
      <c r="E131" s="11" t="str">
        <f>"=" &amp; C64 &amp; "No × ((" &amp; C70 &amp; "+" &amp; C28 &amp; ")×" &amp; C71 &amp; " + (" &amp; C72 &amp; "+" &amp; C28 &amp; ")×" &amp; C73 &amp; " + (" &amp; C74 &amp; "+" &amp; C28 &amp; ")×" &amp; C75 &amp; ") = " &amp; TEXT(C131,"#,##0.00") &amp; " m"</f>
        <v>=15No × ((19+1)×3 + (17+1)×3 + (16+1)×3) = 2,475.00 m</v>
      </c>
      <c r="F131" s="12" t="str">
        <f>"=" &amp; C132 &amp; " αγκυρώσεις 3-strands (Σειρές 1, 2 &amp; 3 Τοίχου Γ)"</f>
        <v>=45 αγκυρώσεις 3-strands (Σειρές 1, 2 &amp; 3 Τοίχου Γ)</v>
      </c>
    </row>
    <row r="132" spans="1:6" ht="16" x14ac:dyDescent="0.45">
      <c r="A132" s="7" t="s">
        <v>217</v>
      </c>
      <c r="B132" s="8" t="str">
        <f>"ΠΡΟΕΝΤΑΣΗ ΑΓΚΥΡΩΣΕΩΝ (STRESSING &amp; LOCK-OFF) = 3 Σειρές X " &amp; C64 &amp; "No"</f>
        <v>ΠΡΟΕΝΤΑΣΗ ΑΓΚΥΡΩΣΕΩΝ (STRESSING &amp; LOCK-OFF) = 3 Σειρές X 15No</v>
      </c>
      <c r="C132" s="40">
        <f>C64*3</f>
        <v>45</v>
      </c>
      <c r="D132" s="10" t="s">
        <v>71</v>
      </c>
      <c r="E132" s="11" t="str">
        <f>"= 3 σειρές × " &amp; C64 &amp; " πάσσαλοι = " &amp; C132 &amp; " αγκυρώσεις (όλες 3-strands)"</f>
        <v>= 3 σειρές × 15 πάσσαλοι = 45 αγκυρώσεις (όλες 3-strands)</v>
      </c>
      <c r="F132" s="12" t="str">
        <f>"Τάνυση &amp; Lock-off " &amp; C132 &amp; " αγκυρώσεων Type C"</f>
        <v>Τάνυση &amp; Lock-off 45 αγκυρώσεων Type C</v>
      </c>
    </row>
    <row r="133" spans="1:6" ht="16" x14ac:dyDescent="0.45">
      <c r="A133" s="18" t="s">
        <v>218</v>
      </c>
      <c r="B133" s="19" t="str">
        <f>"ΚΕΦΑΛΕΣ ΑΓΚΥΡΩΣΗΣ (ANCHOR HEAD, WEDGES, PLATE) = 3 Σειρές X " &amp; C64 &amp; "No"</f>
        <v>ΚΕΦΑΛΕΣ ΑΓΚΥΡΩΣΗΣ (ANCHOR HEAD, WEDGES, PLATE) = 3 Σειρές X 15No</v>
      </c>
      <c r="C133" s="41">
        <f>C132</f>
        <v>45</v>
      </c>
      <c r="D133" s="21" t="s">
        <v>71</v>
      </c>
      <c r="E133" s="22" t="str">
        <f>"=" &amp; C133 &amp; " πλήρη σετ κεφαλών αγκύρωσης (Σειρές 1 έως 3)"</f>
        <v>=45 πλήρη σετ κεφαλών αγκύρωσης (Σειρές 1 έως 3)</v>
      </c>
      <c r="F133" s="23" t="str">
        <f>"Κεφαλές, σφήνες &amp; πλάκες " &amp; C133 &amp; " αγκυρώσεων Type C"</f>
        <v>Κεφαλές, σφήνες &amp; πλάκες 45 αγκυρώσεων Type C</v>
      </c>
    </row>
    <row r="135" spans="1:6" ht="17" x14ac:dyDescent="0.45">
      <c r="A135" s="42" t="s">
        <v>219</v>
      </c>
      <c r="B135" s="94" t="s">
        <v>220</v>
      </c>
      <c r="C135" s="95"/>
      <c r="D135" s="95"/>
      <c r="E135" s="95"/>
      <c r="F135" s="96"/>
    </row>
    <row r="136" spans="1:6" ht="16" x14ac:dyDescent="0.45">
      <c r="A136" s="7" t="s">
        <v>221</v>
      </c>
      <c r="B136" s="8" t="s">
        <v>222</v>
      </c>
      <c r="C136" s="43">
        <v>1</v>
      </c>
      <c r="D136" s="10" t="s">
        <v>223</v>
      </c>
      <c r="E136" s="11" t="str">
        <f>"1 στράτα (πάγια μετακίνηση έναρξης)"</f>
        <v>1 στράτα (πάγια μετακίνηση έναρξης)</v>
      </c>
      <c r="F136" s="12" t="str">
        <f>"Ζώνη Λεμεσού (" &amp; C8 &amp; " km)"</f>
        <v>Ζώνη Λεμεσού (12 km)</v>
      </c>
    </row>
    <row r="137" spans="1:6" ht="16" x14ac:dyDescent="0.45">
      <c r="A137" s="7" t="s">
        <v>224</v>
      </c>
      <c r="B137" s="8" t="s">
        <v>225</v>
      </c>
      <c r="C137" s="43">
        <f>C9</f>
        <v>4</v>
      </c>
      <c r="D137" s="10" t="s">
        <v>223</v>
      </c>
      <c r="E137" s="11" t="str">
        <f>"=" &amp; C9 &amp; " στράτες (" &amp; C9 &amp; " στάθμες αγκυρώσεων)"</f>
        <v>=4 στράτες (4 στάθμες αγκυρώσεων)</v>
      </c>
      <c r="F137" s="12" t="str">
        <f>"Ζώνη Λεμεσού (" &amp; C8 &amp; " km)"</f>
        <v>Ζώνη Λεμεσού (12 km)</v>
      </c>
    </row>
    <row r="138" spans="1:6" ht="16" x14ac:dyDescent="0.45">
      <c r="A138" s="7" t="s">
        <v>226</v>
      </c>
      <c r="B138" s="8" t="s">
        <v>227</v>
      </c>
      <c r="C138" s="43">
        <f>C9+1</f>
        <v>5</v>
      </c>
      <c r="D138" s="10" t="s">
        <v>223</v>
      </c>
      <c r="E138" s="11" t="str">
        <f>"=" &amp; C9 &amp; " + 1 = " &amp; (C9+1) &amp; " στράτες"</f>
        <v>=4 + 1 = 5 στράτες</v>
      </c>
      <c r="F138" s="12" t="str">
        <f>"Ζώνη Λεμεσού (" &amp; C8 &amp; " km)"</f>
        <v>Ζώνη Λεμεσού (12 km)</v>
      </c>
    </row>
    <row r="139" spans="1:6" ht="16.5" x14ac:dyDescent="0.45">
      <c r="A139" s="7" t="s">
        <v>228</v>
      </c>
      <c r="B139" s="16" t="s">
        <v>229</v>
      </c>
      <c r="C139" s="44">
        <f>C32+C48+C64</f>
        <v>116</v>
      </c>
      <c r="D139" s="10" t="s">
        <v>71</v>
      </c>
      <c r="E139" s="11" t="str">
        <f>"Type A (" &amp; C32 &amp; ") + Type B (" &amp; C48 &amp; ") + Type C (" &amp; C64 &amp; ") = " &amp; C139 &amp; " No"</f>
        <v>Type A (27) + Type B (74) + Type C (15) = 116 No</v>
      </c>
      <c r="F139" s="12" t="str">
        <f>"=" &amp; C139 &amp; " πάσσαλοι συνολικά"</f>
        <v>=116 πάσσαλοι συνολικά</v>
      </c>
    </row>
    <row r="140" spans="1:6" ht="16.5" x14ac:dyDescent="0.45">
      <c r="A140" s="7" t="s">
        <v>230</v>
      </c>
      <c r="B140" s="16" t="s">
        <v>231</v>
      </c>
      <c r="C140" s="45">
        <f>C33+C49+C65</f>
        <v>174</v>
      </c>
      <c r="D140" s="10" t="s">
        <v>74</v>
      </c>
      <c r="E140" s="11" t="str">
        <f>"Type A (" &amp; TEXT(C33,"0.00") &amp; "m) + Type B (" &amp; TEXT(C49,"0.00") &amp; "m) + Type C (" &amp; TEXT(C65,"0.00") &amp; "m)"</f>
        <v>Type A (40.50m) + Type B (111.00m) + Type C (22.50m)</v>
      </c>
      <c r="F140" s="12" t="str">
        <f>"=" &amp; TEXT(C140,"#,##0.00") &amp; " τρ.μ. συνολική περίμετρος"</f>
        <v>=174.00 τρ.μ. συνολική περίμετρος</v>
      </c>
    </row>
    <row r="141" spans="1:6" ht="16.5" x14ac:dyDescent="0.45">
      <c r="A141" s="7" t="s">
        <v>232</v>
      </c>
      <c r="B141" s="16" t="s">
        <v>233</v>
      </c>
      <c r="C141" s="45">
        <f>C92+C109+C126</f>
        <v>2669.85</v>
      </c>
      <c r="D141" s="10" t="s">
        <v>168</v>
      </c>
      <c r="E141" s="11" t="str">
        <f>"Type A (" &amp; TEXT(C92,"0.00") &amp; ") + Type B (" &amp; TEXT(C109,"0.00") &amp; ") + Type C (" &amp; TEXT(C126,"0.00") &amp; ")"</f>
        <v>Type A (688.50) + Type B (1731.60) + Type C (249.75)</v>
      </c>
      <c r="F141" s="12" t="str">
        <f>"=" &amp; TEXT(C141,"#,##0.00") &amp; " m² συνολικό μέτωπο"</f>
        <v>=2,669.85 m² συνολικό μέτωπο</v>
      </c>
    </row>
    <row r="142" spans="1:6" ht="16.5" x14ac:dyDescent="0.45">
      <c r="A142" s="7" t="s">
        <v>234</v>
      </c>
      <c r="B142" s="16" t="str">
        <f>"ΣΥΝΟΛΙΚΑ ΜΕΤΡΑ ΔΙΑΤΡΗΣΗΣ / ΕΚΣΚΑΦΗΣ ΝΕΦΚΩΝ Ø" &amp; (C11*1000) &amp; "mm (βάσει WPL)"</f>
        <v>ΣΥΝΟΛΙΚΑ ΜΕΤΡΑ ΔΙΑΤΡΗΣΗΣ / ΕΚΣΚΑΦΗΣ ΝΕΦΚΩΝ Ø800mm (βάσει WPL)</v>
      </c>
      <c r="C142" s="45">
        <f>C86+C103+C120</f>
        <v>1966</v>
      </c>
      <c r="D142" s="10" t="s">
        <v>27</v>
      </c>
      <c r="E142" s="11" t="str">
        <f>"Type A (" &amp; C86 &amp; "m) + Type B (" &amp; C103 &amp; "m) + Type C (" &amp; C120 &amp; "m)"</f>
        <v>Type A (513m) + Type B (1258m) + Type C (195m)</v>
      </c>
      <c r="F142" s="12" t="str">
        <f>"=" &amp; TEXT(C142,"#,##0.00") &amp; " m διάτρηση πασσάλων (ενημερώνεται αυτόματα από τα WPL C37, C53, C69)"</f>
        <v>=1,966.00 m διάτρηση πασσάλων (ενημερώνεται αυτόματα από τα WPL C37, C53, C69)</v>
      </c>
    </row>
    <row r="143" spans="1:6" ht="16.5" x14ac:dyDescent="0.45">
      <c r="A143" s="7" t="s">
        <v>235</v>
      </c>
      <c r="B143" s="16" t="str">
        <f>"ΣΥΝΟΛΙΚΟΣ ΟΓΚΟΣ ΕΚΣΚΑΦΗΣ ΟΠΩΝ ΝΕΦΚΩΝ Ø" &amp; (C11*1000) &amp; "mm (βάσει WPL)"</f>
        <v>ΣΥΝΟΛΙΚΟΣ ΟΓΚΟΣ ΕΚΣΚΑΦΗΣ ΟΠΩΝ ΝΕΦΚΩΝ Ø800mm (βάσει WPL)</v>
      </c>
      <c r="C143" s="45">
        <f>ROUND(C142*C80, 2)</f>
        <v>988.22</v>
      </c>
      <c r="D143" s="10" t="s">
        <v>160</v>
      </c>
      <c r="E143" s="11" t="str">
        <f>"=" &amp; TEXT(C142,"#,##0.00") &amp; "m × " &amp; TEXT(C80,"0.0000") &amp; " m³/m = " &amp; TEXT(C143,"#,##0.00") &amp; " m³"</f>
        <v>=1,966.00m × 0.5027 m³/m = 988.22 m³</v>
      </c>
      <c r="F143" s="12" t="str">
        <f>"=" &amp; TEXT(C143,"#,##0.00") &amp; " m³ συνολικός όγκος εκσκαφής νεφκών (Κανόνας 3.8 WPL)"</f>
        <v>=988.22 m³ συνολικός όγκος εκσκαφής νεφκών (Κανόνας 3.8 WPL)</v>
      </c>
    </row>
    <row r="144" spans="1:6" ht="16.5" x14ac:dyDescent="0.45">
      <c r="A144" s="7" t="s">
        <v>236</v>
      </c>
      <c r="B144" s="16" t="str">
        <f>"ΣΥΝΟΛΙΚΟΣ ΟΓΚΟΣ ΜΠΕΤΟΝ ΠΑΚΤΩΣΗΣ " &amp; C23 &amp; " (Ø" &amp; (C11*1000) &amp; "mm)"</f>
        <v>ΣΥΝΟΛΙΚΟΣ ΟΓΚΟΣ ΜΠΕΤΟΝ ΠΑΚΤΩΣΗΣ C30/37 (Ø800mm)</v>
      </c>
      <c r="C144" s="45">
        <f>C87+C104+C121</f>
        <v>87.460000000000008</v>
      </c>
      <c r="D144" s="10" t="s">
        <v>160</v>
      </c>
      <c r="E144" s="11" t="str">
        <f>"Type A (" &amp; TEXT(C87,"0.00") &amp; ") + Type B (" &amp; TEXT(C104,"0.00") &amp; ") + Type C (" &amp; TEXT(C121,"0.00") &amp; ")"</f>
        <v>Type A (20.36) + Type B (55.79) + Type C (11.31)</v>
      </c>
      <c r="F144" s="12" t="str">
        <f>"=" &amp; TEXT(C144,"#,##0.00") &amp; " m³ κουγκρί πάκτωσης"</f>
        <v>=87.46 m³ κουγκρί πάκτωσης</v>
      </c>
    </row>
    <row r="145" spans="1:6" ht="16.5" x14ac:dyDescent="0.45">
      <c r="A145" s="7" t="s">
        <v>237</v>
      </c>
      <c r="B145" s="16" t="s">
        <v>238</v>
      </c>
      <c r="C145" s="45">
        <f>C88</f>
        <v>73359</v>
      </c>
      <c r="D145" s="10" t="s">
        <v>162</v>
      </c>
      <c r="E145" s="11" t="str">
        <f>"Type A (" &amp; C32 &amp; "No × " &amp; C12 &amp; " × " &amp; TEXT(C36,"0.0") &amp; "m × " &amp; TEXT(C13,"0.0") &amp; " kg/m) = " &amp; TEXT(C145,"#,##0.00") &amp; " kg"</f>
        <v>Type A (27No × 2 × 19.0m × 71.5 kg/m) = 73,359.00 kg</v>
      </c>
      <c r="F145" s="12" t="str">
        <f>"=" &amp; TEXT(C145,"#,##0.00") &amp; " kg HEB 220"</f>
        <v>=73,359.00 kg HEB 220</v>
      </c>
    </row>
    <row r="146" spans="1:6" ht="16.5" x14ac:dyDescent="0.45">
      <c r="A146" s="7" t="s">
        <v>239</v>
      </c>
      <c r="B146" s="16" t="s">
        <v>240</v>
      </c>
      <c r="C146" s="45">
        <f>C105+C122</f>
        <v>178137.8</v>
      </c>
      <c r="D146" s="10" t="s">
        <v>162</v>
      </c>
      <c r="E146" s="11" t="str">
        <f>"Type B (" &amp; TEXT(C105,"#,##0.00") &amp; " kg) + Type C (" &amp; TEXT(C122,"#,##0.00") &amp; " kg)"</f>
        <v>Type B (154,230.80 kg) + Type C (23,907.00 kg)</v>
      </c>
      <c r="F146" s="12" t="str">
        <f>"=" &amp; TEXT(C146,"#,##0.00") &amp; " kg HEB 200"</f>
        <v>=178,137.80 kg HEB 200</v>
      </c>
    </row>
    <row r="147" spans="1:6" ht="16.5" x14ac:dyDescent="0.45">
      <c r="A147" s="7" t="s">
        <v>241</v>
      </c>
      <c r="B147" s="16" t="str">
        <f>"ΣΥΝΟΛΙΚΟ ΒΑΡΟΣ ΛΑΜΩΝ ΣΥΝΔΕΣΗΣ " &amp; C16 &amp; "x" &amp; C17 &amp; "x" &amp; C18 &amp; "mm"</f>
        <v>ΣΥΝΟΛΙΚΟ ΒΑΡΟΣ ΛΑΜΩΝ ΣΥΝΔΕΣΗΣ 200x200x10mm</v>
      </c>
      <c r="C147" s="45">
        <f>C89+C106+C123</f>
        <v>6173.24</v>
      </c>
      <c r="D147" s="10" t="s">
        <v>162</v>
      </c>
      <c r="E147" s="11" t="str">
        <f>"Type A (" &amp; TEXT(C89,"0.00") &amp; ") + Type B (" &amp; TEXT(C106,"0.00") &amp; ") + Type C (" &amp; TEXT(C123,"0.00") &amp; ")"</f>
        <v>Type A (1610.82) + Type B (3950.12) + Type C (612.30)</v>
      </c>
      <c r="F147" s="12" t="str">
        <f>"=" &amp; (C32*(C36/C15)+C48*(C52/C15)+C64*(C68/C15)) &amp; " λάμες = " &amp; TEXT(C147,"#,##0.00") &amp; " kg"</f>
        <v>=1966 λάμες = 6,173.24 kg</v>
      </c>
    </row>
    <row r="148" spans="1:6" ht="16.5" x14ac:dyDescent="0.45">
      <c r="A148" s="7" t="s">
        <v>242</v>
      </c>
      <c r="B148" s="16" t="s">
        <v>243</v>
      </c>
      <c r="C148" s="45">
        <f>C90+C107+C124</f>
        <v>22711.52</v>
      </c>
      <c r="D148" s="10" t="s">
        <v>162</v>
      </c>
      <c r="E148" s="11" t="str">
        <f>"Type A (" &amp; TEXT(C90,"0.00") &amp; ") + Type B (" &amp; TEXT(C107,"0.00") &amp; ") + Type C (" &amp; TEXT(C124,"0.00") &amp; ")"</f>
        <v>Type A (5856.84) + Type B (14730.14) + Type C (2124.54)</v>
      </c>
      <c r="F148" s="12" t="str">
        <f>"=" &amp; TEXT(C32*2*C34+C48*2*C50+C64*2*C66,"#,##0.00") &amp; " m = " &amp; TEXT(C148,"#,##0.00") &amp; " kg"</f>
        <v>=3,559.80 m = 22,711.52 kg</v>
      </c>
    </row>
    <row r="149" spans="1:6" ht="16.5" x14ac:dyDescent="0.45">
      <c r="A149" s="7" t="s">
        <v>244</v>
      </c>
      <c r="B149" s="16" t="str">
        <f>"ΣΥΝΟΛΙΚΟ ΒΑΡΟΣ ΧΑΛΥΒΑ ΣΧΑΡΑΣ #Y" &amp; C21 &amp; "/" &amp; C22</f>
        <v>ΣΥΝΟΛΙΚΟ ΒΑΡΟΣ ΧΑΛΥΒΑ ΣΧΑΡΑΣ #Y8/150</v>
      </c>
      <c r="C149" s="45">
        <f>C91+C108+C125</f>
        <v>14046.080000000002</v>
      </c>
      <c r="D149" s="10" t="s">
        <v>162</v>
      </c>
      <c r="E149" s="11" t="str">
        <f>"Type A (" &amp; TEXT(C91,"0.00") &amp; ") + Type B (" &amp; TEXT(C108,"0.00") &amp; ") + Type C (" &amp; TEXT(C125,"0.00") &amp; ")"</f>
        <v>Type A (3622.20) + Type B (9109.95) + Type C (1313.93)</v>
      </c>
      <c r="F149" s="12" t="str">
        <f>"=" &amp; TEXT(C149,"#,##0.00") &amp; " kg χάλυβα σχάρας"</f>
        <v>=14,046.08 kg χάλυβα σχάρας</v>
      </c>
    </row>
    <row r="150" spans="1:6" ht="16.5" x14ac:dyDescent="0.45">
      <c r="A150" s="7" t="s">
        <v>245</v>
      </c>
      <c r="B150" s="16" t="str">
        <f>"ΣΥΝΟΛΙΚΟΣ ΟΝΟΜΑΣΤΙΚΟΣ ΟΓΚΟΣ SHOTCRETE " &amp; C23 &amp; " (" &amp; (C24*100) &amp; "cm)"</f>
        <v>ΣΥΝΟΛΙΚΟΣ ΟΝΟΜΑΣΤΙΚΟΣ ΟΓΚΟΣ SHOTCRETE C30/37 (15cm)</v>
      </c>
      <c r="C150" s="45">
        <f>C93+C110+C127</f>
        <v>400.47999999999996</v>
      </c>
      <c r="D150" s="10" t="s">
        <v>160</v>
      </c>
      <c r="E150" s="11" t="str">
        <f>"Type A (" &amp; TEXT(C93,"0.00") &amp; ") + Type B (" &amp; TEXT(C110,"0.00") &amp; ") + Type C (" &amp; TEXT(C127,"0.00") &amp; ")"</f>
        <v>Type A (103.28) + Type B (259.74) + Type C (37.46)</v>
      </c>
      <c r="F150" s="12" t="str">
        <f>"=" &amp; TEXT(C150,"#,##0.00") &amp; " m³ ονομαστικό shotcrete"</f>
        <v>=400.48 m³ ονομαστικό shotcrete</v>
      </c>
    </row>
    <row r="151" spans="1:6" ht="16.5" x14ac:dyDescent="0.45">
      <c r="A151" s="7" t="s">
        <v>246</v>
      </c>
      <c r="B151" s="16" t="str">
        <f>"ΣΥΝΟΛΙΚΟ ΠΛΗΘΟΣ ΑΓΚΥΡΩΣΕΩΝ ΕΡΓΟΥ (" &amp; (C32*2+C48*2) &amp; "×2-strands + " &amp; (C32*2+C48*2+C64*3) &amp; "×3-strands)"</f>
        <v>ΣΥΝΟΛΙΚΟ ΠΛΗΘΟΣ ΑΓΚΥΡΩΣΕΩΝ ΕΡΓΟΥ (202×2-strands + 247×3-strands)</v>
      </c>
      <c r="C151" s="44">
        <f>C99+C116+C132</f>
        <v>449</v>
      </c>
      <c r="D151" s="10" t="s">
        <v>71</v>
      </c>
      <c r="E151" s="11" t="str">
        <f>"Type A (" &amp; C99 &amp; ") + Type B (" &amp; C116 &amp; ") + Type C (" &amp; C132 &amp; ") = " &amp; C151 &amp; " No"</f>
        <v>Type A (108) + Type B (296) + Type C (45) = 449 No</v>
      </c>
      <c r="F151" s="12" t="str">
        <f>"=" &amp; C151 &amp; " αγκυρώσεις συνολικά"</f>
        <v>=449 αγκυρώσεις συνολικά</v>
      </c>
    </row>
    <row r="152" spans="1:6" ht="16.5" x14ac:dyDescent="0.45">
      <c r="A152" s="7" t="s">
        <v>247</v>
      </c>
      <c r="B152" s="16" t="str">
        <f>"ΣΥΝΟΛΙΚΑ ΜΕΤΡΑ ΔΙΑΤΡΗΣΗΣ ΑΓΚΥΡΩΣΕΩΝ Ø" &amp; (C26*1000) &amp; "mm"</f>
        <v>ΣΥΝΟΛΙΚΑ ΜΕΤΡΑ ΔΙΑΤΡΗΣΗΣ ΑΓΚΥΡΩΣΕΩΝ Ø120mm</v>
      </c>
      <c r="C152" s="45">
        <f>C95+C112+C129</f>
        <v>8436</v>
      </c>
      <c r="D152" s="10" t="s">
        <v>27</v>
      </c>
      <c r="E152" s="11" t="str">
        <f>"Type A (" &amp; C95 &amp; "m) + Type B (" &amp; C112 &amp; "m) + Type C (" &amp; C129 &amp; "m)"</f>
        <v>Type A (2106m) + Type B (5550m) + Type C (780m)</v>
      </c>
      <c r="F152" s="12" t="str">
        <f>"=" &amp; TEXT(C152,"#,##0.00") &amp; " m διάτρηση αγκυρίων"</f>
        <v>=8,436.00 m διάτρηση αγκυρίων</v>
      </c>
    </row>
    <row r="153" spans="1:6" ht="16.5" x14ac:dyDescent="0.45">
      <c r="A153" s="7" t="s">
        <v>248</v>
      </c>
      <c r="B153" s="16" t="str">
        <f>"ΣΥΝΟΛΙΚΟΣ ΟΓΚΟΣ GROUT ΑΓΚΥΡΩΣΕΩΝ (με απώλεια " &amp; TEXT(C27,"0.00") &amp; ")"</f>
        <v>ΣΥΝΟΛΙΚΟΣ ΟΓΚΟΣ GROUT ΑΓΚΥΡΩΣΕΩΝ (με απώλεια 1.20)</v>
      </c>
      <c r="C153" s="45">
        <f>C96+C113+C130</f>
        <v>114.49</v>
      </c>
      <c r="D153" s="10" t="s">
        <v>160</v>
      </c>
      <c r="E153" s="11" t="str">
        <f>"Type A (" &amp; TEXT(C96,"0.00") &amp; ") + Type B (" &amp; TEXT(C113,"0.00") &amp; ") + Type C (" &amp; TEXT(C130,"0.00") &amp; ")"</f>
        <v>Type A (28.58) + Type B (75.32) + Type C (10.59)</v>
      </c>
      <c r="F153" s="12" t="str">
        <f>"=" &amp; TEXT(C153,"#,##0.00") &amp; " m³ grout αγκυρώσεων"</f>
        <v>=114.49 m³ grout αγκυρώσεων</v>
      </c>
    </row>
    <row r="154" spans="1:6" ht="16.5" x14ac:dyDescent="0.45">
      <c r="A154" s="18" t="s">
        <v>249</v>
      </c>
      <c r="B154" s="46" t="str">
        <f>"ΣΥΝΟΛΙΚΟ ΜΗΚΟΣ ΤΕΝΟΝΤΩΝ ΠΡΟΕΝΤΑΣΗΣ 0.6'' (με +" &amp; TEXT(C28,"0.0") &amp; "m)"</f>
        <v>ΣΥΝΟΛΙΚΟ ΜΗΚΟΣ ΤΕΝΟΝΤΩΝ ΠΡΟΕΝΤΑΣΗΣ 0.6'' (με +1.0m)</v>
      </c>
      <c r="C154" s="47">
        <f>C97+C98+C114+C115+C131</f>
        <v>22463.5</v>
      </c>
      <c r="D154" s="21" t="s">
        <v>27</v>
      </c>
      <c r="E154" s="22" t="str">
        <f>"Type A (" &amp; (C97+C98) &amp; "m) + Type B (" &amp; (C114+C115) &amp; "m) + Type C (" &amp; C131 &amp; "m)"</f>
        <v>Type A (5521.5m) + Type B (14467m) + Type C (2475m)</v>
      </c>
      <c r="F154" s="23" t="str">
        <f>"=" &amp; TEXT(C154,"#,##0.00") &amp; " m (" &amp; TEXT(C154*C29,"#,##0.00") &amp; " kg)"</f>
        <v>=22,463.50 m (24,709.85 kg)</v>
      </c>
    </row>
  </sheetData>
  <mergeCells count="8">
    <mergeCell ref="A4:F4"/>
    <mergeCell ref="A77:F77"/>
    <mergeCell ref="B135:F135"/>
    <mergeCell ref="B6:F6"/>
    <mergeCell ref="B47:F47"/>
    <mergeCell ref="B63:F63"/>
    <mergeCell ref="B31:F31"/>
    <mergeCell ref="B79:F7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4"/>
  <sheetViews>
    <sheetView workbookViewId="0"/>
  </sheetViews>
  <sheetFormatPr defaultRowHeight="14.5" x14ac:dyDescent="0.35"/>
  <cols>
    <col min="1" max="1" width="10" customWidth="1"/>
    <col min="2" max="2" width="60" customWidth="1"/>
    <col min="3" max="3" width="15" customWidth="1"/>
    <col min="4" max="4" width="11" customWidth="1"/>
    <col min="5" max="5" width="16" customWidth="1"/>
    <col min="6" max="6" width="18" customWidth="1"/>
    <col min="7" max="7" width="20" customWidth="1"/>
    <col min="8" max="8" width="58" customWidth="1"/>
  </cols>
  <sheetData>
    <row r="1" spans="1:8" ht="20" x14ac:dyDescent="0.55000000000000004">
      <c r="A1" s="1" t="s">
        <v>250</v>
      </c>
    </row>
    <row r="2" spans="1:8" x14ac:dyDescent="0.35">
      <c r="A2" s="2" t="s">
        <v>251</v>
      </c>
    </row>
    <row r="4" spans="1:8" ht="16" x14ac:dyDescent="0.35">
      <c r="A4" s="48" t="s">
        <v>3</v>
      </c>
      <c r="B4" s="49" t="s">
        <v>252</v>
      </c>
      <c r="C4" s="48" t="s">
        <v>146</v>
      </c>
      <c r="D4" s="48" t="s">
        <v>6</v>
      </c>
      <c r="E4" s="48" t="s">
        <v>253</v>
      </c>
      <c r="F4" s="48" t="s">
        <v>254</v>
      </c>
      <c r="G4" s="48" t="s">
        <v>255</v>
      </c>
      <c r="H4" s="49" t="s">
        <v>256</v>
      </c>
    </row>
    <row r="5" spans="1:8" ht="17" x14ac:dyDescent="0.35">
      <c r="A5" s="50" t="s">
        <v>68</v>
      </c>
      <c r="B5" s="51" t="str">
        <f>"BERLIN WALL TYPE A: " &amp; '1_Στοιχεία_Μελέτης_&amp;_Ποσότητες'!C32 &amp; "No Ζεύγη HEB220, L=" &amp; TEXT('1_Στοιχεία_Μελέτης_&amp;_Ποσότητες'!C36,"0.00") &amp; "m (Διάτρηση=" &amp; TEXT(IF(ISBLANK('1_Στοιχεία_Μελέτης_&amp;_Ποσότητες'!C37),'1_Στοιχεία_Μελέτης_&amp;_Ποσότητες'!C36,'1_Στοιχεία_Μελέτης_&amp;_Ποσότητες'!C37),"0.00") &amp; "m), Εκσκαφή " &amp; TEXT('1_Στοιχεία_Μελέτης_&amp;_Ποσότητες'!C34,"0.00") &amp; "m, " &amp; TEXT('1_Στοιχεία_Μελέτης_&amp;_Ποσότητες'!C33,"0.00") &amp; " τρ.μ."</f>
        <v>BERLIN WALL TYPE A: 27No Ζεύγη HEB220, L=19.00m (Διάτρηση=19.00m), Εκσκαφή 17.00m, 40.50 τρ.μ.</v>
      </c>
      <c r="C5" s="52">
        <f>'1_Στοιχεία_Μελέτης_&amp;_Ποσότητες'!C33</f>
        <v>40.5</v>
      </c>
      <c r="D5" s="50" t="s">
        <v>74</v>
      </c>
      <c r="E5" s="52">
        <f>ROUND(F5/C5, 2)</f>
        <v>7418.19</v>
      </c>
      <c r="F5" s="52">
        <f>SUM(F6:F20)</f>
        <v>300436.74999999994</v>
      </c>
      <c r="G5" s="50" t="s">
        <v>257</v>
      </c>
      <c r="H5" s="53" t="str">
        <f>"Σύνολο Τοίχου Α (Πυλώνες 2, 3 &amp; 4 — HEB 220, " &amp; '1_Στοιχεία_Μελέτης_&amp;_Ποσότητες'!C32 &amp; " πάσσαλοι, " &amp; '1_Στοιχεία_Μελέτης_&amp;_Ποσότητες'!C99 &amp; " αγκυρώσεις)"</f>
        <v>Σύνολο Τοίχου Α (Πυλώνες 2, 3 &amp; 4 — HEB 220, 27 πάσσαλοι, 108 αγκυρώσεις)</v>
      </c>
    </row>
    <row r="6" spans="1:8" ht="17" x14ac:dyDescent="0.35">
      <c r="A6" s="54" t="s">
        <v>158</v>
      </c>
      <c r="B6" s="55" t="str">
        <f>'1_Στοιχεία_Μελέτης_&amp;_Ποσότητες'!B86</f>
        <v>ΤΡΥΠΗΜΑ / ΕΚΣΚΑΦΗ ΝΕΦΚΩΝ Ø800mm = 27No X 19.00m (Όγκος: 257.86 m³)</v>
      </c>
      <c r="C6" s="56">
        <f>'1_Στοιχεία_Μελέτης_&amp;_Ποσότητες'!C86</f>
        <v>513</v>
      </c>
      <c r="D6" s="10" t="str">
        <f>'1_Στοιχεία_Μελέτης_&amp;_Ποσότητες'!D86</f>
        <v>m</v>
      </c>
      <c r="E6" s="57">
        <v>75</v>
      </c>
      <c r="F6" s="39">
        <f t="shared" ref="F6:F20" si="0">ROUND(C6*E6, 2)</f>
        <v>38475</v>
      </c>
      <c r="G6" s="100">
        <f>F5</f>
        <v>300436.74999999994</v>
      </c>
      <c r="H6" s="58" t="str">
        <f>IF(ISBLANK('1_Στοιχεία_Μελέτης_&amp;_Ποσότητες'!C37),"Φύλλο 1 (A.1): " &amp; '1_Στοιχεία_Μελέτης_&amp;_Ποσότητες'!C32 &amp; " πάσσαλοι × " &amp; TEXT('1_Στοιχεία_Μελέτης_&amp;_Ποσότητες'!C36,"0.00") &amp; "m (χωρίς WPL, Όγκος " &amp; TEXT(ROUND('1_Στοιχεία_Μελέτης_&amp;_Ποσότητες'!C86*'1_Στοιχεία_Μελέτης_&amp;_Ποσότητες'!C80,2),"#,##0.00") &amp; " m³) @ 75.00 €/m","Φύλλο 1 (A.1 — ΜΕ WPL): " &amp; '1_Στοιχεία_Μελέτης_&amp;_Ποσότητες'!C32 &amp; " πάσσαλοι × " &amp; TEXT('1_Στοιχεία_Μελέτης_&amp;_Ποσότητες'!C37,"0.00") &amp; "m (Όγκος " &amp; TEXT(ROUND('1_Στοιχεία_Μελέτης_&amp;_Ποσότητες'!C86*'1_Στοιχεία_Μελέτης_&amp;_Ποσότητες'!C80,2),"#,##0.00") &amp; " m³) @ 75.00 €/m")</f>
        <v>Φύλλο 1 (A.1): 27 πάσσαλοι × 19.00m (χωρίς WPL, Όγκος 257.86 m³) @ 75.00 €/m</v>
      </c>
    </row>
    <row r="7" spans="1:8" ht="17" x14ac:dyDescent="0.35">
      <c r="A7" s="54" t="s">
        <v>159</v>
      </c>
      <c r="B7" s="55" t="str">
        <f>'1_Στοιχεία_Μελέτης_&amp;_Ποσότητες'!B87</f>
        <v>ΜΠΕΤΟΝ ΠΑΚΤΩΣΗΣ C30/37 = 27No X 1.50m X 0.503m³/m</v>
      </c>
      <c r="C7" s="56">
        <f>'1_Στοιχεία_Μελέτης_&amp;_Ποσότητες'!C87</f>
        <v>20.36</v>
      </c>
      <c r="D7" s="10" t="str">
        <f>'1_Στοιχεία_Μελέτης_&amp;_Ποσότητες'!D87</f>
        <v>m³</v>
      </c>
      <c r="E7" s="59">
        <v>120</v>
      </c>
      <c r="F7" s="39">
        <f t="shared" si="0"/>
        <v>2443.1999999999998</v>
      </c>
      <c r="G7" s="101"/>
      <c r="H7" s="58" t="str">
        <f>"Φύλλο 1 (A.2): Πάκτωση H=" &amp; TEXT('1_Στοιχεία_Μελέτης_&amp;_Ποσότητες'!C35,"0.00") &amp; "m σε Ø" &amp; ('1_Στοιχεία_Μελέτης_&amp;_Ποσότητες'!C11*1000) &amp; "mm @ 120.00 €/m³ [Πορτοκαλί #FFE699]"</f>
        <v>Φύλλο 1 (A.2): Πάκτωση H=1.50m σε Ø800mm @ 120.00 €/m³ [Πορτοκαλί #FFE699]</v>
      </c>
    </row>
    <row r="8" spans="1:8" ht="17" x14ac:dyDescent="0.35">
      <c r="A8" s="54" t="s">
        <v>161</v>
      </c>
      <c r="B8" s="55" t="str">
        <f>'1_Στοιχεία_Μελέτης_&amp;_Ποσότητες'!B88</f>
        <v>HEB220 - ΠΡΟΜΗΘΕΙΑ, ΕΠΕΞΕΡΓΑΣΙΑ &amp; ΤΟΠΟΘΕΤΗΣΗ (27No x 2No x 19.00m x 71.5kg/m)</v>
      </c>
      <c r="C8" s="56">
        <f>'1_Στοιχεία_Μελέτης_&amp;_Ποσότητες'!C88</f>
        <v>73359</v>
      </c>
      <c r="D8" s="10" t="str">
        <f>'1_Στοιχεία_Μελέτης_&amp;_Ποσότητες'!D88</f>
        <v>kg</v>
      </c>
      <c r="E8" s="57">
        <v>1.4</v>
      </c>
      <c r="F8" s="39">
        <f t="shared" si="0"/>
        <v>102702.6</v>
      </c>
      <c r="G8" s="101"/>
      <c r="H8" s="58" t="str">
        <f>"Φύλλο 1 (A.3): " &amp; '1_Στοιχεία_Μελέτης_&amp;_Ποσότητες'!C12 &amp; " No. HEB 220 (" &amp; TEXT('1_Στοιχεία_Μελέτης_&amp;_Ποσότητες'!C13*'1_Στοιχεία_Μελέτης_&amp;_Ποσότητες'!C12,"0.0") &amp; " kg/m, L=" &amp; TEXT('1_Στοιχεία_Μελέτης_&amp;_Ποσότητες'!C36,"0.0") &amp; "m) @ 1.40 €/kg"</f>
        <v>Φύλλο 1 (A.3): 2 No. HEB 220 (143.0 kg/m, L=19.0m) @ 1.40 €/kg</v>
      </c>
    </row>
    <row r="9" spans="1:8" ht="17" x14ac:dyDescent="0.35">
      <c r="A9" s="54" t="s">
        <v>164</v>
      </c>
      <c r="B9" s="55" t="str">
        <f>'1_Στοιχεία_Μελέτης_&amp;_Ποσότητες'!B89</f>
        <v>ΛΑΜΕΣ ΣΥΝΔΕΣΗΣ 200x200x10mm = 27No x (19No x 3.140kg)</v>
      </c>
      <c r="C9" s="56">
        <f>'1_Στοιχεία_Μελέτης_&amp;_Ποσότητες'!C89</f>
        <v>1610.82</v>
      </c>
      <c r="D9" s="10" t="str">
        <f>'1_Στοιχεία_Μελέτης_&amp;_Ποσότητες'!D89</f>
        <v>kg</v>
      </c>
      <c r="E9" s="57">
        <v>1.6</v>
      </c>
      <c r="F9" s="39">
        <f t="shared" si="0"/>
        <v>2577.31</v>
      </c>
      <c r="G9" s="101"/>
      <c r="H9" s="58" t="str">
        <f>"Φύλλο 1 (A.4): Λάμες " &amp; '1_Στοιχεία_Μελέτης_&amp;_Ποσότητες'!C16 &amp; "x" &amp; '1_Στοιχεία_Μελέτης_&amp;_Ποσότητες'!C17 &amp; "x" &amp; '1_Στοιχεία_Μελέτης_&amp;_Ποσότητες'!C18 &amp; "mm (" &amp; ('1_Στοιχεία_Μελέτης_&amp;_Ποσότητες'!C36/'1_Στοιχεία_Μελέτης_&amp;_Ποσότητες'!C15) &amp; " λάμες/οπή = " &amp; ('1_Στοιχεία_Μελέτης_&amp;_Ποσότητες'!C32*('1_Στοιχεία_Μελέτης_&amp;_Ποσότητες'!C36/'1_Στοιχεία_Μελέτης_&amp;_Ποσότητες'!C15)) &amp; " τεμ.) @ 1.60 €/kg"</f>
        <v>Φύλλο 1 (A.4): Λάμες 200x200x10mm (19 λάμες/οπή = 513 τεμ.) @ 1.60 €/kg</v>
      </c>
    </row>
    <row r="10" spans="1:8" ht="17" x14ac:dyDescent="0.35">
      <c r="A10" s="54" t="s">
        <v>165</v>
      </c>
      <c r="B10" s="55" t="str">
        <f>'1_Στοιχεία_Μελέτης_&amp;_Ποσότητες'!B90</f>
        <v>ΓΩΝΙΕΣ ΣΤΗΡΙΞΗΣ L70x70x6mm = 27No x 17.00m x 6.38kg/m x 2No</v>
      </c>
      <c r="C10" s="56">
        <f>'1_Στοιχεία_Μελέτης_&amp;_Ποσότητες'!C90</f>
        <v>5856.84</v>
      </c>
      <c r="D10" s="10" t="str">
        <f>'1_Στοιχεία_Μελέτης_&amp;_Ποσότητες'!D90</f>
        <v>kg</v>
      </c>
      <c r="E10" s="57">
        <v>1.6</v>
      </c>
      <c r="F10" s="39">
        <f t="shared" si="0"/>
        <v>9370.94</v>
      </c>
      <c r="G10" s="101"/>
      <c r="H10" s="58" t="str">
        <f>"Φύλλο 1 (A.5): 2 γωνιές L70x70x6 × " &amp; TEXT('1_Στοιχεία_Μελέτης_&amp;_Ποσότητες'!C34,"0.00") &amp; "m (" &amp; TEXT('1_Στοιχεία_Μελέτης_&amp;_Ποσότητες'!C32*2*'1_Στοιχεία_Μελέτης_&amp;_Ποσότητες'!C34,"0.0") &amp; "m) @ 1.60 €/kg"</f>
        <v>Φύλλο 1 (A.5): 2 γωνιές L70x70x6 × 17.00m (918.0m) @ 1.60 €/kg</v>
      </c>
    </row>
    <row r="11" spans="1:8" ht="17" x14ac:dyDescent="0.35">
      <c r="A11" s="54" t="s">
        <v>166</v>
      </c>
      <c r="B11" s="55" t="str">
        <f>'1_Στοιχεία_Μελέτης_&amp;_Ποσότητες'!B91</f>
        <v>ΑΓΟΡΑ ΧΑΛΥΒΑ ΣΧΑΡΑΣ #Y8/150 = 688.50m² x 5.261kg/m²</v>
      </c>
      <c r="C11" s="56">
        <f>'1_Στοιχεία_Μελέτης_&amp;_Ποσότητες'!C91</f>
        <v>3622.2</v>
      </c>
      <c r="D11" s="10" t="str">
        <f>'1_Στοιχεία_Μελέτης_&amp;_Ποσότητες'!D91</f>
        <v>kg</v>
      </c>
      <c r="E11" s="57">
        <v>2.5</v>
      </c>
      <c r="F11" s="39">
        <f t="shared" si="0"/>
        <v>9055.5</v>
      </c>
      <c r="G11" s="101"/>
      <c r="H11" s="58" t="str">
        <f>"Φύλλο 1 (A.6): Σχάρα #Y" &amp; '1_Στοιχεία_Μελέτης_&amp;_Ποσότητες'!C21 &amp; "/" &amp; '1_Στοιχεία_Μελέτης_&amp;_Ποσότητες'!C22 &amp; " (" &amp; TEXT('1_Στοιχεία_Μελέτης_&amp;_Ποσότητες'!C81,"0.000") &amp; " kg/m²) @ 2.50 €/kg αγορά"</f>
        <v>Φύλλο 1 (A.6): Σχάρα #Y8/150 (5.261 kg/m²) @ 2.50 €/kg αγορά</v>
      </c>
    </row>
    <row r="12" spans="1:8" ht="17" x14ac:dyDescent="0.35">
      <c r="A12" s="54" t="s">
        <v>167</v>
      </c>
      <c r="B12" s="55" t="str">
        <f>'1_Στοιχεία_Μελέτης_&amp;_Ποσότητες'!B92</f>
        <v>ΤΟΠΟΘΕΤΗΣΗ ΣΧΑΡΑΣ ΜΕΤΩΠΟΥ = 40.50m X 17.00m</v>
      </c>
      <c r="C12" s="56">
        <f>'1_Στοιχεία_Μελέτης_&amp;_Ποσότητες'!C92</f>
        <v>688.5</v>
      </c>
      <c r="D12" s="10" t="str">
        <f>'1_Στοιχεία_Μελέτης_&amp;_Ποσότητες'!D92</f>
        <v>m²</v>
      </c>
      <c r="E12" s="57">
        <v>15</v>
      </c>
      <c r="F12" s="39">
        <f t="shared" si="0"/>
        <v>10327.5</v>
      </c>
      <c r="G12" s="101"/>
      <c r="H12" s="58" t="str">
        <f>"Φύλλο 1 (A.7): Εργατικά τοποθέτησης σχάρας μετώπου (" &amp; TEXT('1_Στοιχεία_Μελέτης_&amp;_Ποσότητες'!C33,"0.0") &amp; "m × " &amp; TEXT('1_Στοιχεία_Μελέτης_&amp;_Ποσότητες'!C34,"0.0") &amp; "m) @ 15.00 €/m²"</f>
        <v>Φύλλο 1 (A.7): Εργατικά τοποθέτησης σχάρας μετώπου (40.5m × 17.0m) @ 15.00 €/m²</v>
      </c>
    </row>
    <row r="13" spans="1:8" ht="17" x14ac:dyDescent="0.35">
      <c r="A13" s="54" t="s">
        <v>170</v>
      </c>
      <c r="B13" s="55" t="str">
        <f>'1_Στοιχεία_Μελέτης_&amp;_Ποσότητες'!B93</f>
        <v>ΑΓΟΡΑ ΣΚΥΡΟΔΕΜΑΤΟΣ SHOTCRETE C30/37 = 688.50m² x 0.15m</v>
      </c>
      <c r="C13" s="56">
        <f>'1_Στοιχεία_Μελέτης_&amp;_Ποσότητες'!C93</f>
        <v>103.28</v>
      </c>
      <c r="D13" s="10" t="str">
        <f>'1_Στοιχεία_Μελέτης_&amp;_Ποσότητες'!D93</f>
        <v>m³</v>
      </c>
      <c r="E13" s="57">
        <v>90</v>
      </c>
      <c r="F13" s="39">
        <f t="shared" si="0"/>
        <v>9295.2000000000007</v>
      </c>
      <c r="G13" s="101"/>
      <c r="H13" s="58" t="str">
        <f>"Φύλλο 1 (A.8): Αγορά " &amp; '1_Στοιχεία_Μελέτης_&amp;_Ποσότητες'!C23 &amp; " ονομαστικού πάχους " &amp; ('1_Στοιχεία_Μελέτης_&amp;_Ποσότητες'!C24*100) &amp; "cm @ 90.00 €/m³"</f>
        <v>Φύλλο 1 (A.8): Αγορά C30/37 ονομαστικού πάχους 15cm @ 90.00 €/m³</v>
      </c>
    </row>
    <row r="14" spans="1:8" ht="17" x14ac:dyDescent="0.35">
      <c r="A14" s="54" t="s">
        <v>171</v>
      </c>
      <c r="B14" s="55" t="str">
        <f>'1_Στοιχεία_Μελέτης_&amp;_Ποσότητες'!B94</f>
        <v>ΤΟΠΟΘΕΤΗΣΗ / ΕΚΤΟΞΕΥΣΗ SHOTCRETE = 688.50m² x 0.15m (με απώλεια +33.3%)</v>
      </c>
      <c r="C14" s="56">
        <f>'1_Στοιχεία_Μελέτης_&amp;_Ποσότητες'!C94</f>
        <v>103.28</v>
      </c>
      <c r="D14" s="10" t="str">
        <f>'1_Στοιχεία_Μελέτης_&amp;_Ποσότητες'!D94</f>
        <v>m³</v>
      </c>
      <c r="E14" s="57">
        <f>ROUND((200*(1+'1_Στοιχεία_Μελέτης_&amp;_Ποσότητες'!C83))-90, 2)</f>
        <v>176.67</v>
      </c>
      <c r="F14" s="39">
        <f t="shared" si="0"/>
        <v>18246.48</v>
      </c>
      <c r="G14" s="101"/>
      <c r="H14" s="58" t="str">
        <f>"Φύλλο 1 (A.9): Εκτόξευση/Αντλία = Βάση 200€ × (1+" &amp; TEXT('1_Στοιχεία_Μελέτης_&amp;_Ποσότητες'!C83,"0.0%") &amp; " απώλεια) - 90€"</f>
        <v>Φύλλο 1 (A.9): Εκτόξευση/Αντλία = Βάση 200€ × (1+33.3% απώλεια) - 90€</v>
      </c>
    </row>
    <row r="15" spans="1:8" ht="17" x14ac:dyDescent="0.35">
      <c r="A15" s="54" t="s">
        <v>173</v>
      </c>
      <c r="B15" s="55" t="str">
        <f>'1_Στοιχεία_Μελέτης_&amp;_Ποσότητες'!B95</f>
        <v>ΔΙΑΤΡΗΣΗ ΑΓΚΥΡΩΣΕΩΝ Ø120mm (4 Σειρές: L1=20m, L2=19.5m, L3=20m, L4=18.5m)</v>
      </c>
      <c r="C15" s="56">
        <f>'1_Στοιχεία_Μελέτης_&amp;_Ποσότητες'!C95</f>
        <v>2106</v>
      </c>
      <c r="D15" s="10" t="str">
        <f>'1_Στοιχεία_Μελέτης_&amp;_Ποσότητες'!D95</f>
        <v>m</v>
      </c>
      <c r="E15" s="57">
        <v>30</v>
      </c>
      <c r="F15" s="39">
        <f t="shared" si="0"/>
        <v>63180</v>
      </c>
      <c r="G15" s="101"/>
      <c r="H15" s="58" t="str">
        <f>"Φύλλο 1 (A.10): Διάτρηση " &amp; '1_Στοιχεία_Μελέτης_&amp;_Ποσότητες'!C99 &amp; " αγκυρώσεων Ø" &amp; ('1_Στοιχεία_Μελέτης_&amp;_Ποσότητες'!C26*1000) &amp; "mm (Σειρές 1-4: " &amp; '1_Στοιχεία_Μελέτης_&amp;_Ποσότητες'!C38 &amp; "m, " &amp; '1_Στοιχεία_Μελέτης_&amp;_Ποσότητες'!C40 &amp; "m, " &amp; '1_Στοιχεία_Μελέτης_&amp;_Ποσότητες'!C42 &amp; "m, " &amp; '1_Στοιχεία_Μελέτης_&amp;_Ποσότητες'!C44 &amp; "m) @ 30.00 €/m"</f>
        <v>Φύλλο 1 (A.10): Διάτρηση 108 αγκυρώσεων Ø120mm (Σειρές 1-4: 20m, 19.5m, 20m, 18.5m) @ 30.00 €/m</v>
      </c>
    </row>
    <row r="16" spans="1:8" ht="17" x14ac:dyDescent="0.35">
      <c r="A16" s="54" t="s">
        <v>174</v>
      </c>
      <c r="B16" s="55" t="str">
        <f>'1_Στοιχεία_Μελέτης_&amp;_Ποσότητες'!B96</f>
        <v>GROUT ΤΣΙΜΕΝΤΕΝΕΜΑ ΑΓΚΥΡΩΣΕΩΝ (με απώλεια 1.20) = 2,106.00m x 0.0136m³/m</v>
      </c>
      <c r="C16" s="56">
        <f>'1_Στοιχεία_Μελέτης_&amp;_Ποσότητες'!C96</f>
        <v>28.58</v>
      </c>
      <c r="D16" s="10" t="str">
        <f>'1_Στοιχεία_Μελέτης_&amp;_Ποσότητες'!D96</f>
        <v>m³</v>
      </c>
      <c r="E16" s="57">
        <v>500</v>
      </c>
      <c r="F16" s="39">
        <f t="shared" si="0"/>
        <v>14290</v>
      </c>
      <c r="G16" s="101"/>
      <c r="H16" s="58" t="str">
        <f>"Φύλλο 1 (A.11): Grout Ø" &amp; ('1_Στοιχεία_Μελέτης_&amp;_Ποσότητες'!C26*1000) &amp; "mm με απώλεια " &amp; TEXT('1_Στοιχεία_Μελέτης_&amp;_Ποσότητες'!C27,"0.00") &amp; " (" &amp; TEXT('1_Στοιχεία_Μελέτης_&amp;_Ποσότητες'!C82,"0.000000") &amp; " m³/m) @ 500.00 €/m³"</f>
        <v>Φύλλο 1 (A.11): Grout Ø120mm με απώλεια 1.20 (0.013572 m³/m) @ 500.00 €/m³</v>
      </c>
    </row>
    <row r="17" spans="1:8" ht="17" x14ac:dyDescent="0.35">
      <c r="A17" s="54" t="s">
        <v>176</v>
      </c>
      <c r="B17" s="55" t="str">
        <f>'1_Στοιχεία_Μελέτης_&amp;_Ποσότητες'!B97</f>
        <v>ΤΕΝΟΝΤΕΣ 0.6'' (2 ΚΑΛΩΔΙΑ) — Σειρά 1 (L=20m) &amp; Σειρά 2 (L=19.5m) (+1.0m)</v>
      </c>
      <c r="C17" s="56">
        <f>'1_Στοιχεία_Μελέτης_&amp;_Ποσότητες'!C97</f>
        <v>2241</v>
      </c>
      <c r="D17" s="10" t="str">
        <f>'1_Στοιχεία_Μελέτης_&amp;_Ποσότητες'!D97</f>
        <v>m</v>
      </c>
      <c r="E17" s="57">
        <v>2.2799999999999998</v>
      </c>
      <c r="F17" s="39">
        <f t="shared" si="0"/>
        <v>5109.4799999999996</v>
      </c>
      <c r="G17" s="101"/>
      <c r="H17" s="58" t="str">
        <f>"Φύλλο 1 (A.12): " &amp; ('1_Στοιχεία_Μελέτης_&amp;_Ποσότητες'!C32*2) &amp; " αγκυρώσεις " &amp; '1_Στοιχεία_Μελέτης_&amp;_Ποσότητες'!C39 &amp; "-strands (Σειρά 1 L=" &amp; '1_Στοιχεία_Μελέτης_&amp;_Ποσότητες'!C38 &amp; "m &amp; Σειρά 2 L=" &amp; '1_Στοιχεία_Μελέτης_&amp;_Ποσότητες'!C40 &amp; "m, +" &amp; TEXT('1_Στοιχεία_Μελέτης_&amp;_Ποσότητες'!C28,"0.0") &amp; "m) @ 2.28 €/m"</f>
        <v>Φύλλο 1 (A.12): 54 αγκυρώσεις 2-strands (Σειρά 1 L=20m &amp; Σειρά 2 L=19.5m, +1.0m) @ 2.28 €/m</v>
      </c>
    </row>
    <row r="18" spans="1:8" ht="17" x14ac:dyDescent="0.35">
      <c r="A18" s="54" t="s">
        <v>177</v>
      </c>
      <c r="B18" s="55" t="str">
        <f>'1_Στοιχεία_Μελέτης_&amp;_Ποσότητες'!B98</f>
        <v>ΤΕΝΟΝΤΕΣ 0.6'' (3 ΚΑΛΩΔΙΑ) — Σειρά 3 (L=20m) &amp; Σειρά 4 (L=18.5m) (+1.0m)</v>
      </c>
      <c r="C18" s="56">
        <f>'1_Στοιχεία_Μελέτης_&amp;_Ποσότητες'!C98</f>
        <v>3280.5</v>
      </c>
      <c r="D18" s="10" t="str">
        <f>'1_Στοιχεία_Μελέτης_&amp;_Ποσότητες'!D98</f>
        <v>m</v>
      </c>
      <c r="E18" s="57">
        <v>2.2799999999999998</v>
      </c>
      <c r="F18" s="39">
        <f t="shared" si="0"/>
        <v>7479.54</v>
      </c>
      <c r="G18" s="101"/>
      <c r="H18" s="58" t="str">
        <f>"Φύλλο 1 (A.13): " &amp; ('1_Στοιχεία_Μελέτης_&amp;_Ποσότητες'!C32*2) &amp; " αγκυρώσεις " &amp; '1_Στοιχεία_Μελέτης_&amp;_Ποσότητες'!C43 &amp; "-strands (Σειρά 3 L=" &amp; '1_Στοιχεία_Μελέτης_&amp;_Ποσότητες'!C42 &amp; "m &amp; Σειρά 4 L=" &amp; '1_Στοιχεία_Μελέτης_&amp;_Ποσότητες'!C44 &amp; "m, +" &amp; TEXT('1_Στοιχεία_Μελέτης_&amp;_Ποσότητες'!C28,"0.0") &amp; "m) @ 2.28 €/m"</f>
        <v>Φύλλο 1 (A.13): 54 αγκυρώσεις 3-strands (Σειρά 3 L=20m &amp; Σειρά 4 L=18.5m, +1.0m) @ 2.28 €/m</v>
      </c>
    </row>
    <row r="19" spans="1:8" ht="17" x14ac:dyDescent="0.35">
      <c r="A19" s="54" t="s">
        <v>178</v>
      </c>
      <c r="B19" s="55" t="str">
        <f>'1_Στοιχεία_Μελέτης_&amp;_Ποσότητες'!B99</f>
        <v>ΠΡΟΕΝΤΑΣΗ ΑΓΚΥΡΩΣΕΩΝ (STRESSING &amp; LOCK-OFF) = 4 Σειρές X 27No</v>
      </c>
      <c r="C19" s="60">
        <f>'1_Στοιχεία_Μελέτης_&amp;_Ποσότητες'!C99</f>
        <v>108</v>
      </c>
      <c r="D19" s="10" t="str">
        <f>'1_Στοιχεία_Μελέτης_&amp;_Ποσότητες'!D99</f>
        <v>No</v>
      </c>
      <c r="E19" s="57">
        <v>18</v>
      </c>
      <c r="F19" s="39">
        <f t="shared" si="0"/>
        <v>1944</v>
      </c>
      <c r="G19" s="101"/>
      <c r="H19" s="58" t="str">
        <f>"Φύλλο 1 (A.14): Προένταση (Stressing &amp; Lock-off) " &amp; '1_Στοιχεία_Μελέτης_&amp;_Ποσότητες'!C99 &amp; " αγκυρώσεων Type A @ 18.00 €/No"</f>
        <v>Φύλλο 1 (A.14): Προένταση (Stressing &amp; Lock-off) 108 αγκυρώσεων Type A @ 18.00 €/No</v>
      </c>
    </row>
    <row r="20" spans="1:8" ht="17" x14ac:dyDescent="0.35">
      <c r="A20" s="61" t="s">
        <v>179</v>
      </c>
      <c r="B20" s="62" t="str">
        <f>'1_Στοιχεία_Μελέτης_&amp;_Ποσότητες'!B100</f>
        <v>ΚΕΦΑΛΕΣ ΑΓΚΥΡΩΣΗΣ (ANCHOR HEAD, WEDGES, PLATE) = 4 Σειρές X 27No</v>
      </c>
      <c r="C20" s="63">
        <f>'1_Στοιχεία_Μελέτης_&amp;_Ποσότητες'!C100</f>
        <v>108</v>
      </c>
      <c r="D20" s="21" t="str">
        <f>'1_Στοιχεία_Μελέτης_&amp;_Ποσότητες'!D100</f>
        <v>No</v>
      </c>
      <c r="E20" s="64">
        <v>55</v>
      </c>
      <c r="F20" s="65">
        <f t="shared" si="0"/>
        <v>5940</v>
      </c>
      <c r="G20" s="102"/>
      <c r="H20" s="66" t="str">
        <f>"Φύλλο 1 (A.15): Πλήρες σετ κεφαλής (Head, Wedges, Plate) " &amp; '1_Στοιχεία_Μελέτης_&amp;_Ποσότητες'!C100 &amp; " αγκυρώσεων Type A @ 55.00 €/No"</f>
        <v>Φύλλο 1 (A.15): Πλήρες σετ κεφαλής (Head, Wedges, Plate) 108 αγκυρώσεων Type A @ 55.00 €/No</v>
      </c>
    </row>
    <row r="22" spans="1:8" ht="17" x14ac:dyDescent="0.35">
      <c r="A22" s="50" t="s">
        <v>102</v>
      </c>
      <c r="B22" s="51" t="str">
        <f>"BERLIN WALL TYPE B: " &amp; '1_Στοιχεία_Μελέτης_&amp;_Ποσότητες'!C48 &amp; "No Ζεύγη HEB200, L=" &amp; TEXT('1_Στοιχεία_Μελέτης_&amp;_Ποσότητες'!C52,"0.00") &amp; "m (Διάτρηση=" &amp; TEXT(IF(ISBLANK('1_Στοιχεία_Μελέτης_&amp;_Ποσότητες'!C53),'1_Στοιχεία_Μελέτης_&amp;_Ποσότητες'!C52,'1_Στοιχεία_Μελέτης_&amp;_Ποσότητες'!C53),"0.00") &amp; "m), Εκσκαφή " &amp; TEXT('1_Στοιχεία_Μελέτης_&amp;_Ποσότητες'!C50,"0.00") &amp; "m, " &amp; TEXT('1_Στοιχεία_Μελέτης_&amp;_Ποσότητες'!C49,"0.00") &amp; " τρ.μ."</f>
        <v>BERLIN WALL TYPE B: 74No Ζεύγη HEB200, L=17.00m (Διάτρηση=17.00m), Εκσκαφή 15.60m, 111.00 τρ.μ.</v>
      </c>
      <c r="C22" s="52">
        <f>'1_Στοιχεία_Μελέτης_&amp;_Ποσότητες'!C49</f>
        <v>111</v>
      </c>
      <c r="D22" s="50" t="s">
        <v>74</v>
      </c>
      <c r="E22" s="52">
        <f>ROUND(F22/C22, 2)</f>
        <v>6519.12</v>
      </c>
      <c r="F22" s="52">
        <f>SUM(F23:F37)</f>
        <v>723622.84</v>
      </c>
      <c r="G22" s="50" t="s">
        <v>257</v>
      </c>
      <c r="H22" s="53" t="str">
        <f>"Σύνολο Τοίχου Β (Πυλώνες 2, 3 &amp; 4 — HEB 200, " &amp; '1_Στοιχεία_Μελέτης_&amp;_Ποσότητες'!C48 &amp; " πάσσαλοι, " &amp; '1_Στοιχεία_Μελέτης_&amp;_Ποσότητες'!C116 &amp; " αγκυρώσεις)"</f>
        <v>Σύνολο Τοίχου Β (Πυλώνες 2, 3 &amp; 4 — HEB 200, 74 πάσσαλοι, 296 αγκυρώσεις)</v>
      </c>
    </row>
    <row r="23" spans="1:8" ht="17" x14ac:dyDescent="0.35">
      <c r="A23" s="54" t="s">
        <v>181</v>
      </c>
      <c r="B23" s="55" t="str">
        <f>'1_Στοιχεία_Μελέτης_&amp;_Ποσότητες'!B103</f>
        <v>ΤΡΥΠΗΜΑ / ΕΚΣΚΑΦΗ ΝΕΦΚΩΝ Ø800mm = 74No X 17.00m (Όγκος: 632.34 m³)</v>
      </c>
      <c r="C23" s="56">
        <f>'1_Στοιχεία_Μελέτης_&amp;_Ποσότητες'!C103</f>
        <v>1258</v>
      </c>
      <c r="D23" s="10" t="str">
        <f>'1_Στοιχεία_Μελέτης_&amp;_Ποσότητες'!D103</f>
        <v>m</v>
      </c>
      <c r="E23" s="57">
        <v>75</v>
      </c>
      <c r="F23" s="39">
        <f t="shared" ref="F23:F37" si="1">ROUND(C23*E23, 2)</f>
        <v>94350</v>
      </c>
      <c r="G23" s="100">
        <f>F22</f>
        <v>723622.84</v>
      </c>
      <c r="H23" s="58" t="str">
        <f>IF(ISBLANK('1_Στοιχεία_Μελέτης_&amp;_Ποσότητες'!C53),"Φύλλο 1 (B.1): " &amp; '1_Στοιχεία_Μελέτης_&amp;_Ποσότητες'!C48 &amp; " πάσσαλοι × " &amp; TEXT('1_Στοιχεία_Μελέτης_&amp;_Ποσότητες'!C52,"0.00") &amp; "m (χωρίς WPL, Όγκος " &amp; TEXT(ROUND('1_Στοιχεία_Μελέτης_&amp;_Ποσότητες'!C103*'1_Στοιχεία_Μελέτης_&amp;_Ποσότητες'!C80,2),"#,##0.00") &amp; " m³) @ 75.00 €/m","Φύλλο 1 (B.1 — ΜΕ WPL): " &amp; '1_Στοιχεία_Μελέτης_&amp;_Ποσότητες'!C48 &amp; " πάσσαλοι × " &amp; TEXT('1_Στοιχεία_Μελέτης_&amp;_Ποσότητες'!C53,"0.00") &amp; "m (Όγκος " &amp; TEXT(ROUND('1_Στοιχεία_Μελέτης_&amp;_Ποσότητες'!C103*'1_Στοιχεία_Μελέτης_&amp;_Ποσότητες'!C80,2),"#,##0.00") &amp; " m³) @ 75.00 €/m")</f>
        <v>Φύλλο 1 (B.1): 74 πάσσαλοι × 17.00m (χωρίς WPL, Όγκος 632.34 m³) @ 75.00 €/m</v>
      </c>
    </row>
    <row r="24" spans="1:8" ht="17" x14ac:dyDescent="0.35">
      <c r="A24" s="54" t="s">
        <v>182</v>
      </c>
      <c r="B24" s="55" t="str">
        <f>'1_Στοιχεία_Μελέτης_&amp;_Ποσότητες'!B104</f>
        <v>ΜΠΕΤΟΝ ΠΑΚΤΩΣΗΣ C30/37 = 74No X 1.50m X 0.503m³/m</v>
      </c>
      <c r="C24" s="56">
        <f>'1_Στοιχεία_Μελέτης_&amp;_Ποσότητες'!C104</f>
        <v>55.79</v>
      </c>
      <c r="D24" s="10" t="str">
        <f>'1_Στοιχεία_Μελέτης_&amp;_Ποσότητες'!D104</f>
        <v>m³</v>
      </c>
      <c r="E24" s="59">
        <v>120</v>
      </c>
      <c r="F24" s="39">
        <f t="shared" si="1"/>
        <v>6694.8</v>
      </c>
      <c r="G24" s="101"/>
      <c r="H24" s="58" t="str">
        <f>"Φύλλο 1 (B.2): Πάκτωση H=" &amp; TEXT('1_Στοιχεία_Μελέτης_&amp;_Ποσότητες'!C51,"0.00") &amp; "m σε Ø" &amp; ('1_Στοιχεία_Μελέτης_&amp;_Ποσότητες'!C11*1000) &amp; "mm @ 120.00 €/m³ [Πορτοκαλί #FFE699]"</f>
        <v>Φύλλο 1 (B.2): Πάκτωση H=1.50m σε Ø800mm @ 120.00 €/m³ [Πορτοκαλί #FFE699]</v>
      </c>
    </row>
    <row r="25" spans="1:8" ht="17" x14ac:dyDescent="0.35">
      <c r="A25" s="54" t="s">
        <v>183</v>
      </c>
      <c r="B25" s="55" t="str">
        <f>'1_Στοιχεία_Μελέτης_&amp;_Ποσότητες'!B105</f>
        <v>HEB200 - ΠΡΟΜΗΘΕΙΑ, ΕΠΕΞΕΡΓΑΣΙΑ &amp; ΤΟΠΟΘΕΤΗΣΗ (74No x 2No x 17.00m x 61.3kg/m)</v>
      </c>
      <c r="C25" s="56">
        <f>'1_Στοιχεία_Μελέτης_&amp;_Ποσότητες'!C105</f>
        <v>154230.79999999999</v>
      </c>
      <c r="D25" s="10" t="str">
        <f>'1_Στοιχεία_Μελέτης_&amp;_Ποσότητες'!D105</f>
        <v>kg</v>
      </c>
      <c r="E25" s="57">
        <v>1.4</v>
      </c>
      <c r="F25" s="39">
        <f t="shared" si="1"/>
        <v>215923.12</v>
      </c>
      <c r="G25" s="101"/>
      <c r="H25" s="58" t="str">
        <f>"Φύλλο 1 (B.3): " &amp; '1_Στοιχεία_Μελέτης_&amp;_Ποσότητες'!C12 &amp; " No. HEB 200 (" &amp; TEXT('1_Στοιχεία_Μελέτης_&amp;_Ποσότητες'!C14*'1_Στοιχεία_Μελέτης_&amp;_Ποσότητες'!C12,"0.0") &amp; " kg/m, L=" &amp; TEXT('1_Στοιχεία_Μελέτης_&amp;_Ποσότητες'!C52,"0.0") &amp; "m) @ 1.40 €/kg"</f>
        <v>Φύλλο 1 (B.3): 2 No. HEB 200 (122.6 kg/m, L=17.0m) @ 1.40 €/kg</v>
      </c>
    </row>
    <row r="26" spans="1:8" ht="17" x14ac:dyDescent="0.35">
      <c r="A26" s="54" t="s">
        <v>185</v>
      </c>
      <c r="B26" s="55" t="str">
        <f>'1_Στοιχεία_Μελέτης_&amp;_Ποσότητες'!B106</f>
        <v>ΛΑΜΕΣ ΣΥΝΔΕΣΗΣ 200x200x10mm = 74No x (17No x 3.140kg)</v>
      </c>
      <c r="C26" s="56">
        <f>'1_Στοιχεία_Μελέτης_&amp;_Ποσότητες'!C106</f>
        <v>3950.12</v>
      </c>
      <c r="D26" s="10" t="str">
        <f>'1_Στοιχεία_Μελέτης_&amp;_Ποσότητες'!D106</f>
        <v>kg</v>
      </c>
      <c r="E26" s="57">
        <v>1.6</v>
      </c>
      <c r="F26" s="39">
        <f t="shared" si="1"/>
        <v>6320.19</v>
      </c>
      <c r="G26" s="101"/>
      <c r="H26" s="58" t="str">
        <f>"Φύλλο 1 (B.4): Λάμες " &amp; '1_Στοιχεία_Μελέτης_&amp;_Ποσότητες'!C16 &amp; "x" &amp; '1_Στοιχεία_Μελέτης_&amp;_Ποσότητες'!C17 &amp; "x" &amp; '1_Στοιχεία_Μελέτης_&amp;_Ποσότητες'!C18 &amp; "mm (" &amp; ('1_Στοιχεία_Μελέτης_&amp;_Ποσότητες'!C52/'1_Στοιχεία_Μελέτης_&amp;_Ποσότητες'!C15) &amp; " λάμες/οπή = " &amp; ('1_Στοιχεία_Μελέτης_&amp;_Ποσότητες'!C48*('1_Στοιχεία_Μελέτης_&amp;_Ποσότητες'!C52/'1_Στοιχεία_Μελέτης_&amp;_Ποσότητες'!C15)) &amp; " τεμ.) @ 1.60 €/kg"</f>
        <v>Φύλλο 1 (B.4): Λάμες 200x200x10mm (17 λάμες/οπή = 1258 τεμ.) @ 1.60 €/kg</v>
      </c>
    </row>
    <row r="27" spans="1:8" ht="17" x14ac:dyDescent="0.35">
      <c r="A27" s="54" t="s">
        <v>186</v>
      </c>
      <c r="B27" s="55" t="str">
        <f>'1_Στοιχεία_Μελέτης_&amp;_Ποσότητες'!B107</f>
        <v>ΓΩΝΙΕΣ ΣΤΗΡΙΞΗΣ L70x70x6mm = 74No x 15.60m x 6.38kg/m x 2No</v>
      </c>
      <c r="C27" s="56">
        <f>'1_Στοιχεία_Μελέτης_&amp;_Ποσότητες'!C107</f>
        <v>14730.14</v>
      </c>
      <c r="D27" s="10" t="str">
        <f>'1_Στοιχεία_Μελέτης_&amp;_Ποσότητες'!D107</f>
        <v>kg</v>
      </c>
      <c r="E27" s="57">
        <v>1.6</v>
      </c>
      <c r="F27" s="39">
        <f t="shared" si="1"/>
        <v>23568.22</v>
      </c>
      <c r="G27" s="101"/>
      <c r="H27" s="58" t="str">
        <f>"Φύλλο 1 (B.5): 2 γωνιές L70x70x6 × " &amp; TEXT('1_Στοιχεία_Μελέτης_&amp;_Ποσότητες'!C50,"0.00") &amp; "m (" &amp; TEXT('1_Στοιχεία_Μελέτης_&amp;_Ποσότητες'!C48*2*'1_Στοιχεία_Μελέτης_&amp;_Ποσότητες'!C50,"0.0") &amp; "m) @ 1.60 €/kg"</f>
        <v>Φύλλο 1 (B.5): 2 γωνιές L70x70x6 × 15.60m (2308.8m) @ 1.60 €/kg</v>
      </c>
    </row>
    <row r="28" spans="1:8" ht="17" x14ac:dyDescent="0.35">
      <c r="A28" s="54" t="s">
        <v>187</v>
      </c>
      <c r="B28" s="55" t="str">
        <f>'1_Στοιχεία_Μελέτης_&amp;_Ποσότητες'!B108</f>
        <v>ΑΓΟΡΑ ΧΑΛΥΒΑ ΣΧΑΡΑΣ #Y8/150 = 1,731.60m² x 5.261kg/m²</v>
      </c>
      <c r="C28" s="56">
        <f>'1_Στοιχεία_Μελέτης_&amp;_Ποσότητες'!C108</f>
        <v>9109.9500000000007</v>
      </c>
      <c r="D28" s="10" t="str">
        <f>'1_Στοιχεία_Μελέτης_&amp;_Ποσότητες'!D108</f>
        <v>kg</v>
      </c>
      <c r="E28" s="57">
        <v>2.5</v>
      </c>
      <c r="F28" s="39">
        <f t="shared" si="1"/>
        <v>22774.880000000001</v>
      </c>
      <c r="G28" s="101"/>
      <c r="H28" s="58" t="str">
        <f>"Φύλλο 1 (B.6): Σχάρα #Y" &amp; '1_Στοιχεία_Μελέτης_&amp;_Ποσότητες'!C21 &amp; "/" &amp; '1_Στοιχεία_Μελέτης_&amp;_Ποσότητες'!C22 &amp; " (" &amp; TEXT('1_Στοιχεία_Μελέτης_&amp;_Ποσότητες'!C81,"0.000") &amp; " kg/m²) @ 2.50 €/kg αγορά"</f>
        <v>Φύλλο 1 (B.6): Σχάρα #Y8/150 (5.261 kg/m²) @ 2.50 €/kg αγορά</v>
      </c>
    </row>
    <row r="29" spans="1:8" ht="17" x14ac:dyDescent="0.35">
      <c r="A29" s="54" t="s">
        <v>188</v>
      </c>
      <c r="B29" s="55" t="str">
        <f>'1_Στοιχεία_Μελέτης_&amp;_Ποσότητες'!B109</f>
        <v>ΤΟΠΟΘΕΤΗΣΗ ΣΧΑΡΑΣ ΜΕΤΩΠΟΥ = 111.00m X 15.60m</v>
      </c>
      <c r="C29" s="56">
        <f>'1_Στοιχεία_Μελέτης_&amp;_Ποσότητες'!C109</f>
        <v>1731.6</v>
      </c>
      <c r="D29" s="10" t="str">
        <f>'1_Στοιχεία_Μελέτης_&amp;_Ποσότητες'!D109</f>
        <v>m²</v>
      </c>
      <c r="E29" s="57">
        <v>15</v>
      </c>
      <c r="F29" s="39">
        <f t="shared" si="1"/>
        <v>25974</v>
      </c>
      <c r="G29" s="101"/>
      <c r="H29" s="58" t="str">
        <f>"Φύλλο 1 (B.7): Εργατικά τοποθέτησης σχάρας μετώπου (" &amp; TEXT('1_Στοιχεία_Μελέτης_&amp;_Ποσότητες'!C49,"0.0") &amp; "m × " &amp; TEXT('1_Στοιχεία_Μελέτης_&amp;_Ποσότητες'!C50,"0.0") &amp; "m) @ 15.00 €/m²"</f>
        <v>Φύλλο 1 (B.7): Εργατικά τοποθέτησης σχάρας μετώπου (111.0m × 15.6m) @ 15.00 €/m²</v>
      </c>
    </row>
    <row r="30" spans="1:8" ht="17" x14ac:dyDescent="0.35">
      <c r="A30" s="54" t="s">
        <v>190</v>
      </c>
      <c r="B30" s="55" t="str">
        <f>'1_Στοιχεία_Μελέτης_&amp;_Ποσότητες'!B110</f>
        <v>ΑΓΟΡΑ ΣΚΥΡΟΔΕΜΑΤΟΣ SHOTCRETE C30/37 = 1,731.60m² x 0.15m</v>
      </c>
      <c r="C30" s="56">
        <f>'1_Στοιχεία_Μελέτης_&amp;_Ποσότητες'!C110</f>
        <v>259.74</v>
      </c>
      <c r="D30" s="10" t="str">
        <f>'1_Στοιχεία_Μελέτης_&amp;_Ποσότητες'!D110</f>
        <v>m³</v>
      </c>
      <c r="E30" s="57">
        <v>90</v>
      </c>
      <c r="F30" s="39">
        <f t="shared" si="1"/>
        <v>23376.6</v>
      </c>
      <c r="G30" s="101"/>
      <c r="H30" s="58" t="str">
        <f>"Φύλλο 1 (B.8): Αγορά " &amp; '1_Στοιχεία_Μελέτης_&amp;_Ποσότητες'!C23 &amp; " ονομαστικού πάχους " &amp; ('1_Στοιχεία_Μελέτης_&amp;_Ποσότητες'!C24*100) &amp; "cm @ 90.00 €/m³"</f>
        <v>Φύλλο 1 (B.8): Αγορά C30/37 ονομαστικού πάχους 15cm @ 90.00 €/m³</v>
      </c>
    </row>
    <row r="31" spans="1:8" ht="17" x14ac:dyDescent="0.35">
      <c r="A31" s="54" t="s">
        <v>191</v>
      </c>
      <c r="B31" s="55" t="str">
        <f>'1_Στοιχεία_Μελέτης_&amp;_Ποσότητες'!B111</f>
        <v>ΤΟΠΟΘΕΤΗΣΗ / ΕΚΤΟΞΕΥΣΗ SHOTCRETE = 1,731.60m² x 0.15m (με απώλεια +33.3%)</v>
      </c>
      <c r="C31" s="56">
        <f>'1_Στοιχεία_Μελέτης_&amp;_Ποσότητες'!C111</f>
        <v>259.74</v>
      </c>
      <c r="D31" s="10" t="str">
        <f>'1_Στοιχεία_Μελέτης_&amp;_Ποσότητες'!D111</f>
        <v>m³</v>
      </c>
      <c r="E31" s="57">
        <f>ROUND((200*(1+'1_Στοιχεία_Μελέτης_&amp;_Ποσότητες'!C83))-90, 2)</f>
        <v>176.67</v>
      </c>
      <c r="F31" s="39">
        <f t="shared" si="1"/>
        <v>45888.27</v>
      </c>
      <c r="G31" s="101"/>
      <c r="H31" s="58" t="str">
        <f>"Φύλλο 1 (B.9): Εκτόξευση/Αντλία = Βάση 200€ × (1+" &amp; TEXT('1_Στοιχεία_Μελέτης_&amp;_Ποσότητες'!C83,"0.0%") &amp; " απώλεια) - 90€"</f>
        <v>Φύλλο 1 (B.9): Εκτόξευση/Αντλία = Βάση 200€ × (1+33.3% απώλεια) - 90€</v>
      </c>
    </row>
    <row r="32" spans="1:8" ht="17" x14ac:dyDescent="0.35">
      <c r="A32" s="54" t="s">
        <v>193</v>
      </c>
      <c r="B32" s="55" t="str">
        <f>'1_Στοιχεία_Μελέτης_&amp;_Ποσότητες'!B112</f>
        <v>ΔΙΑΤΡΗΣΗ ΑΓΚΥΡΩΣΕΩΝ Ø120mm (4 Σειρές: L1=20m, L2=19.5m, L3=19.5m, L4=16m)</v>
      </c>
      <c r="C32" s="56">
        <f>'1_Στοιχεία_Μελέτης_&amp;_Ποσότητες'!C112</f>
        <v>5550</v>
      </c>
      <c r="D32" s="10" t="str">
        <f>'1_Στοιχεία_Μελέτης_&amp;_Ποσότητες'!D112</f>
        <v>m</v>
      </c>
      <c r="E32" s="57">
        <v>30</v>
      </c>
      <c r="F32" s="39">
        <f t="shared" si="1"/>
        <v>166500</v>
      </c>
      <c r="G32" s="101"/>
      <c r="H32" s="58" t="str">
        <f>"Φύλλο 1 (B.10): Διάτρηση " &amp; '1_Στοιχεία_Μελέτης_&amp;_Ποσότητες'!C116 &amp; " αγκυρώσεων Ø" &amp; ('1_Στοιχεία_Μελέτης_&amp;_Ποσότητες'!C26*1000) &amp; "mm (Σειρές 1-4: " &amp; '1_Στοιχεία_Μελέτης_&amp;_Ποσότητες'!C54 &amp; "m, " &amp; '1_Στοιχεία_Μελέτης_&amp;_Ποσότητες'!C56 &amp; "m, " &amp; '1_Στοιχεία_Μελέτης_&amp;_Ποσότητες'!C58 &amp; "m, " &amp; '1_Στοιχεία_Μελέτης_&amp;_Ποσότητες'!C60 &amp; "m) @ 30.00 €/m"</f>
        <v>Φύλλο 1 (B.10): Διάτρηση 296 αγκυρώσεων Ø120mm (Σειρές 1-4: 20m, 19.5m, 19.5m, 16m) @ 30.00 €/m</v>
      </c>
    </row>
    <row r="33" spans="1:8" ht="17" x14ac:dyDescent="0.35">
      <c r="A33" s="54" t="s">
        <v>194</v>
      </c>
      <c r="B33" s="55" t="str">
        <f>'1_Στοιχεία_Μελέτης_&amp;_Ποσότητες'!B113</f>
        <v>GROUT ΤΣΙΜΕΝΤΕΝΕΜΑ ΑΓΚΥΡΩΣΕΩΝ (με απώλεια 1.20) = 5,550.00m x 0.0136m³/m</v>
      </c>
      <c r="C33" s="56">
        <f>'1_Στοιχεία_Μελέτης_&amp;_Ποσότητες'!C113</f>
        <v>75.319999999999993</v>
      </c>
      <c r="D33" s="10" t="str">
        <f>'1_Στοιχεία_Μελέτης_&amp;_Ποσότητες'!D113</f>
        <v>m³</v>
      </c>
      <c r="E33" s="57">
        <v>500</v>
      </c>
      <c r="F33" s="39">
        <f t="shared" si="1"/>
        <v>37660</v>
      </c>
      <c r="G33" s="101"/>
      <c r="H33" s="58" t="str">
        <f>"Φύλλο 1 (B.11): Grout Ø" &amp; ('1_Στοιχεία_Μελέτης_&amp;_Ποσότητες'!C26*1000) &amp; "mm με απώλεια " &amp; TEXT('1_Στοιχεία_Μελέτης_&amp;_Ποσότητες'!C27,"0.00") &amp; " (" &amp; TEXT('1_Στοιχεία_Μελέτης_&amp;_Ποσότητες'!C82,"0.000000") &amp; " m³/m) @ 500.00 €/m³"</f>
        <v>Φύλλο 1 (B.11): Grout Ø120mm με απώλεια 1.20 (0.013572 m³/m) @ 500.00 €/m³</v>
      </c>
    </row>
    <row r="34" spans="1:8" ht="17" x14ac:dyDescent="0.35">
      <c r="A34" s="54" t="s">
        <v>196</v>
      </c>
      <c r="B34" s="55" t="str">
        <f>'1_Στοιχεία_Μελέτης_&amp;_Ποσότητες'!B114</f>
        <v>ΤΕΝΟΝΤΕΣ 0.6'' (2 ΚΑΛΩΔΙΑ) — Σειρά 1 (L=20m) &amp; Σειρά 2 (L=19.5m) (+1.0m)</v>
      </c>
      <c r="C34" s="56">
        <f>'1_Στοιχεία_Μελέτης_&amp;_Ποσότητες'!C114</f>
        <v>6142</v>
      </c>
      <c r="D34" s="10" t="str">
        <f>'1_Στοιχεία_Μελέτης_&amp;_Ποσότητες'!D114</f>
        <v>m</v>
      </c>
      <c r="E34" s="57">
        <v>2.2799999999999998</v>
      </c>
      <c r="F34" s="39">
        <f t="shared" si="1"/>
        <v>14003.76</v>
      </c>
      <c r="G34" s="101"/>
      <c r="H34" s="58" t="str">
        <f>"Φύλλο 1 (B.12): " &amp; ('1_Στοιχεία_Μελέτης_&amp;_Ποσότητες'!C48*2) &amp; " αγκυρώσεις " &amp; '1_Στοιχεία_Μελέτης_&amp;_Ποσότητες'!C55 &amp; "-strands (Σειρά 1 L=" &amp; '1_Στοιχεία_Μελέτης_&amp;_Ποσότητες'!C54 &amp; "m &amp; Σειρά 2 L=" &amp; '1_Στοιχεία_Μελέτης_&amp;_Ποσότητες'!C56 &amp; "m, +" &amp; TEXT('1_Στοιχεία_Μελέτης_&amp;_Ποσότητες'!C28,"0.0") &amp; "m) @ 2.28 €/m"</f>
        <v>Φύλλο 1 (B.12): 148 αγκυρώσεις 2-strands (Σειρά 1 L=20m &amp; Σειρά 2 L=19.5m, +1.0m) @ 2.28 €/m</v>
      </c>
    </row>
    <row r="35" spans="1:8" ht="17" x14ac:dyDescent="0.35">
      <c r="A35" s="54" t="s">
        <v>197</v>
      </c>
      <c r="B35" s="55" t="str">
        <f>'1_Στοιχεία_Μελέτης_&amp;_Ποσότητες'!B115</f>
        <v>ΤΕΝΟΝΤΕΣ 0.6'' (3 ΚΑΛΩΔΙΑ) — Σειρά 3 (L=19.5m) &amp; Σειρά 4 (L=16m) (+1.0m)</v>
      </c>
      <c r="C35" s="56">
        <f>'1_Στοιχεία_Μελέτης_&amp;_Ποσότητες'!C115</f>
        <v>8325</v>
      </c>
      <c r="D35" s="10" t="str">
        <f>'1_Στοιχεία_Μελέτης_&amp;_Ποσότητες'!D115</f>
        <v>m</v>
      </c>
      <c r="E35" s="57">
        <v>2.2799999999999998</v>
      </c>
      <c r="F35" s="39">
        <f t="shared" si="1"/>
        <v>18981</v>
      </c>
      <c r="G35" s="101"/>
      <c r="H35" s="58" t="str">
        <f>"Φύλλο 1 (B.13): " &amp; ('1_Στοιχεία_Μελέτης_&amp;_Ποσότητες'!C48*2) &amp; " αγκυρώσεις " &amp; '1_Στοιχεία_Μελέτης_&amp;_Ποσότητες'!C59 &amp; "-strands (Σειρά 3 L=" &amp; '1_Στοιχεία_Μελέτης_&amp;_Ποσότητες'!C58 &amp; "m &amp; Σειρά 4 L=" &amp; '1_Στοιχεία_Μελέτης_&amp;_Ποσότητες'!C60 &amp; "m, +" &amp; TEXT('1_Στοιχεία_Μελέτης_&amp;_Ποσότητες'!C28,"0.0") &amp; "m) @ 2.28 €/m"</f>
        <v>Φύλλο 1 (B.13): 148 αγκυρώσεις 3-strands (Σειρά 3 L=19.5m &amp; Σειρά 4 L=16m, +1.0m) @ 2.28 €/m</v>
      </c>
    </row>
    <row r="36" spans="1:8" ht="17" x14ac:dyDescent="0.35">
      <c r="A36" s="54" t="s">
        <v>198</v>
      </c>
      <c r="B36" s="55" t="str">
        <f>'1_Στοιχεία_Μελέτης_&amp;_Ποσότητες'!B116</f>
        <v>ΠΡΟΕΝΤΑΣΗ ΑΓΚΥΡΩΣΕΩΝ (STRESSING &amp; LOCK-OFF) = 4 Σειρές X 74No</v>
      </c>
      <c r="C36" s="60">
        <f>'1_Στοιχεία_Μελέτης_&amp;_Ποσότητες'!C116</f>
        <v>296</v>
      </c>
      <c r="D36" s="10" t="str">
        <f>'1_Στοιχεία_Μελέτης_&amp;_Ποσότητες'!D116</f>
        <v>No</v>
      </c>
      <c r="E36" s="57">
        <v>18</v>
      </c>
      <c r="F36" s="39">
        <f t="shared" si="1"/>
        <v>5328</v>
      </c>
      <c r="G36" s="101"/>
      <c r="H36" s="58" t="str">
        <f>"Φύλλο 1 (B.14): Προένταση (Stressing &amp; Lock-off) " &amp; '1_Στοιχεία_Μελέτης_&amp;_Ποσότητες'!C116 &amp; " αγκυρώσεων Type B @ 18.00 €/No"</f>
        <v>Φύλλο 1 (B.14): Προένταση (Stressing &amp; Lock-off) 296 αγκυρώσεων Type B @ 18.00 €/No</v>
      </c>
    </row>
    <row r="37" spans="1:8" ht="32" x14ac:dyDescent="0.35">
      <c r="A37" s="61" t="s">
        <v>199</v>
      </c>
      <c r="B37" s="62" t="str">
        <f>'1_Στοιχεία_Μελέτης_&amp;_Ποσότητες'!B117</f>
        <v>ΚΕΦΑΛΕΣ ΑΓΚΥΡΩΣΗΣ (ANCHOR HEAD, WEDGES, PLATE) = 4 Σειρές X 74No</v>
      </c>
      <c r="C37" s="63">
        <f>'1_Στοιχεία_Μελέτης_&amp;_Ποσότητες'!C117</f>
        <v>296</v>
      </c>
      <c r="D37" s="21" t="str">
        <f>'1_Στοιχεία_Μελέτης_&amp;_Ποσότητες'!D117</f>
        <v>No</v>
      </c>
      <c r="E37" s="64">
        <v>55</v>
      </c>
      <c r="F37" s="65">
        <f t="shared" si="1"/>
        <v>16280</v>
      </c>
      <c r="G37" s="102"/>
      <c r="H37" s="66" t="str">
        <f>"Φύλλο 1 (B.15): Πλήρες σετ κεφαλής (Head, Wedges, Plate) " &amp; '1_Στοιχεία_Μελέτης_&amp;_Ποσότητες'!C117 &amp; " αγκυρώσεων Type B @ 55.00 €/No"</f>
        <v>Φύλλο 1 (B.15): Πλήρες σετ κεφαλής (Head, Wedges, Plate) 296 αγκυρώσεων Type B @ 55.00 €/No</v>
      </c>
    </row>
    <row r="39" spans="1:8" ht="34" x14ac:dyDescent="0.35">
      <c r="A39" s="50" t="s">
        <v>125</v>
      </c>
      <c r="B39" s="51" t="str">
        <f>"BERLIN WALL TYPE C: " &amp; '1_Στοιχεία_Μελέτης_&amp;_Ποσότητες'!C64 &amp; "No Ζεύγη HEB200, L=" &amp; TEXT('1_Στοιχεία_Μελέτης_&amp;_Ποσότητες'!C68,"0.00") &amp; "m (Διάτρηση=" &amp; TEXT(IF(ISBLANK('1_Στοιχεία_Μελέτης_&amp;_Ποσότητες'!C69),'1_Στοιχεία_Μελέτης_&amp;_Ποσότητες'!C68,'1_Στοιχεία_Μελέτης_&amp;_Ποσότητες'!C69),"0.00") &amp; "m), Εκσκαφή " &amp; TEXT('1_Στοιχεία_Μελέτης_&amp;_Ποσότητες'!C66,"0.00") &amp; "m, " &amp; TEXT('1_Στοιχεία_Μελέτης_&amp;_Ποσότητες'!C65,"0.00") &amp; " τρ.μ."</f>
        <v>BERLIN WALL TYPE C: 15No Ζεύγη HEB200, L=13.00m (Διάτρηση=13.00m), Εκσκαφή 11.10m, 22.50 τρ.μ.</v>
      </c>
      <c r="C39" s="52">
        <f>'1_Στοιχεία_Μελέτης_&amp;_Ποσότητες'!C65</f>
        <v>22.5</v>
      </c>
      <c r="D39" s="50" t="s">
        <v>74</v>
      </c>
      <c r="E39" s="52">
        <f>ROUND(F39/C39, 2)</f>
        <v>4821.09</v>
      </c>
      <c r="F39" s="52">
        <f>SUM(F40:F53)</f>
        <v>108474.48000000001</v>
      </c>
      <c r="G39" s="50" t="s">
        <v>257</v>
      </c>
      <c r="H39" s="53" t="str">
        <f>"Σύνολο Τοίχου Γ (Πυλώνες 2, 3 &amp; 4 — HEB 200, " &amp; '1_Στοιχεία_Μελέτης_&amp;_Ποσότητες'!C64 &amp; " πάσσαλοι, " &amp; '1_Στοιχεία_Μελέτης_&amp;_Ποσότητες'!C132 &amp; " αγκυρώσεις)"</f>
        <v>Σύνολο Τοίχου Γ (Πυλώνες 2, 3 &amp; 4 — HEB 200, 15 πάσσαλοι, 45 αγκυρώσεις)</v>
      </c>
    </row>
    <row r="40" spans="1:8" ht="32" x14ac:dyDescent="0.35">
      <c r="A40" s="54" t="s">
        <v>201</v>
      </c>
      <c r="B40" s="55" t="str">
        <f>'1_Στοιχεία_Μελέτης_&amp;_Ποσότητες'!B120</f>
        <v>ΤΡΥΠΗΜΑ / ΕΚΣΚΑΦΗ ΝΕΦΚΩΝ Ø800mm = 15No X 13.00m (Όγκος: 98.02 m³)</v>
      </c>
      <c r="C40" s="56">
        <f>'1_Στοιχεία_Μελέτης_&amp;_Ποσότητες'!C120</f>
        <v>195</v>
      </c>
      <c r="D40" s="10" t="str">
        <f>'1_Στοιχεία_Μελέτης_&amp;_Ποσότητες'!D120</f>
        <v>m</v>
      </c>
      <c r="E40" s="57">
        <v>75</v>
      </c>
      <c r="F40" s="39">
        <f t="shared" ref="F40:F53" si="2">ROUND(C40*E40, 2)</f>
        <v>14625</v>
      </c>
      <c r="G40" s="100">
        <f>F39</f>
        <v>108474.48000000001</v>
      </c>
      <c r="H40" s="58" t="str">
        <f>IF(ISBLANK('1_Στοιχεία_Μελέτης_&amp;_Ποσότητες'!C69),"Φύλλο 1 (C.1): " &amp; '1_Στοιχεία_Μελέτης_&amp;_Ποσότητες'!C64 &amp; " πάσσαλοι × " &amp; TEXT('1_Στοιχεία_Μελέτης_&amp;_Ποσότητες'!C68,"0.00") &amp; "m (χωρίς WPL, Όγκος " &amp; TEXT(ROUND('1_Στοιχεία_Μελέτης_&amp;_Ποσότητες'!C120*'1_Στοιχεία_Μελέτης_&amp;_Ποσότητες'!C80,2),"#,##0.00") &amp; " m³) @ 75.00 €/m","Φύλλο 1 (C.1 — ΜΕ WPL): " &amp; '1_Στοιχεία_Μελέτης_&amp;_Ποσότητες'!C64 &amp; " πάσσαλοι × " &amp; TEXT('1_Στοιχεία_Μελέτης_&amp;_Ποσότητες'!C69,"0.00") &amp; "m (Όγκος " &amp; TEXT(ROUND('1_Στοιχεία_Μελέτης_&amp;_Ποσότητες'!C120*'1_Στοιχεία_Μελέτης_&amp;_Ποσότητες'!C80,2),"#,##0.00") &amp; " m³) @ 75.00 €/m")</f>
        <v>Φύλλο 1 (C.1): 15 πάσσαλοι × 13.00m (χωρίς WPL, Όγκος 98.02 m³) @ 75.00 €/m</v>
      </c>
    </row>
    <row r="41" spans="1:8" ht="27" x14ac:dyDescent="0.35">
      <c r="A41" s="54" t="s">
        <v>202</v>
      </c>
      <c r="B41" s="55" t="str">
        <f>'1_Στοιχεία_Μελέτης_&amp;_Ποσότητες'!B121</f>
        <v>ΜΠΕΤΟΝ ΠΑΚΤΩΣΗΣ C30/37 = 15No X 1.50m X 0.503m³/m</v>
      </c>
      <c r="C41" s="56">
        <f>'1_Στοιχεία_Μελέτης_&amp;_Ποσότητες'!C121</f>
        <v>11.31</v>
      </c>
      <c r="D41" s="10" t="str">
        <f>'1_Στοιχεία_Μελέτης_&amp;_Ποσότητες'!D121</f>
        <v>m³</v>
      </c>
      <c r="E41" s="59">
        <v>120</v>
      </c>
      <c r="F41" s="39">
        <f t="shared" si="2"/>
        <v>1357.2</v>
      </c>
      <c r="G41" s="101"/>
      <c r="H41" s="58" t="str">
        <f>"Φύλλο 1 (C.2): Πάκτωση H=" &amp; TEXT('1_Στοιχεία_Μελέτης_&amp;_Ποσότητες'!C67,"0.00") &amp; "m σε Ø" &amp; ('1_Στοιχεία_Μελέτης_&amp;_Ποσότητες'!C11*1000) &amp; "mm @ 120.00 €/m³ [Πορτοκαλί #FFE699]"</f>
        <v>Φύλλο 1 (C.2): Πάκτωση H=1.50m σε Ø800mm @ 120.00 €/m³ [Πορτοκαλί #FFE699]</v>
      </c>
    </row>
    <row r="42" spans="1:8" ht="32" x14ac:dyDescent="0.35">
      <c r="A42" s="54" t="s">
        <v>203</v>
      </c>
      <c r="B42" s="55" t="str">
        <f>'1_Στοιχεία_Μελέτης_&amp;_Ποσότητες'!B122</f>
        <v>HEB200 - ΠΡΟΜΗΘΕΙΑ, ΕΠΕΞΕΡΓΑΣΙΑ &amp; ΤΟΠΟΘΕΤΗΣΗ (15No x 2No x 13.00m x 61.3kg/m)</v>
      </c>
      <c r="C42" s="56">
        <f>'1_Στοιχεία_Μελέτης_&amp;_Ποσότητες'!C122</f>
        <v>23907</v>
      </c>
      <c r="D42" s="10" t="str">
        <f>'1_Στοιχεία_Μελέτης_&amp;_Ποσότητες'!D122</f>
        <v>kg</v>
      </c>
      <c r="E42" s="57">
        <v>1.4</v>
      </c>
      <c r="F42" s="39">
        <f t="shared" si="2"/>
        <v>33469.800000000003</v>
      </c>
      <c r="G42" s="101"/>
      <c r="H42" s="58" t="str">
        <f>"Φύλλο 1 (C.3): " &amp; '1_Στοιχεία_Μελέτης_&amp;_Ποσότητες'!C12 &amp; " No. HEB 200 (" &amp; TEXT('1_Στοιχεία_Μελέτης_&amp;_Ποσότητες'!C14*'1_Στοιχεία_Μελέτης_&amp;_Ποσότητες'!C12,"0.0") &amp; " kg/m, L=" &amp; TEXT('1_Στοιχεία_Μελέτης_&amp;_Ποσότητες'!C68,"0.0") &amp; "m) @ 1.40 €/kg"</f>
        <v>Φύλλο 1 (C.3): 2 No. HEB 200 (122.6 kg/m, L=13.0m) @ 1.40 €/kg</v>
      </c>
    </row>
    <row r="43" spans="1:8" ht="27" x14ac:dyDescent="0.35">
      <c r="A43" s="54" t="s">
        <v>205</v>
      </c>
      <c r="B43" s="55" t="str">
        <f>'1_Στοιχεία_Μελέτης_&amp;_Ποσότητες'!B123</f>
        <v>ΛΑΜΕΣ ΣΥΝΔΕΣΗΣ 200x200x10mm = 15No x (13No x 3.140kg)</v>
      </c>
      <c r="C43" s="56">
        <f>'1_Στοιχεία_Μελέτης_&amp;_Ποσότητες'!C123</f>
        <v>612.29999999999995</v>
      </c>
      <c r="D43" s="10" t="str">
        <f>'1_Στοιχεία_Μελέτης_&amp;_Ποσότητες'!D123</f>
        <v>kg</v>
      </c>
      <c r="E43" s="57">
        <v>1.6</v>
      </c>
      <c r="F43" s="39">
        <f t="shared" si="2"/>
        <v>979.68</v>
      </c>
      <c r="G43" s="101"/>
      <c r="H43" s="58" t="str">
        <f>"Φύλλο 1 (C.4): Λάμες " &amp; '1_Στοιχεία_Μελέτης_&amp;_Ποσότητες'!C16 &amp; "x" &amp; '1_Στοιχεία_Μελέτης_&amp;_Ποσότητες'!C17 &amp; "x" &amp; '1_Στοιχεία_Μελέτης_&amp;_Ποσότητες'!C18 &amp; "mm (" &amp; ('1_Στοιχεία_Μελέτης_&amp;_Ποσότητες'!C68/'1_Στοιχεία_Μελέτης_&amp;_Ποσότητες'!C15) &amp; " λάμες/οπή = " &amp; ('1_Στοιχεία_Μελέτης_&amp;_Ποσότητες'!C64*('1_Στοιχεία_Μελέτης_&amp;_Ποσότητες'!C68/'1_Στοιχεία_Μελέτης_&amp;_Ποσότητες'!C15)) &amp; " τεμ.) @ 1.60 €/kg"</f>
        <v>Φύλλο 1 (C.4): Λάμες 200x200x10mm (13 λάμες/οπή = 195 τεμ.) @ 1.60 €/kg</v>
      </c>
    </row>
    <row r="44" spans="1:8" ht="17" x14ac:dyDescent="0.35">
      <c r="A44" s="54" t="s">
        <v>206</v>
      </c>
      <c r="B44" s="55" t="str">
        <f>'1_Στοιχεία_Μελέτης_&amp;_Ποσότητες'!B124</f>
        <v>ΓΩΝΙΕΣ ΣΤΗΡΙΞΗΣ L70x70x6mm = 15No x 11.10m x 6.38kg/m x 2No</v>
      </c>
      <c r="C44" s="56">
        <f>'1_Στοιχεία_Μελέτης_&amp;_Ποσότητες'!C124</f>
        <v>2124.54</v>
      </c>
      <c r="D44" s="10" t="str">
        <f>'1_Στοιχεία_Μελέτης_&amp;_Ποσότητες'!D124</f>
        <v>kg</v>
      </c>
      <c r="E44" s="57">
        <v>1.6</v>
      </c>
      <c r="F44" s="39">
        <f t="shared" si="2"/>
        <v>3399.26</v>
      </c>
      <c r="G44" s="101"/>
      <c r="H44" s="58" t="str">
        <f>"Φύλλο 1 (C.5): 2 γωνιές L70x70x6 × " &amp; TEXT('1_Στοιχεία_Μελέτης_&amp;_Ποσότητες'!C66,"0.00") &amp; "m (" &amp; TEXT('1_Στοιχεία_Μελέτης_&amp;_Ποσότητες'!C64*2*'1_Στοιχεία_Μελέτης_&amp;_Ποσότητες'!C66,"0.0") &amp; "m) @ 1.60 €/kg"</f>
        <v>Φύλλο 1 (C.5): 2 γωνιές L70x70x6 × 11.10m (333.0m) @ 1.60 €/kg</v>
      </c>
    </row>
    <row r="45" spans="1:8" ht="17" x14ac:dyDescent="0.35">
      <c r="A45" s="54" t="s">
        <v>207</v>
      </c>
      <c r="B45" s="55" t="str">
        <f>'1_Στοιχεία_Μελέτης_&amp;_Ποσότητες'!B125</f>
        <v>ΑΓΟΡΑ ΧΑΛΥΒΑ ΣΧΑΡΑΣ #Y8/150 = 249.75m² x 5.261kg/m²</v>
      </c>
      <c r="C45" s="56">
        <f>'1_Στοιχεία_Μελέτης_&amp;_Ποσότητες'!C125</f>
        <v>1313.93</v>
      </c>
      <c r="D45" s="10" t="str">
        <f>'1_Στοιχεία_Μελέτης_&amp;_Ποσότητες'!D125</f>
        <v>kg</v>
      </c>
      <c r="E45" s="57">
        <v>2.5</v>
      </c>
      <c r="F45" s="39">
        <f t="shared" si="2"/>
        <v>3284.83</v>
      </c>
      <c r="G45" s="101"/>
      <c r="H45" s="58" t="str">
        <f>"Φύλλο 1 (C.6): Σχάρα #Y" &amp; '1_Στοιχεία_Μελέτης_&amp;_Ποσότητες'!C21 &amp; "/" &amp; '1_Στοιχεία_Μελέτης_&amp;_Ποσότητες'!C22 &amp; " (" &amp; TEXT('1_Στοιχεία_Μελέτης_&amp;_Ποσότητες'!C81,"0.000") &amp; " kg/m²) @ 2.50 €/kg αγορά"</f>
        <v>Φύλλο 1 (C.6): Σχάρα #Y8/150 (5.261 kg/m²) @ 2.50 €/kg αγορά</v>
      </c>
    </row>
    <row r="46" spans="1:8" ht="27" x14ac:dyDescent="0.35">
      <c r="A46" s="54" t="s">
        <v>208</v>
      </c>
      <c r="B46" s="55" t="str">
        <f>'1_Στοιχεία_Μελέτης_&amp;_Ποσότητες'!B126</f>
        <v>ΤΟΠΟΘΕΤΗΣΗ ΣΧΑΡΑΣ ΜΕΤΩΠΟΥ = 22.50m X 11.10m</v>
      </c>
      <c r="C46" s="56">
        <f>'1_Στοιχεία_Μελέτης_&amp;_Ποσότητες'!C126</f>
        <v>249.75</v>
      </c>
      <c r="D46" s="10" t="str">
        <f>'1_Στοιχεία_Μελέτης_&amp;_Ποσότητες'!D126</f>
        <v>m²</v>
      </c>
      <c r="E46" s="57">
        <v>15</v>
      </c>
      <c r="F46" s="39">
        <f t="shared" si="2"/>
        <v>3746.25</v>
      </c>
      <c r="G46" s="101"/>
      <c r="H46" s="58" t="str">
        <f>"Φύλλο 1 (C.7): Εργατικά τοποθέτησης σχάρας μετώπου (" &amp; TEXT('1_Στοιχεία_Μελέτης_&amp;_Ποσότητες'!C65,"0.0") &amp; "m × " &amp; TEXT('1_Στοιχεία_Μελέτης_&amp;_Ποσότητες'!C66,"0.0") &amp; "m) @ 15.00 €/m²"</f>
        <v>Φύλλο 1 (C.7): Εργατικά τοποθέτησης σχάρας μετώπου (22.5m × 11.1m) @ 15.00 €/m²</v>
      </c>
    </row>
    <row r="47" spans="1:8" ht="17" x14ac:dyDescent="0.35">
      <c r="A47" s="54" t="s">
        <v>210</v>
      </c>
      <c r="B47" s="55" t="str">
        <f>'1_Στοιχεία_Μελέτης_&amp;_Ποσότητες'!B127</f>
        <v>ΑΓΟΡΑ ΣΚΥΡΟΔΕΜΑΤΟΣ SHOTCRETE C30/37 = 249.75m² x 0.15m</v>
      </c>
      <c r="C47" s="56">
        <f>'1_Στοιχεία_Μελέτης_&amp;_Ποσότητες'!C127</f>
        <v>37.46</v>
      </c>
      <c r="D47" s="10" t="str">
        <f>'1_Στοιχεία_Μελέτης_&amp;_Ποσότητες'!D127</f>
        <v>m³</v>
      </c>
      <c r="E47" s="57">
        <v>90</v>
      </c>
      <c r="F47" s="39">
        <f t="shared" si="2"/>
        <v>3371.4</v>
      </c>
      <c r="G47" s="101"/>
      <c r="H47" s="58" t="str">
        <f>"Φύλλο 1 (C.8): Αγορά " &amp; '1_Στοιχεία_Μελέτης_&amp;_Ποσότητες'!C23 &amp; " ονομαστικού πάχους " &amp; ('1_Στοιχεία_Μελέτης_&amp;_Ποσότητες'!C24*100) &amp; "cm @ 90.00 €/m³"</f>
        <v>Φύλλο 1 (C.8): Αγορά C30/37 ονομαστικού πάχους 15cm @ 90.00 €/m³</v>
      </c>
    </row>
    <row r="48" spans="1:8" ht="32" x14ac:dyDescent="0.35">
      <c r="A48" s="54" t="s">
        <v>211</v>
      </c>
      <c r="B48" s="55" t="str">
        <f>'1_Στοιχεία_Μελέτης_&amp;_Ποσότητες'!B128</f>
        <v>ΤΟΠΟΘΕΤΗΣΗ / ΕΚΤΟΞΕΥΣΗ SHOTCRETE = 249.75m² x 0.15m (με απώλεια +33.3%)</v>
      </c>
      <c r="C48" s="56">
        <f>'1_Στοιχεία_Μελέτης_&amp;_Ποσότητες'!C128</f>
        <v>37.46</v>
      </c>
      <c r="D48" s="10" t="str">
        <f>'1_Στοιχεία_Μελέτης_&amp;_Ποσότητες'!D128</f>
        <v>m³</v>
      </c>
      <c r="E48" s="57">
        <f>ROUND((200*(1+'1_Στοιχεία_Μελέτης_&amp;_Ποσότητες'!C83))-90, 2)</f>
        <v>176.67</v>
      </c>
      <c r="F48" s="39">
        <f t="shared" si="2"/>
        <v>6618.06</v>
      </c>
      <c r="G48" s="101"/>
      <c r="H48" s="58" t="str">
        <f>"Φύλλο 1 (C.9): Εκτόξευση/Αντλία = Βάση 200€ × (1+" &amp; TEXT('1_Στοιχεία_Μελέτης_&amp;_Ποσότητες'!C83,"0.0%") &amp; " απώλεια) - 90€"</f>
        <v>Φύλλο 1 (C.9): Εκτόξευση/Αντλία = Βάση 200€ × (1+33.3% απώλεια) - 90€</v>
      </c>
    </row>
    <row r="49" spans="1:8" ht="27" x14ac:dyDescent="0.35">
      <c r="A49" s="54" t="s">
        <v>213</v>
      </c>
      <c r="B49" s="55" t="str">
        <f>'1_Στοιχεία_Μελέτης_&amp;_Ποσότητες'!B129</f>
        <v>ΔΙΑΤΡΗΣΗ ΑΓΚΥΡΩΣΕΩΝ Ø120mm (3 Σειρές: L1=19m, L2=17m, L3=16m)</v>
      </c>
      <c r="C49" s="56">
        <f>'1_Στοιχεία_Μελέτης_&amp;_Ποσότητες'!C129</f>
        <v>780</v>
      </c>
      <c r="D49" s="10" t="str">
        <f>'1_Στοιχεία_Μελέτης_&amp;_Ποσότητες'!D129</f>
        <v>m</v>
      </c>
      <c r="E49" s="57">
        <v>30</v>
      </c>
      <c r="F49" s="39">
        <f t="shared" si="2"/>
        <v>23400</v>
      </c>
      <c r="G49" s="101"/>
      <c r="H49" s="58" t="str">
        <f>"Φύλλο 1 (C.10): Διάτρηση " &amp; '1_Στοιχεία_Μελέτης_&amp;_Ποσότητες'!C132 &amp; " αγκυρώσεων Ø" &amp; ('1_Στοιχεία_Μελέτης_&amp;_Ποσότητες'!C26*1000) &amp; "mm (Σειρές 1-3: " &amp; '1_Στοιχεία_Μελέτης_&amp;_Ποσότητες'!C70 &amp; "m, " &amp; '1_Στοιχεία_Μελέτης_&amp;_Ποσότητες'!C72 &amp; "m, " &amp; '1_Στοιχεία_Μελέτης_&amp;_Ποσότητες'!C74 &amp; "m) @ 30.00 €/m"</f>
        <v>Φύλλο 1 (C.10): Διάτρηση 45 αγκυρώσεων Ø120mm (Σειρές 1-3: 19m, 17m, 16m) @ 30.00 €/m</v>
      </c>
    </row>
    <row r="50" spans="1:8" ht="32" x14ac:dyDescent="0.35">
      <c r="A50" s="54" t="s">
        <v>214</v>
      </c>
      <c r="B50" s="55" t="str">
        <f>'1_Στοιχεία_Μελέτης_&amp;_Ποσότητες'!B130</f>
        <v>GROUT ΤΣΙΜΕΝΤΕΝΕΜΑ ΑΓΚΥΡΩΣΕΩΝ (με απώλεια 1.20) = 780.00m x 0.0136m³/m</v>
      </c>
      <c r="C50" s="56">
        <f>'1_Στοιχεία_Μελέτης_&amp;_Ποσότητες'!C130</f>
        <v>10.59</v>
      </c>
      <c r="D50" s="10" t="str">
        <f>'1_Στοιχεία_Μελέτης_&amp;_Ποσότητες'!D130</f>
        <v>m³</v>
      </c>
      <c r="E50" s="57">
        <v>500</v>
      </c>
      <c r="F50" s="39">
        <f t="shared" si="2"/>
        <v>5295</v>
      </c>
      <c r="G50" s="101"/>
      <c r="H50" s="58" t="str">
        <f>"Φύλλο 1 (C.11): Grout Ø" &amp; ('1_Στοιχεία_Μελέτης_&amp;_Ποσότητες'!C26*1000) &amp; "mm με απώλεια " &amp; TEXT('1_Στοιχεία_Μελέτης_&amp;_Ποσότητες'!C27,"0.00") &amp; " (" &amp; TEXT('1_Στοιχεία_Μελέτης_&amp;_Ποσότητες'!C82,"0.000000") &amp; " m³/m) @ 500.00 €/m³"</f>
        <v>Φύλλο 1 (C.11): Grout Ø120mm με απώλεια 1.20 (0.013572 m³/m) @ 500.00 €/m³</v>
      </c>
    </row>
    <row r="51" spans="1:8" ht="32" x14ac:dyDescent="0.35">
      <c r="A51" s="54" t="s">
        <v>216</v>
      </c>
      <c r="B51" s="55" t="str">
        <f>'1_Στοιχεία_Μελέτης_&amp;_Ποσότητες'!B131</f>
        <v>ΤΕΝΟΝΤΕΣ 0.6'' (3 ΚΑΛΩΔΙΑ) — Σειρές 1, 2 &amp; 3 (L1=19m, L2=17m, L3=16m) (+1.0m)</v>
      </c>
      <c r="C51" s="56">
        <f>'1_Στοιχεία_Μελέτης_&amp;_Ποσότητες'!C131</f>
        <v>2475</v>
      </c>
      <c r="D51" s="10" t="str">
        <f>'1_Στοιχεία_Μελέτης_&amp;_Ποσότητες'!D131</f>
        <v>m</v>
      </c>
      <c r="E51" s="57">
        <v>2.2799999999999998</v>
      </c>
      <c r="F51" s="39">
        <f t="shared" si="2"/>
        <v>5643</v>
      </c>
      <c r="G51" s="101"/>
      <c r="H51" s="58" t="str">
        <f>"Φύλλο 1 (C.12): " &amp; '1_Στοιχεία_Μελέτης_&amp;_Ποσότητες'!C132 &amp; " αγκυρώσεις " &amp; '1_Στοιχεία_Μελέτης_&amp;_Ποσότητες'!C71 &amp; "-strands (Σειρές 1-3: L=" &amp; '1_Στοιχεία_Μελέτης_&amp;_Ποσότητες'!C70 &amp; "m, " &amp; '1_Στοιχεία_Μελέτης_&amp;_Ποσότητες'!C72 &amp; "m, " &amp; '1_Στοιχεία_Μελέτης_&amp;_Ποσότητες'!C74 &amp; "m, +" &amp; TEXT('1_Στοιχεία_Μελέτης_&amp;_Ποσότητες'!C28,"0.0") &amp; "m) @ 2.28 €/m"</f>
        <v>Φύλλο 1 (C.12): 45 αγκυρώσεις 3-strands (Σειρές 1-3: L=19m, 17m, 16m, +1.0m) @ 2.28 €/m</v>
      </c>
    </row>
    <row r="52" spans="1:8" ht="27" x14ac:dyDescent="0.35">
      <c r="A52" s="54" t="s">
        <v>217</v>
      </c>
      <c r="B52" s="55" t="str">
        <f>'1_Στοιχεία_Μελέτης_&amp;_Ποσότητες'!B132</f>
        <v>ΠΡΟΕΝΤΑΣΗ ΑΓΚΥΡΩΣΕΩΝ (STRESSING &amp; LOCK-OFF) = 3 Σειρές X 15No</v>
      </c>
      <c r="C52" s="60">
        <f>'1_Στοιχεία_Μελέτης_&amp;_Ποσότητες'!C132</f>
        <v>45</v>
      </c>
      <c r="D52" s="10" t="str">
        <f>'1_Στοιχεία_Μελέτης_&amp;_Ποσότητες'!D132</f>
        <v>No</v>
      </c>
      <c r="E52" s="57">
        <v>18</v>
      </c>
      <c r="F52" s="39">
        <f t="shared" si="2"/>
        <v>810</v>
      </c>
      <c r="G52" s="101"/>
      <c r="H52" s="58" t="str">
        <f>"Φύλλο 1 (C.13): Προένταση (Stressing &amp; Lock-off) " &amp; '1_Στοιχεία_Μελέτης_&amp;_Ποσότητες'!C132 &amp; " αγκυρώσεων Type C @ 18.00 €/No"</f>
        <v>Φύλλο 1 (C.13): Προένταση (Stressing &amp; Lock-off) 45 αγκυρώσεων Type C @ 18.00 €/No</v>
      </c>
    </row>
    <row r="53" spans="1:8" ht="32" x14ac:dyDescent="0.35">
      <c r="A53" s="61" t="s">
        <v>218</v>
      </c>
      <c r="B53" s="62" t="str">
        <f>'1_Στοιχεία_Μελέτης_&amp;_Ποσότητες'!B133</f>
        <v>ΚΕΦΑΛΕΣ ΑΓΚΥΡΩΣΗΣ (ANCHOR HEAD, WEDGES, PLATE) = 3 Σειρές X 15No</v>
      </c>
      <c r="C53" s="63">
        <f>'1_Στοιχεία_Μελέτης_&amp;_Ποσότητες'!C133</f>
        <v>45</v>
      </c>
      <c r="D53" s="21" t="str">
        <f>'1_Στοιχεία_Μελέτης_&amp;_Ποσότητες'!D133</f>
        <v>No</v>
      </c>
      <c r="E53" s="64">
        <v>55</v>
      </c>
      <c r="F53" s="65">
        <f t="shared" si="2"/>
        <v>2475</v>
      </c>
      <c r="G53" s="102"/>
      <c r="H53" s="66" t="str">
        <f>"Φύλλο 1 (C.14): Πλήρες σετ κεφαλής (Head, Wedges, Plate) " &amp; '1_Στοιχεία_Μελέτης_&amp;_Ποσότητες'!C133 &amp; " αγκυρώσεων Type C @ 55.00 €/No"</f>
        <v>Φύλλο 1 (C.14): Πλήρες σετ κεφαλής (Head, Wedges, Plate) 45 αγκυρώσεων Type C @ 55.00 €/No</v>
      </c>
    </row>
    <row r="55" spans="1:8" ht="34" x14ac:dyDescent="0.35">
      <c r="A55" s="50" t="s">
        <v>258</v>
      </c>
      <c r="B55" s="51" t="str">
        <f>"ΜΕΤΑΚΙΝΗΣΕΙΣ ΜΗΧΑΝΗΜΑΤΩΝ &amp; ΣΥΝΕΡΓΕΙΩΝ ΕΡΓΟΥ (MOBILIZATION — 3 ΕΙΔΗ)"</f>
        <v>ΜΕΤΑΚΙΝΗΣΕΙΣ ΜΗΧΑΝΗΜΑΤΩΝ &amp; ΣΥΝΕΡΓΕΙΩΝ ΕΡΓΟΥ (MOBILIZATION — 3 ΕΙΔΗ)</v>
      </c>
      <c r="C55" s="52">
        <f>'1_Στοιχεία_Μελέτης_&amp;_Ποσότητες'!C140</f>
        <v>174</v>
      </c>
      <c r="D55" s="50" t="s">
        <v>74</v>
      </c>
      <c r="E55" s="52">
        <f>ROUND(F55/C55, 2)</f>
        <v>21.26</v>
      </c>
      <c r="F55" s="52">
        <f>SUM(F56:F58)</f>
        <v>3700</v>
      </c>
      <c r="G55" s="50" t="s">
        <v>257</v>
      </c>
      <c r="H55" s="53" t="s">
        <v>259</v>
      </c>
    </row>
    <row r="56" spans="1:8" ht="17" x14ac:dyDescent="0.35">
      <c r="A56" s="54" t="s">
        <v>221</v>
      </c>
      <c r="B56" s="55" t="str">
        <f>'1_Στοιχεία_Μελέτης_&amp;_Ποσότητες'!B136</f>
        <v>Στράτες Μεγάλου Τρυπανιού (Piling Rig)</v>
      </c>
      <c r="C56" s="60">
        <f>'1_Στοιχεία_Μελέτης_&amp;_Ποσότητες'!C136</f>
        <v>1</v>
      </c>
      <c r="D56" s="10" t="str">
        <f>'1_Στοιχεία_Μελέτης_&amp;_Ποσότητες'!D136</f>
        <v>στράτες</v>
      </c>
      <c r="E56" s="57">
        <v>1500</v>
      </c>
      <c r="F56" s="39">
        <f>ROUND(C56*E56, 2)</f>
        <v>1500</v>
      </c>
      <c r="G56" s="100">
        <f>F55</f>
        <v>3700</v>
      </c>
      <c r="H56" s="58" t="str">
        <f>"Βάση Λεμεσός (" &amp; '1_Στοιχεία_Μελέτης_&amp;_Ποσότητες'!C8 &amp; " km από έδρα Αγίου Συλά: 1,500.00 € βασική τιμή)"</f>
        <v>Βάση Λεμεσός (12 km από έδρα Αγίου Συλά: 1,500.00 € βασική τιμή)</v>
      </c>
    </row>
    <row r="57" spans="1:8" ht="27" x14ac:dyDescent="0.35">
      <c r="A57" s="54" t="s">
        <v>224</v>
      </c>
      <c r="B57" s="55" t="str">
        <f>'1_Στοιχεία_Μελέτης_&amp;_Ποσότητες'!B137</f>
        <v>Στράτες Εξοπλισμού Αγκυρώσεων (όσες οι μέγιστες σειρές)</v>
      </c>
      <c r="C57" s="60">
        <f>'1_Στοιχεία_Μελέτης_&amp;_Ποσότητες'!C137</f>
        <v>4</v>
      </c>
      <c r="D57" s="10" t="str">
        <f>'1_Στοιχεία_Μελέτης_&amp;_Ποσότητες'!D137</f>
        <v>στράτες</v>
      </c>
      <c r="E57" s="57">
        <v>300</v>
      </c>
      <c r="F57" s="39">
        <f>ROUND(C57*E57, 2)</f>
        <v>1200</v>
      </c>
      <c r="G57" s="101"/>
      <c r="H57" s="58" t="str">
        <f>"=" &amp; '1_Στοιχεία_Μελέτης_&amp;_Ποσότητες'!C137 &amp; " στράτες εξοπλισμού αγκυρώσεων (όσες οι σειρές αγκυρώσεων = " &amp; '1_Στοιχεία_Μελέτης_&amp;_Ποσότητες'!C9 &amp; ") @ 300.00 €"</f>
        <v>=4 στράτες εξοπλισμού αγκυρώσεων (όσες οι σειρές αγκυρώσεων = 4) @ 300.00 €</v>
      </c>
    </row>
    <row r="58" spans="1:8" ht="17" x14ac:dyDescent="0.35">
      <c r="A58" s="61" t="s">
        <v>226</v>
      </c>
      <c r="B58" s="62" t="str">
        <f>'1_Στοιχεία_Μελέτης_&amp;_Ποσότητες'!B138</f>
        <v>Στράτες Συνεργείου &amp; Αντλίας Shotcrete (σειρές + 1)</v>
      </c>
      <c r="C58" s="63">
        <f>'1_Στοιχεία_Μελέτης_&amp;_Ποσότητες'!C138</f>
        <v>5</v>
      </c>
      <c r="D58" s="21" t="str">
        <f>'1_Στοιχεία_Μελέτης_&amp;_Ποσότητες'!D138</f>
        <v>στράτες</v>
      </c>
      <c r="E58" s="64">
        <v>200</v>
      </c>
      <c r="F58" s="65">
        <f>ROUND(C58*E58, 2)</f>
        <v>1000</v>
      </c>
      <c r="G58" s="102"/>
      <c r="H58" s="66" t="str">
        <f>"=" &amp; '1_Στοιχεία_Μελέτης_&amp;_Ποσότητες'!C138 &amp; " στράτες συνεργείου &amp; αντλίας shotcrete (σειρές + 1 = " &amp; ('1_Στοιχεία_Μελέτης_&amp;_Ποσότητες'!C9+1) &amp; ") @ 200.00 €"</f>
        <v>=5 στράτες συνεργείου &amp; αντλίας shotcrete (σειρές + 1 = 5) @ 200.00 €</v>
      </c>
    </row>
    <row r="60" spans="1:8" x14ac:dyDescent="0.35">
      <c r="A60" s="103" t="s">
        <v>260</v>
      </c>
      <c r="B60" s="98"/>
      <c r="C60" s="98"/>
      <c r="D60" s="98"/>
      <c r="E60" s="98"/>
      <c r="F60" s="98"/>
      <c r="G60" s="98"/>
      <c r="H60" s="99"/>
    </row>
    <row r="61" spans="1:8" ht="16" x14ac:dyDescent="0.45">
      <c r="A61" s="7" t="s">
        <v>68</v>
      </c>
      <c r="B61" s="16" t="str">
        <f>"ΣΥΝΟΛΟ BERLIN WALL TYPE A (" &amp; '1_Στοιχεία_Μελέτης_&amp;_Ποσότητες'!C32 &amp; "No HEB 220, L=" &amp; TEXT('1_Στοιχεία_Μελέτης_&amp;_Ποσότητες'!C36,"0.0") &amp; "m, H=" &amp; TEXT('1_Στοιχεία_Μελέτης_&amp;_Ποσότητες'!C34,"0.0") &amp; "m, " &amp; TEXT('1_Στοιχεία_Μελέτης_&amp;_Ποσότητες'!C33,"0.00") &amp; " τρ.μ.)"</f>
        <v>ΣΥΝΟΛΟ BERLIN WALL TYPE A (27No HEB 220, L=19.0m, H=17.0m, 40.50 τρ.μ.)</v>
      </c>
      <c r="C61" s="67">
        <f>C5</f>
        <v>40.5</v>
      </c>
      <c r="D61" s="10" t="s">
        <v>74</v>
      </c>
      <c r="E61" s="67">
        <f>E5</f>
        <v>7418.19</v>
      </c>
      <c r="F61" s="56">
        <f>F5</f>
        <v>300436.74999999994</v>
      </c>
      <c r="G61" s="68">
        <f t="shared" ref="G61:G68" si="3">F61</f>
        <v>300436.74999999994</v>
      </c>
      <c r="H61" s="12" t="str">
        <f>"Περιλαμβάνει H-Beams, Σχάρα/Shotcrete &amp; " &amp; '1_Στοιχεία_Μελέτης_&amp;_Ποσότητες'!C99 &amp; " Αγκυρώσεις Τοίχου Α"</f>
        <v>Περιλαμβάνει H-Beams, Σχάρα/Shotcrete &amp; 108 Αγκυρώσεις Τοίχου Α</v>
      </c>
    </row>
    <row r="62" spans="1:8" ht="16" x14ac:dyDescent="0.45">
      <c r="A62" s="7" t="s">
        <v>102</v>
      </c>
      <c r="B62" s="16" t="str">
        <f>"ΣΥΝΟΛΟ BERLIN WALL TYPE B (" &amp; '1_Στοιχεία_Μελέτης_&amp;_Ποσότητες'!C48 &amp; "No HEB 200, L=" &amp; TEXT('1_Στοιχεία_Μελέτης_&amp;_Ποσότητες'!C52,"0.0") &amp; "m, H=" &amp; TEXT('1_Στοιχεία_Μελέτης_&amp;_Ποσότητες'!C50,"0.0") &amp; "m, " &amp; TEXT('1_Στοιχεία_Μελέτης_&amp;_Ποσότητες'!C49,"0.00") &amp; " τρ.μ.)"</f>
        <v>ΣΥΝΟΛΟ BERLIN WALL TYPE B (74No HEB 200, L=17.0m, H=15.6m, 111.00 τρ.μ.)</v>
      </c>
      <c r="C62" s="67">
        <f>C22</f>
        <v>111</v>
      </c>
      <c r="D62" s="10" t="s">
        <v>74</v>
      </c>
      <c r="E62" s="67">
        <f>E22</f>
        <v>6519.12</v>
      </c>
      <c r="F62" s="56">
        <f>F22</f>
        <v>723622.84</v>
      </c>
      <c r="G62" s="68">
        <f t="shared" si="3"/>
        <v>723622.84</v>
      </c>
      <c r="H62" s="12" t="str">
        <f>"Περιλαμβάνει H-Beams, Σχάρα/Shotcrete &amp; " &amp; '1_Στοιχεία_Μελέτης_&amp;_Ποσότητες'!C116 &amp; " Αγκυρώσεις Τοίχου Β"</f>
        <v>Περιλαμβάνει H-Beams, Σχάρα/Shotcrete &amp; 296 Αγκυρώσεις Τοίχου Β</v>
      </c>
    </row>
    <row r="63" spans="1:8" ht="16" x14ac:dyDescent="0.45">
      <c r="A63" s="7" t="s">
        <v>125</v>
      </c>
      <c r="B63" s="16" t="str">
        <f>"ΣΥΝΟΛΟ BERLIN WALL TYPE C (" &amp; '1_Στοιχεία_Μελέτης_&amp;_Ποσότητες'!C64 &amp; "No HEB 200, L=" &amp; TEXT('1_Στοιχεία_Μελέτης_&amp;_Ποσότητες'!C68,"0.0") &amp; "m, H=" &amp; TEXT('1_Στοιχεία_Μελέτης_&amp;_Ποσότητες'!C66,"0.0") &amp; "m, " &amp; TEXT('1_Στοιχεία_Μελέτης_&amp;_Ποσότητες'!C65,"0.00") &amp; " τρ.μ.)"</f>
        <v>ΣΥΝΟΛΟ BERLIN WALL TYPE C (15No HEB 200, L=13.0m, H=11.1m, 22.50 τρ.μ.)</v>
      </c>
      <c r="C63" s="67">
        <f>C39</f>
        <v>22.5</v>
      </c>
      <c r="D63" s="10" t="s">
        <v>74</v>
      </c>
      <c r="E63" s="67">
        <f>E39</f>
        <v>4821.09</v>
      </c>
      <c r="F63" s="56">
        <f>F39</f>
        <v>108474.48000000001</v>
      </c>
      <c r="G63" s="68">
        <f t="shared" si="3"/>
        <v>108474.48000000001</v>
      </c>
      <c r="H63" s="12" t="str">
        <f>"Περιλαμβάνει H-Beams, Σχάρα/Shotcrete &amp; " &amp; '1_Στοιχεία_Μελέτης_&amp;_Ποσότητες'!C132 &amp; " Αγκυρώσεις Τοίχου Γ"</f>
        <v>Περιλαμβάνει H-Beams, Σχάρα/Shotcrete &amp; 45 Αγκυρώσεις Τοίχου Γ</v>
      </c>
    </row>
    <row r="64" spans="1:8" ht="16" x14ac:dyDescent="0.45">
      <c r="A64" s="7" t="s">
        <v>258</v>
      </c>
      <c r="B64" s="16" t="s">
        <v>261</v>
      </c>
      <c r="C64" s="69">
        <f>'1_Στοιχεία_Μελέτης_&amp;_Ποσότητες'!C136+'1_Στοιχεία_Μελέτης_&amp;_Ποσότητες'!C137+'1_Στοιχεία_Μελέτης_&amp;_Ποσότητες'!C138</f>
        <v>10</v>
      </c>
      <c r="D64" s="10" t="s">
        <v>223</v>
      </c>
      <c r="E64" s="10" t="s">
        <v>14</v>
      </c>
      <c r="F64" s="56">
        <f>F55</f>
        <v>3700</v>
      </c>
      <c r="G64" s="68">
        <f t="shared" si="3"/>
        <v>3700</v>
      </c>
      <c r="H64" s="12" t="str">
        <f>"Πάγιες μετακινήσεις εργοταξίου Λεμεσού (" &amp; '1_Στοιχεία_Μελέτης_&amp;_Ποσότητες'!C136 &amp; " + " &amp; '1_Στοιχεία_Μελέτης_&amp;_Ποσότητες'!C137 &amp; " + " &amp; '1_Στοιχεία_Μελέτης_&amp;_Ποσότητες'!C138 &amp; " = " &amp; ('1_Στοιχεία_Μελέτης_&amp;_Ποσότητες'!C136+'1_Στοιχεία_Μελέτης_&amp;_Ποσότητες'!C137+'1_Στοιχεία_Μελέτης_&amp;_Ποσότητες'!C138) &amp; " στράτες)"</f>
        <v>Πάγιες μετακινήσεις εργοταξίου Λεμεσού (1 + 4 + 5 = 10 στράτες)</v>
      </c>
    </row>
    <row r="65" spans="1:8" ht="16" x14ac:dyDescent="0.35">
      <c r="A65" s="7" t="s">
        <v>262</v>
      </c>
      <c r="B65" s="11" t="str">
        <f>"Cross-Check Πυλώνα 2: Σύνολο Σχαρών (#Y" &amp; '1_Στοιχεία_Μελέτης_&amp;_Ποσότητες'!C21 &amp; "/" &amp; '1_Στοιχεία_Μελέτης_&amp;_Ποσότητες'!C22 &amp; ") &amp; Shotcrete " &amp; '1_Στοιχεία_Μελέτης_&amp;_Ποσότητες'!C23 &amp; " (Type A+B+C)"</f>
        <v>Cross-Check Πυλώνα 2: Σύνολο Σχαρών (#Y8/150) &amp; Shotcrete C30/37 (Type A+B+C)</v>
      </c>
      <c r="C65" s="67">
        <f>'1_Στοιχεία_Μελέτης_&amp;_Ποσότητες'!C141</f>
        <v>2669.85</v>
      </c>
      <c r="D65" s="10" t="s">
        <v>168</v>
      </c>
      <c r="E65" s="67">
        <f>ROUND(G65/C65, 2)</f>
        <v>68.150000000000006</v>
      </c>
      <c r="F65" s="56">
        <f>SUM(F11:F14)+SUM(F28:F31)+SUM(F45:F48)</f>
        <v>181958.97</v>
      </c>
      <c r="G65" s="39">
        <f t="shared" si="3"/>
        <v>181958.97</v>
      </c>
      <c r="H65" s="12" t="s">
        <v>263</v>
      </c>
    </row>
    <row r="66" spans="1:8" ht="16" x14ac:dyDescent="0.35">
      <c r="A66" s="7" t="s">
        <v>264</v>
      </c>
      <c r="B66" s="11" t="s">
        <v>265</v>
      </c>
      <c r="C66" s="69">
        <f>'1_Στοιχεία_Μελέτης_&amp;_Ποσότητες'!C139</f>
        <v>116</v>
      </c>
      <c r="D66" s="10" t="s">
        <v>266</v>
      </c>
      <c r="E66" s="67">
        <f>ROUND(G66/C66, 2)</f>
        <v>4795.3100000000004</v>
      </c>
      <c r="F66" s="56">
        <f>SUM(F6:F10)+SUM(F23:F27)+SUM(F40:F44)</f>
        <v>556256.31999999995</v>
      </c>
      <c r="G66" s="39">
        <f t="shared" si="3"/>
        <v>556256.31999999995</v>
      </c>
      <c r="H66" s="12" t="s">
        <v>267</v>
      </c>
    </row>
    <row r="67" spans="1:8" ht="16" x14ac:dyDescent="0.35">
      <c r="A67" s="7" t="s">
        <v>268</v>
      </c>
      <c r="B67" s="11" t="str">
        <f>"Cross-Check Πυλώνα 4: Σύνολο Αγκυρώσεων Tieback (Type A+B+C — " &amp; '1_Στοιχεία_Μελέτης_&amp;_Ποσότητες'!C151 &amp; " τεμ.)"</f>
        <v>Cross-Check Πυλώνα 4: Σύνολο Αγκυρώσεων Tieback (Type A+B+C — 449 τεμ.)</v>
      </c>
      <c r="C67" s="69">
        <f>'1_Στοιχεία_Μελέτης_&amp;_Ποσότητες'!C151</f>
        <v>449</v>
      </c>
      <c r="D67" s="10" t="s">
        <v>269</v>
      </c>
      <c r="E67" s="67">
        <f>ROUND(G67/C67, 2)</f>
        <v>878.22</v>
      </c>
      <c r="F67" s="56">
        <f>SUM(F15:F20)+SUM(F32:F37)+SUM(F49:F53)</f>
        <v>394318.78</v>
      </c>
      <c r="G67" s="39">
        <f t="shared" si="3"/>
        <v>394318.78</v>
      </c>
      <c r="H67" s="12" t="s">
        <v>270</v>
      </c>
    </row>
    <row r="68" spans="1:8" ht="17.5" x14ac:dyDescent="0.45">
      <c r="A68" s="70" t="s">
        <v>271</v>
      </c>
      <c r="B68" s="71" t="s">
        <v>272</v>
      </c>
      <c r="C68" s="72">
        <f>'1_Στοιχεία_Μελέτης_&amp;_Ποσότητες'!C140</f>
        <v>174</v>
      </c>
      <c r="D68" s="73" t="s">
        <v>74</v>
      </c>
      <c r="E68" s="72">
        <f>ROUND(G68/C68, 2)</f>
        <v>6530.08</v>
      </c>
      <c r="F68" s="74">
        <f>SUM(F61:F64)</f>
        <v>1136234.0699999998</v>
      </c>
      <c r="G68" s="74">
        <f t="shared" si="3"/>
        <v>1136234.0699999998</v>
      </c>
      <c r="H68" s="75" t="str">
        <f>"Ισούται ακριβώς με το άθροισμα των 4 Πυλώνων (" &amp; TEXT(SUM(F64:F67),"#,##0.00") &amp; " €)"</f>
        <v>Ισούται ακριβώς με το άθροισμα των 4 Πυλώνων (1,136,234.07 €)</v>
      </c>
    </row>
    <row r="70" spans="1:8" ht="16" x14ac:dyDescent="0.45">
      <c r="A70" s="97" t="s">
        <v>273</v>
      </c>
      <c r="B70" s="98"/>
      <c r="C70" s="98"/>
      <c r="D70" s="98"/>
      <c r="E70" s="98"/>
      <c r="F70" s="98"/>
      <c r="G70" s="98"/>
      <c r="H70" s="99"/>
    </row>
    <row r="71" spans="1:8" ht="16" x14ac:dyDescent="0.45">
      <c r="A71" s="7" t="s">
        <v>274</v>
      </c>
      <c r="B71" s="16" t="s">
        <v>275</v>
      </c>
      <c r="C71" s="67">
        <f>'1_Στοιχεία_Μελέτης_&amp;_Ποσότητες'!C141</f>
        <v>2669.85</v>
      </c>
      <c r="D71" s="10" t="s">
        <v>276</v>
      </c>
      <c r="E71" s="76"/>
      <c r="F71" s="76"/>
      <c r="G71" s="39">
        <f>ROUND(G68/'1_Στοιχεία_Μελέτης_&amp;_Ποσότητες'!C141, 2)</f>
        <v>425.58</v>
      </c>
      <c r="H71" s="12" t="str">
        <f>"Τελικό Σύνολο / " &amp; TEXT('1_Στοιχεία_Μελέτης_&amp;_Ποσότητες'!C141,"#,##0.00") &amp; " m²"</f>
        <v>Τελικό Σύνολο / 2,669.85 m²</v>
      </c>
    </row>
    <row r="72" spans="1:8" ht="16" x14ac:dyDescent="0.45">
      <c r="A72" s="7" t="s">
        <v>277</v>
      </c>
      <c r="B72" s="16" t="s">
        <v>278</v>
      </c>
      <c r="C72" s="67">
        <f>'1_Στοιχεία_Μελέτης_&amp;_Ποσότητες'!C140</f>
        <v>174</v>
      </c>
      <c r="D72" s="10" t="s">
        <v>279</v>
      </c>
      <c r="E72" s="76"/>
      <c r="F72" s="76"/>
      <c r="G72" s="39">
        <f>ROUND(G68/'1_Στοιχεία_Μελέτης_&amp;_Ποσότητες'!C140, 2)</f>
        <v>6530.08</v>
      </c>
      <c r="H72" s="12" t="str">
        <f>"Τελικό Σύνολο / " &amp; TEXT('1_Στοιχεία_Μελέτης_&amp;_Ποσότητες'!C140,"#,##0.00") &amp; " τρ.μ."</f>
        <v>Τελικό Σύνολο / 174.00 τρ.μ.</v>
      </c>
    </row>
    <row r="73" spans="1:8" ht="16" x14ac:dyDescent="0.45">
      <c r="A73" s="7" t="s">
        <v>280</v>
      </c>
      <c r="B73" s="16" t="s">
        <v>281</v>
      </c>
      <c r="C73" s="67">
        <f>'1_Στοιχεία_Μελέτης_&amp;_Ποσότητες'!C139</f>
        <v>116</v>
      </c>
      <c r="D73" s="10" t="s">
        <v>282</v>
      </c>
      <c r="E73" s="76"/>
      <c r="F73" s="76"/>
      <c r="G73" s="39">
        <f>ROUND(G68/'1_Στοιχεία_Μελέτης_&amp;_Ποσότητες'!C139, 2)</f>
        <v>9795.1200000000008</v>
      </c>
      <c r="H73" s="12" t="str">
        <f>"Τελικό Σύνολο / " &amp; '1_Στοιχεία_Μελέτης_&amp;_Ποσότητες'!C139 &amp; " πασσάλους"</f>
        <v>Τελικό Σύνολο / 116 πασσάλους</v>
      </c>
    </row>
    <row r="74" spans="1:8" ht="32" x14ac:dyDescent="0.45">
      <c r="A74" s="18" t="s">
        <v>283</v>
      </c>
      <c r="B74" s="46" t="str">
        <f>"Μέσο Κόστος ανά Πλήρη Αγκύρωση (Πυλώνας 4 / " &amp; '1_Στοιχεία_Μελέτης_&amp;_Ποσότητες'!C151 &amp; " τεμ.)"</f>
        <v>Μέσο Κόστος ανά Πλήρη Αγκύρωση (Πυλώνας 4 / 449 τεμ.)</v>
      </c>
      <c r="C74" s="77">
        <f>'1_Στοιχεία_Μελέτης_&amp;_Ποσότητες'!C151</f>
        <v>449</v>
      </c>
      <c r="D74" s="21" t="s">
        <v>284</v>
      </c>
      <c r="E74" s="78"/>
      <c r="F74" s="78"/>
      <c r="G74" s="65">
        <f>ROUND(G67/'1_Στοιχεία_Μελέτης_&amp;_Ποσότητες'!C151, 2)</f>
        <v>878.22</v>
      </c>
      <c r="H74" s="23" t="str">
        <f>"Σύνολο Πυλώνα 4 / " &amp; '1_Στοιχεία_Μελέτης_&amp;_Ποσότητες'!C151 &amp; " αγκυρώσεις"</f>
        <v>Σύνολο Πυλώνα 4 / 449 αγκυρώσεις</v>
      </c>
    </row>
  </sheetData>
  <mergeCells count="6">
    <mergeCell ref="A70:H70"/>
    <mergeCell ref="G23:G37"/>
    <mergeCell ref="G56:G58"/>
    <mergeCell ref="A60:H60"/>
    <mergeCell ref="G6:G20"/>
    <mergeCell ref="G40:G5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8"/>
  <sheetViews>
    <sheetView workbookViewId="0"/>
  </sheetViews>
  <sheetFormatPr defaultRowHeight="14.5" x14ac:dyDescent="0.35"/>
  <cols>
    <col min="1" max="1" width="20" customWidth="1"/>
    <col min="2" max="2" width="16" customWidth="1"/>
    <col min="3" max="5" width="14" customWidth="1"/>
    <col min="6" max="6" width="16" customWidth="1"/>
    <col min="7" max="7" width="18" customWidth="1"/>
  </cols>
  <sheetData>
    <row r="1" spans="1:7" ht="20" x14ac:dyDescent="0.35">
      <c r="A1" s="104" t="s">
        <v>285</v>
      </c>
      <c r="B1" s="93"/>
      <c r="C1" s="93"/>
      <c r="D1" s="93"/>
      <c r="E1" s="93"/>
      <c r="F1" s="93"/>
      <c r="G1" s="93"/>
    </row>
    <row r="2" spans="1:7" ht="16" x14ac:dyDescent="0.35">
      <c r="A2" s="79" t="s">
        <v>286</v>
      </c>
      <c r="B2" s="79"/>
      <c r="C2" s="79"/>
      <c r="D2" s="79"/>
      <c r="E2" s="79"/>
      <c r="F2" s="79"/>
      <c r="G2" s="79"/>
    </row>
    <row r="3" spans="1:7" ht="16" x14ac:dyDescent="0.35">
      <c r="A3" s="79"/>
      <c r="B3" s="79"/>
      <c r="C3" s="79"/>
      <c r="D3" s="79"/>
      <c r="E3" s="79"/>
      <c r="F3" s="79"/>
      <c r="G3" s="79"/>
    </row>
    <row r="4" spans="1:7" ht="16" x14ac:dyDescent="0.35">
      <c r="A4" s="105" t="s">
        <v>287</v>
      </c>
      <c r="B4" s="106"/>
      <c r="C4" s="106"/>
      <c r="D4" s="106"/>
      <c r="E4" s="106"/>
      <c r="F4" s="106"/>
      <c r="G4" s="107"/>
    </row>
    <row r="5" spans="1:7" ht="16" x14ac:dyDescent="0.35">
      <c r="A5" s="81" t="s">
        <v>288</v>
      </c>
      <c r="B5" s="81" t="s">
        <v>289</v>
      </c>
      <c r="C5" s="81" t="s">
        <v>290</v>
      </c>
      <c r="D5" s="81" t="s">
        <v>291</v>
      </c>
      <c r="E5" s="81" t="s">
        <v>292</v>
      </c>
      <c r="F5" s="81" t="s">
        <v>293</v>
      </c>
      <c r="G5" s="81" t="s">
        <v>294</v>
      </c>
    </row>
    <row r="6" spans="1:7" ht="16" x14ac:dyDescent="0.35">
      <c r="A6" s="80" t="s">
        <v>295</v>
      </c>
      <c r="B6" s="82">
        <v>133</v>
      </c>
      <c r="C6" s="82">
        <v>140</v>
      </c>
      <c r="D6" s="83">
        <v>5.5</v>
      </c>
      <c r="E6" s="83">
        <v>8.5</v>
      </c>
      <c r="F6" s="83">
        <v>31.4</v>
      </c>
      <c r="G6" s="84">
        <v>24.7</v>
      </c>
    </row>
    <row r="7" spans="1:7" ht="16" x14ac:dyDescent="0.35">
      <c r="A7" s="80" t="s">
        <v>296</v>
      </c>
      <c r="B7" s="82">
        <v>152</v>
      </c>
      <c r="C7" s="82">
        <v>160</v>
      </c>
      <c r="D7" s="82">
        <v>6</v>
      </c>
      <c r="E7" s="82">
        <v>9</v>
      </c>
      <c r="F7" s="83">
        <v>38.799999999999997</v>
      </c>
      <c r="G7" s="84">
        <v>30.4</v>
      </c>
    </row>
    <row r="8" spans="1:7" ht="16" x14ac:dyDescent="0.35">
      <c r="A8" s="80" t="s">
        <v>297</v>
      </c>
      <c r="B8" s="82">
        <v>171</v>
      </c>
      <c r="C8" s="82">
        <v>180</v>
      </c>
      <c r="D8" s="82">
        <v>6</v>
      </c>
      <c r="E8" s="83">
        <v>9.5</v>
      </c>
      <c r="F8" s="83">
        <v>45.3</v>
      </c>
      <c r="G8" s="84">
        <v>35.5</v>
      </c>
    </row>
    <row r="9" spans="1:7" ht="16" x14ac:dyDescent="0.35">
      <c r="A9" s="80" t="s">
        <v>298</v>
      </c>
      <c r="B9" s="82">
        <v>190</v>
      </c>
      <c r="C9" s="82">
        <v>200</v>
      </c>
      <c r="D9" s="83">
        <v>6.5</v>
      </c>
      <c r="E9" s="82">
        <v>10</v>
      </c>
      <c r="F9" s="83">
        <v>53.8</v>
      </c>
      <c r="G9" s="84">
        <v>42.3</v>
      </c>
    </row>
    <row r="10" spans="1:7" ht="16" x14ac:dyDescent="0.35">
      <c r="A10" s="80" t="s">
        <v>299</v>
      </c>
      <c r="B10" s="82">
        <v>210</v>
      </c>
      <c r="C10" s="82">
        <v>220</v>
      </c>
      <c r="D10" s="82">
        <v>7</v>
      </c>
      <c r="E10" s="82">
        <v>11</v>
      </c>
      <c r="F10" s="83">
        <v>64.3</v>
      </c>
      <c r="G10" s="84">
        <v>50.5</v>
      </c>
    </row>
    <row r="11" spans="1:7" ht="16" x14ac:dyDescent="0.35">
      <c r="A11" s="80" t="s">
        <v>300</v>
      </c>
      <c r="B11" s="82">
        <v>230</v>
      </c>
      <c r="C11" s="82">
        <v>240</v>
      </c>
      <c r="D11" s="83">
        <v>7.5</v>
      </c>
      <c r="E11" s="82">
        <v>12</v>
      </c>
      <c r="F11" s="83">
        <v>76.8</v>
      </c>
      <c r="G11" s="84">
        <v>60.3</v>
      </c>
    </row>
    <row r="12" spans="1:7" ht="16" x14ac:dyDescent="0.35">
      <c r="A12" s="80" t="s">
        <v>301</v>
      </c>
      <c r="B12" s="82">
        <v>250</v>
      </c>
      <c r="C12" s="82">
        <v>260</v>
      </c>
      <c r="D12" s="83">
        <v>7.5</v>
      </c>
      <c r="E12" s="83">
        <v>12.5</v>
      </c>
      <c r="F12" s="83">
        <v>86.8</v>
      </c>
      <c r="G12" s="84">
        <v>68.2</v>
      </c>
    </row>
    <row r="13" spans="1:7" ht="16" x14ac:dyDescent="0.35">
      <c r="A13" s="80" t="s">
        <v>302</v>
      </c>
      <c r="B13" s="82">
        <v>270</v>
      </c>
      <c r="C13" s="82">
        <v>280</v>
      </c>
      <c r="D13" s="82">
        <v>8</v>
      </c>
      <c r="E13" s="82">
        <v>13</v>
      </c>
      <c r="F13" s="83">
        <v>97.3</v>
      </c>
      <c r="G13" s="84">
        <v>76.400000000000006</v>
      </c>
    </row>
    <row r="14" spans="1:7" ht="16" x14ac:dyDescent="0.35">
      <c r="A14" s="80" t="s">
        <v>303</v>
      </c>
      <c r="B14" s="82">
        <v>290</v>
      </c>
      <c r="C14" s="82">
        <v>300</v>
      </c>
      <c r="D14" s="83">
        <v>8.5</v>
      </c>
      <c r="E14" s="82">
        <v>14</v>
      </c>
      <c r="F14" s="83">
        <v>112.5</v>
      </c>
      <c r="G14" s="84">
        <v>88.3</v>
      </c>
    </row>
    <row r="15" spans="1:7" ht="16" x14ac:dyDescent="0.35">
      <c r="A15" s="79"/>
      <c r="B15" s="79"/>
      <c r="C15" s="79"/>
      <c r="D15" s="79"/>
      <c r="E15" s="79"/>
      <c r="F15" s="79"/>
      <c r="G15" s="79"/>
    </row>
    <row r="16" spans="1:7" ht="16" x14ac:dyDescent="0.35">
      <c r="A16" s="105" t="s">
        <v>304</v>
      </c>
      <c r="B16" s="106"/>
      <c r="C16" s="106"/>
      <c r="D16" s="106"/>
      <c r="E16" s="106"/>
      <c r="F16" s="106"/>
      <c r="G16" s="107"/>
    </row>
    <row r="17" spans="1:7" ht="16" x14ac:dyDescent="0.35">
      <c r="A17" s="81" t="s">
        <v>288</v>
      </c>
      <c r="B17" s="81" t="s">
        <v>289</v>
      </c>
      <c r="C17" s="81" t="s">
        <v>290</v>
      </c>
      <c r="D17" s="81" t="s">
        <v>291</v>
      </c>
      <c r="E17" s="81" t="s">
        <v>292</v>
      </c>
      <c r="F17" s="81" t="s">
        <v>293</v>
      </c>
      <c r="G17" s="81" t="s">
        <v>294</v>
      </c>
    </row>
    <row r="18" spans="1:7" ht="16" x14ac:dyDescent="0.35">
      <c r="A18" s="80" t="s">
        <v>305</v>
      </c>
      <c r="B18" s="82">
        <v>140</v>
      </c>
      <c r="C18" s="82">
        <v>140</v>
      </c>
      <c r="D18" s="82">
        <v>7</v>
      </c>
      <c r="E18" s="82">
        <v>12</v>
      </c>
      <c r="F18" s="82">
        <v>43</v>
      </c>
      <c r="G18" s="84">
        <v>33.700000000000003</v>
      </c>
    </row>
    <row r="19" spans="1:7" ht="16" x14ac:dyDescent="0.35">
      <c r="A19" s="80" t="s">
        <v>306</v>
      </c>
      <c r="B19" s="82">
        <v>160</v>
      </c>
      <c r="C19" s="82">
        <v>160</v>
      </c>
      <c r="D19" s="82">
        <v>8</v>
      </c>
      <c r="E19" s="82">
        <v>13</v>
      </c>
      <c r="F19" s="83">
        <v>54.3</v>
      </c>
      <c r="G19" s="84">
        <v>42.6</v>
      </c>
    </row>
    <row r="20" spans="1:7" ht="16" x14ac:dyDescent="0.35">
      <c r="A20" s="80" t="s">
        <v>307</v>
      </c>
      <c r="B20" s="82">
        <v>180</v>
      </c>
      <c r="C20" s="82">
        <v>180</v>
      </c>
      <c r="D20" s="83">
        <v>8.5</v>
      </c>
      <c r="E20" s="82">
        <v>14</v>
      </c>
      <c r="F20" s="83">
        <v>65.3</v>
      </c>
      <c r="G20" s="84">
        <v>51.2</v>
      </c>
    </row>
    <row r="21" spans="1:7" ht="16" x14ac:dyDescent="0.35">
      <c r="A21" s="80" t="s">
        <v>308</v>
      </c>
      <c r="B21" s="82">
        <v>200</v>
      </c>
      <c r="C21" s="82">
        <v>200</v>
      </c>
      <c r="D21" s="82">
        <v>9</v>
      </c>
      <c r="E21" s="82">
        <v>15</v>
      </c>
      <c r="F21" s="83">
        <v>78.099999999999994</v>
      </c>
      <c r="G21" s="84">
        <v>61.3</v>
      </c>
    </row>
    <row r="22" spans="1:7" ht="16" x14ac:dyDescent="0.35">
      <c r="A22" s="80" t="s">
        <v>309</v>
      </c>
      <c r="B22" s="82">
        <v>220</v>
      </c>
      <c r="C22" s="82">
        <v>220</v>
      </c>
      <c r="D22" s="83">
        <v>9.5</v>
      </c>
      <c r="E22" s="82">
        <v>16</v>
      </c>
      <c r="F22" s="82">
        <v>91</v>
      </c>
      <c r="G22" s="84">
        <v>71.5</v>
      </c>
    </row>
    <row r="23" spans="1:7" ht="16" x14ac:dyDescent="0.35">
      <c r="A23" s="80" t="s">
        <v>310</v>
      </c>
      <c r="B23" s="82">
        <v>240</v>
      </c>
      <c r="C23" s="82">
        <v>240</v>
      </c>
      <c r="D23" s="82">
        <v>10</v>
      </c>
      <c r="E23" s="82">
        <v>17</v>
      </c>
      <c r="F23" s="82">
        <v>106</v>
      </c>
      <c r="G23" s="84">
        <v>83.2</v>
      </c>
    </row>
    <row r="24" spans="1:7" ht="16" x14ac:dyDescent="0.35">
      <c r="A24" s="80" t="s">
        <v>311</v>
      </c>
      <c r="B24" s="82">
        <v>260</v>
      </c>
      <c r="C24" s="82">
        <v>260</v>
      </c>
      <c r="D24" s="82">
        <v>10</v>
      </c>
      <c r="E24" s="83">
        <v>17.5</v>
      </c>
      <c r="F24" s="83">
        <v>118.4</v>
      </c>
      <c r="G24" s="85">
        <v>93</v>
      </c>
    </row>
    <row r="25" spans="1:7" ht="16" x14ac:dyDescent="0.35">
      <c r="A25" s="80" t="s">
        <v>312</v>
      </c>
      <c r="B25" s="82">
        <v>280</v>
      </c>
      <c r="C25" s="82">
        <v>280</v>
      </c>
      <c r="D25" s="83">
        <v>10.5</v>
      </c>
      <c r="E25" s="82">
        <v>18</v>
      </c>
      <c r="F25" s="83">
        <v>131.4</v>
      </c>
      <c r="G25" s="85">
        <v>103</v>
      </c>
    </row>
    <row r="26" spans="1:7" ht="16" x14ac:dyDescent="0.35">
      <c r="A26" s="80" t="s">
        <v>313</v>
      </c>
      <c r="B26" s="82">
        <v>300</v>
      </c>
      <c r="C26" s="82">
        <v>300</v>
      </c>
      <c r="D26" s="82">
        <v>11</v>
      </c>
      <c r="E26" s="82">
        <v>19</v>
      </c>
      <c r="F26" s="83">
        <v>149.1</v>
      </c>
      <c r="G26" s="85">
        <v>117</v>
      </c>
    </row>
    <row r="27" spans="1:7" ht="16" x14ac:dyDescent="0.35">
      <c r="A27" s="79"/>
      <c r="B27" s="79"/>
      <c r="C27" s="79"/>
      <c r="D27" s="79"/>
      <c r="E27" s="79"/>
      <c r="F27" s="79"/>
      <c r="G27" s="79"/>
    </row>
    <row r="28" spans="1:7" ht="16" x14ac:dyDescent="0.35">
      <c r="A28" s="105" t="s">
        <v>314</v>
      </c>
      <c r="B28" s="106"/>
      <c r="C28" s="106"/>
      <c r="D28" s="106"/>
      <c r="E28" s="106"/>
      <c r="F28" s="106"/>
      <c r="G28" s="107"/>
    </row>
    <row r="29" spans="1:7" ht="16" x14ac:dyDescent="0.35">
      <c r="A29" s="81" t="s">
        <v>288</v>
      </c>
      <c r="B29" s="81" t="s">
        <v>289</v>
      </c>
      <c r="C29" s="81" t="s">
        <v>290</v>
      </c>
      <c r="D29" s="81" t="s">
        <v>291</v>
      </c>
      <c r="E29" s="81" t="s">
        <v>292</v>
      </c>
      <c r="F29" s="81" t="s">
        <v>293</v>
      </c>
      <c r="G29" s="81" t="s">
        <v>294</v>
      </c>
    </row>
    <row r="30" spans="1:7" ht="16" x14ac:dyDescent="0.35">
      <c r="A30" s="80" t="s">
        <v>315</v>
      </c>
      <c r="B30" s="82">
        <v>140</v>
      </c>
      <c r="C30" s="82">
        <v>60</v>
      </c>
      <c r="D30" s="82">
        <v>7</v>
      </c>
      <c r="E30" s="82">
        <v>10</v>
      </c>
      <c r="F30" s="83">
        <v>20.399999999999999</v>
      </c>
      <c r="G30" s="85">
        <v>16</v>
      </c>
    </row>
    <row r="31" spans="1:7" ht="16" x14ac:dyDescent="0.35">
      <c r="A31" s="80" t="s">
        <v>316</v>
      </c>
      <c r="B31" s="82">
        <v>160</v>
      </c>
      <c r="C31" s="82">
        <v>65</v>
      </c>
      <c r="D31" s="83">
        <v>7.5</v>
      </c>
      <c r="E31" s="83">
        <v>10.5</v>
      </c>
      <c r="F31" s="82">
        <v>24</v>
      </c>
      <c r="G31" s="84">
        <v>18.8</v>
      </c>
    </row>
    <row r="32" spans="1:7" ht="16" x14ac:dyDescent="0.35">
      <c r="A32" s="80" t="s">
        <v>317</v>
      </c>
      <c r="B32" s="82">
        <v>180</v>
      </c>
      <c r="C32" s="82">
        <v>70</v>
      </c>
      <c r="D32" s="82">
        <v>8</v>
      </c>
      <c r="E32" s="82">
        <v>11</v>
      </c>
      <c r="F32" s="82">
        <v>28</v>
      </c>
      <c r="G32" s="85">
        <v>22</v>
      </c>
    </row>
    <row r="33" spans="1:7" ht="16" x14ac:dyDescent="0.35">
      <c r="A33" s="80" t="s">
        <v>318</v>
      </c>
      <c r="B33" s="82">
        <v>200</v>
      </c>
      <c r="C33" s="82">
        <v>75</v>
      </c>
      <c r="D33" s="83">
        <v>8.5</v>
      </c>
      <c r="E33" s="83">
        <v>11.5</v>
      </c>
      <c r="F33" s="83">
        <v>32.200000000000003</v>
      </c>
      <c r="G33" s="84">
        <v>25.3</v>
      </c>
    </row>
    <row r="34" spans="1:7" ht="16" x14ac:dyDescent="0.35">
      <c r="A34" s="80" t="s">
        <v>319</v>
      </c>
      <c r="B34" s="82">
        <v>220</v>
      </c>
      <c r="C34" s="82">
        <v>80</v>
      </c>
      <c r="D34" s="82">
        <v>9</v>
      </c>
      <c r="E34" s="83">
        <v>12.5</v>
      </c>
      <c r="F34" s="83">
        <v>37.4</v>
      </c>
      <c r="G34" s="84">
        <v>29.4</v>
      </c>
    </row>
    <row r="35" spans="1:7" ht="16" x14ac:dyDescent="0.35">
      <c r="A35" s="80" t="s">
        <v>320</v>
      </c>
      <c r="B35" s="82">
        <v>240</v>
      </c>
      <c r="C35" s="82">
        <v>85</v>
      </c>
      <c r="D35" s="83">
        <v>9.5</v>
      </c>
      <c r="E35" s="82">
        <v>13</v>
      </c>
      <c r="F35" s="83">
        <v>42.3</v>
      </c>
      <c r="G35" s="84">
        <v>33.200000000000003</v>
      </c>
    </row>
    <row r="36" spans="1:7" ht="16" x14ac:dyDescent="0.35">
      <c r="A36" s="80" t="s">
        <v>321</v>
      </c>
      <c r="B36" s="82">
        <v>260</v>
      </c>
      <c r="C36" s="82">
        <v>90</v>
      </c>
      <c r="D36" s="82">
        <v>10</v>
      </c>
      <c r="E36" s="82">
        <v>14</v>
      </c>
      <c r="F36" s="83">
        <v>48.3</v>
      </c>
      <c r="G36" s="84">
        <v>37.9</v>
      </c>
    </row>
    <row r="37" spans="1:7" ht="16" x14ac:dyDescent="0.35">
      <c r="A37" s="80" t="s">
        <v>322</v>
      </c>
      <c r="B37" s="82">
        <v>280</v>
      </c>
      <c r="C37" s="82">
        <v>95</v>
      </c>
      <c r="D37" s="82">
        <v>10</v>
      </c>
      <c r="E37" s="82">
        <v>15</v>
      </c>
      <c r="F37" s="83">
        <v>53.3</v>
      </c>
      <c r="G37" s="84">
        <v>41.8</v>
      </c>
    </row>
    <row r="38" spans="1:7" ht="16" x14ac:dyDescent="0.35">
      <c r="A38" s="80" t="s">
        <v>323</v>
      </c>
      <c r="B38" s="82">
        <v>300</v>
      </c>
      <c r="C38" s="82">
        <v>100</v>
      </c>
      <c r="D38" s="82">
        <v>10</v>
      </c>
      <c r="E38" s="82">
        <v>16</v>
      </c>
      <c r="F38" s="83">
        <v>58.8</v>
      </c>
      <c r="G38" s="84">
        <v>46.2</v>
      </c>
    </row>
    <row r="39" spans="1:7" ht="16" x14ac:dyDescent="0.35">
      <c r="A39" s="79"/>
      <c r="B39" s="79"/>
      <c r="C39" s="79"/>
      <c r="D39" s="79"/>
      <c r="E39" s="79"/>
      <c r="F39" s="79"/>
      <c r="G39" s="79"/>
    </row>
    <row r="40" spans="1:7" ht="16" x14ac:dyDescent="0.35">
      <c r="A40" s="105" t="s">
        <v>324</v>
      </c>
      <c r="B40" s="106"/>
      <c r="C40" s="106"/>
      <c r="D40" s="106"/>
      <c r="E40" s="106"/>
      <c r="F40" s="106"/>
      <c r="G40" s="107"/>
    </row>
    <row r="41" spans="1:7" ht="16" x14ac:dyDescent="0.35">
      <c r="A41" s="81" t="s">
        <v>288</v>
      </c>
      <c r="B41" s="81" t="s">
        <v>289</v>
      </c>
      <c r="C41" s="81" t="s">
        <v>290</v>
      </c>
      <c r="D41" s="81" t="s">
        <v>291</v>
      </c>
      <c r="E41" s="81" t="s">
        <v>292</v>
      </c>
      <c r="F41" s="81" t="s">
        <v>293</v>
      </c>
      <c r="G41" s="81" t="s">
        <v>294</v>
      </c>
    </row>
    <row r="42" spans="1:7" ht="16" x14ac:dyDescent="0.35">
      <c r="A42" s="80" t="s">
        <v>325</v>
      </c>
      <c r="B42" s="82">
        <v>50</v>
      </c>
      <c r="C42" s="82">
        <v>50</v>
      </c>
      <c r="D42" s="82">
        <v>5</v>
      </c>
      <c r="E42" s="82">
        <v>5</v>
      </c>
      <c r="F42" s="83">
        <v>4.8</v>
      </c>
      <c r="G42" s="84">
        <v>3.77</v>
      </c>
    </row>
    <row r="43" spans="1:7" ht="16" x14ac:dyDescent="0.35">
      <c r="A43" s="80" t="s">
        <v>326</v>
      </c>
      <c r="B43" s="82">
        <v>60</v>
      </c>
      <c r="C43" s="82">
        <v>60</v>
      </c>
      <c r="D43" s="82">
        <v>6</v>
      </c>
      <c r="E43" s="82">
        <v>6</v>
      </c>
      <c r="F43" s="83">
        <v>6.91</v>
      </c>
      <c r="G43" s="84">
        <v>5.42</v>
      </c>
    </row>
    <row r="44" spans="1:7" ht="16" x14ac:dyDescent="0.35">
      <c r="A44" s="80" t="s">
        <v>327</v>
      </c>
      <c r="B44" s="82">
        <v>70</v>
      </c>
      <c r="C44" s="82">
        <v>70</v>
      </c>
      <c r="D44" s="82">
        <v>6</v>
      </c>
      <c r="E44" s="82">
        <v>6</v>
      </c>
      <c r="F44" s="83">
        <v>8.1300000000000008</v>
      </c>
      <c r="G44" s="84">
        <v>6.38</v>
      </c>
    </row>
    <row r="45" spans="1:7" ht="16" x14ac:dyDescent="0.35">
      <c r="A45" s="80" t="s">
        <v>328</v>
      </c>
      <c r="B45" s="82">
        <v>70</v>
      </c>
      <c r="C45" s="82">
        <v>70</v>
      </c>
      <c r="D45" s="82">
        <v>7</v>
      </c>
      <c r="E45" s="82">
        <v>7</v>
      </c>
      <c r="F45" s="83">
        <v>9.4</v>
      </c>
      <c r="G45" s="84">
        <v>7.38</v>
      </c>
    </row>
    <row r="46" spans="1:7" ht="16" x14ac:dyDescent="0.35">
      <c r="A46" s="80" t="s">
        <v>329</v>
      </c>
      <c r="B46" s="82">
        <v>80</v>
      </c>
      <c r="C46" s="82">
        <v>80</v>
      </c>
      <c r="D46" s="82">
        <v>8</v>
      </c>
      <c r="E46" s="82">
        <v>8</v>
      </c>
      <c r="F46" s="83">
        <v>12.3</v>
      </c>
      <c r="G46" s="84">
        <v>9.6300000000000008</v>
      </c>
    </row>
    <row r="47" spans="1:7" ht="16" x14ac:dyDescent="0.35">
      <c r="A47" s="80" t="s">
        <v>330</v>
      </c>
      <c r="B47" s="82">
        <v>90</v>
      </c>
      <c r="C47" s="82">
        <v>90</v>
      </c>
      <c r="D47" s="82">
        <v>9</v>
      </c>
      <c r="E47" s="82">
        <v>9</v>
      </c>
      <c r="F47" s="83">
        <v>15.5</v>
      </c>
      <c r="G47" s="84">
        <v>12.2</v>
      </c>
    </row>
    <row r="48" spans="1:7" ht="16" x14ac:dyDescent="0.35">
      <c r="A48" s="80" t="s">
        <v>331</v>
      </c>
      <c r="B48" s="82">
        <v>100</v>
      </c>
      <c r="C48" s="82">
        <v>100</v>
      </c>
      <c r="D48" s="82">
        <v>10</v>
      </c>
      <c r="E48" s="82">
        <v>10</v>
      </c>
      <c r="F48" s="83">
        <v>19.2</v>
      </c>
      <c r="G48" s="85">
        <v>15</v>
      </c>
    </row>
  </sheetData>
  <mergeCells count="5">
    <mergeCell ref="A1:G1"/>
    <mergeCell ref="A40:G40"/>
    <mergeCell ref="A4:G4"/>
    <mergeCell ref="A16:G16"/>
    <mergeCell ref="A28:G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1_Στοιχεία_Μελέτης_&amp;_Ποσότητες</vt:lpstr>
      <vt:lpstr>2_Υπολογισμοί_&amp;_Κοστολόγηση</vt:lpstr>
      <vt:lpstr>3_Πίνακες_Διατομών_Χάλυβα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Polys Argyrides</cp:lastModifiedBy>
  <dcterms:created xsi:type="dcterms:W3CDTF">2026-10-15T13:24:44Z</dcterms:created>
  <dcterms:modified xsi:type="dcterms:W3CDTF">2026-10-15T13:30:04Z</dcterms:modified>
</cp:coreProperties>
</file>