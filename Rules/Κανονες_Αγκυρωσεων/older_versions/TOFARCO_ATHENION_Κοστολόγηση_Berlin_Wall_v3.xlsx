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"/>
    <numFmt numFmtId="166" formatCode="#,##0.000000"/>
    <numFmt numFmtId="167" formatCode="#,##0.00 €"/>
  </numFmts>
  <fonts count="12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365D"/>
      <sz val="9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9C0006"/>
      <sz val="9"/>
    </font>
    <font>
      <name val="Segoe UI"/>
      <b val="1"/>
      <color rgb="00000000"/>
      <sz val="11"/>
    </font>
    <font>
      <name val="Segoe UI"/>
      <b val="1"/>
      <color rgb="001F4E79"/>
      <sz val="10"/>
    </font>
    <font>
      <name val="Segoe UI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3B3838"/>
        <bgColor rgb="003B3838"/>
      </patternFill>
    </fill>
    <fill>
      <patternFill patternType="solid">
        <fgColor rgb="0041719C"/>
        <bgColor rgb="0041719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9EEF4"/>
        <bgColor rgb="00E9EEF4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thin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6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6" borderId="0" pivotButton="0" quotePrefix="0" xfId="0"/>
    <xf numFmtId="3" fontId="7" fillId="7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center" vertical="center"/>
    </xf>
    <xf numFmtId="167" fontId="9" fillId="9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10" borderId="2" pivotButton="0" quotePrefix="0" xfId="0"/>
    <xf numFmtId="0" fontId="10" fillId="10" borderId="2" pivotButton="0" quotePrefix="0" xfId="0"/>
    <xf numFmtId="167" fontId="10" fillId="10" borderId="2" applyAlignment="1" pivotButton="0" quotePrefix="0" xfId="0">
      <alignment horizontal="right" vertical="center"/>
    </xf>
    <xf numFmtId="4" fontId="0" fillId="0" borderId="1" applyAlignment="1" pivotButton="0" quotePrefix="0" xfId="0">
      <alignment horizontal="center" vertical="center"/>
    </xf>
    <xf numFmtId="167" fontId="9" fillId="11" borderId="1" applyAlignment="1" pivotButton="0" quotePrefix="0" xfId="0">
      <alignment horizontal="right" vertical="center"/>
    </xf>
    <xf numFmtId="0" fontId="0" fillId="12" borderId="3" pivotButton="0" quotePrefix="0" xfId="0"/>
    <xf numFmtId="0" fontId="11" fillId="12" borderId="3" pivotButton="0" quotePrefix="0" xfId="0"/>
    <xf numFmtId="167" fontId="11" fillId="12" borderId="3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5" customWidth="1" min="3" max="3"/>
    <col width="42" customWidth="1" min="4" max="4"/>
    <col width="52" customWidth="1" min="5" max="5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1: ΣΤΟΙΧΕΙΑ ΜΕΛΕΤΗΣ, ΠΗΓΕΣ (CITATIONS) &amp; ΥΠΟΛΟΓΙΣΜΟΙ  |  ΑΠΟΛΥΤΩΣ ΚΑΝΕΝΑ ΕΥΡΩ (€) ΣΕ ΑΥΤΗ ΤΗ ΣΕΛΙΔΑ</t>
        </is>
      </c>
    </row>
    <row r="4" ht="25" customHeight="1">
      <c r="A4" s="3" t="inlineStr">
        <is>
          <t>🏛️ ΚΕΦΑΛΑΙΟ Α: ΜΟΝΟ ΣΤΟΙΧΕΙΑ ΠΟΥ ΔΙΑΒΑΣΤΗΚΑΝ ΑΠΟ ΤΗ ΜΕΛΕΤΗ (RAW INPUTS &amp; CITATIONS)</t>
        </is>
      </c>
    </row>
    <row r="5" ht="22" customHeight="1">
      <c r="A5" s="4" t="inlineStr">
        <is>
          <t>Περιγραφή Στοιχείου Μελέτης</t>
        </is>
      </c>
      <c r="B5" s="5" t="inlineStr">
        <is>
          <t>Τιμή Μελέτης</t>
        </is>
      </c>
      <c r="C5" s="5" t="inlineStr">
        <is>
          <t>Μονάδα</t>
        </is>
      </c>
      <c r="D5" s="4" t="inlineStr">
        <is>
          <t>Πηγή Μελέτης (Σχέδιο / Σελίδα)</t>
        </is>
      </c>
      <c r="E5" s="4" t="inlineStr">
        <is>
          <t>Τεχνική Σημείωση / Έλεγχος Κανόνα</t>
        </is>
      </c>
    </row>
    <row r="6" ht="20" customHeight="1">
      <c r="A6" s="6" t="inlineStr">
        <is>
          <t>Α.1 Τοποθεσία Εργοταξίου, Έδρα &amp; Σειρές Αγκυρώσεων</t>
        </is>
      </c>
    </row>
    <row r="7" ht="20" customHeight="1">
      <c r="A7" s="7" t="inlineStr">
        <is>
          <t>Έδρα Εταιρείας (Βάση Υπολογισμού Αποστάσεων)</t>
        </is>
      </c>
      <c r="B7" s="8" t="inlineStr">
        <is>
          <t>Άγιος Συλάς, Σπύρου Κυπριανού 32, Λεμεσός</t>
        </is>
      </c>
      <c r="C7" s="9" t="inlineStr">
        <is>
          <t>έδρα</t>
        </is>
      </c>
      <c r="D7" s="10" t="inlineStr">
        <is>
          <t>Πολιτική Εταιρείας</t>
        </is>
      </c>
      <c r="E7" s="11" t="inlineStr">
        <is>
          <t>Αφετηρία μηχανημάτων &amp; μετακινήσεων</t>
        </is>
      </c>
    </row>
    <row r="8" ht="20" customHeight="1">
      <c r="A8" s="7" t="inlineStr">
        <is>
          <t>Τοποθεσία Εργοταξίου Μελέτης</t>
        </is>
      </c>
      <c r="B8" s="8" t="inlineStr">
        <is>
          <t>Λευκωσία (Ευαγόρου / Μενάνδρου / Ανδρέα Δημητρίου)</t>
        </is>
      </c>
      <c r="C8" s="9" t="inlineStr">
        <is>
          <t>πόλη</t>
        </is>
      </c>
      <c r="D8" s="10" t="inlineStr">
        <is>
          <t>Σχέδιο Σ01.1, Πινακίδα Μελέτης</t>
        </is>
      </c>
      <c r="E8" s="11" t="inlineStr">
        <is>
          <t>Τεμάχιο 873, απέναντι από Βουλή</t>
        </is>
      </c>
    </row>
    <row r="9" ht="20" customHeight="1">
      <c r="A9" s="7" t="inlineStr">
        <is>
          <t>Χιλιομετρική Απόσταση από Έδρα</t>
        </is>
      </c>
      <c r="B9" s="12" t="n">
        <v>85</v>
      </c>
      <c r="C9" s="9" t="inlineStr">
        <is>
          <t>km</t>
        </is>
      </c>
      <c r="D9" s="10" t="inlineStr">
        <is>
          <t>Google Maps / Χιλιομετρικός Πίνακας</t>
        </is>
      </c>
      <c r="E9" s="11" t="inlineStr">
        <is>
          <t>Απόσταση &gt; 80 km (κατηγορία Λευκωσίας)</t>
        </is>
      </c>
    </row>
    <row r="10" ht="20" customHeight="1">
      <c r="A10" s="7" t="inlineStr">
        <is>
          <t>Πλήθος Οριζόντιων Σειρών Αγκυρώσεων Μελέτης</t>
        </is>
      </c>
      <c r="B10" s="12" t="n">
        <v>4</v>
      </c>
      <c r="C10" s="9" t="inlineStr">
        <is>
          <t>σειρές</t>
        </is>
      </c>
      <c r="D10" s="10" t="inlineStr">
        <is>
          <t>Σχέδιο Σ02.1, Τομή 1-1</t>
        </is>
      </c>
      <c r="E10" s="11" t="inlineStr">
        <is>
          <t>4 σειρές αγκυρώσεων σε όλο το μέτωπο (1x15° + 3x30°)</t>
        </is>
      </c>
    </row>
    <row r="12" ht="20" customHeight="1">
      <c r="A12" s="6" t="inlineStr">
        <is>
          <t>Α.2 Γεωμετρία Μετώπου Εκσκαφής (Διαστήματα &amp; Μήκη ανά Πλευρά)</t>
        </is>
      </c>
    </row>
    <row r="13" ht="20" customHeight="1">
      <c r="A13" s="7" t="inlineStr">
        <is>
          <t>Μήκος Δυτικής Πλευράς (Κάθετο τμήμα SW)</t>
        </is>
      </c>
      <c r="B13" s="13" t="n">
        <v>16</v>
      </c>
      <c r="C13" s="9" t="inlineStr">
        <is>
          <t>m</t>
        </is>
      </c>
      <c r="D13" s="10" t="inlineStr">
        <is>
          <t>Σχέδιο Σ01.1, Κάτοψη -12.50m</t>
        </is>
      </c>
      <c r="E13" s="11" t="inlineStr">
        <is>
          <t>8 διαστήματα των 2.00 m c/c (ακριβής μέτρηση διαστημάτων)</t>
        </is>
      </c>
    </row>
    <row r="14" ht="20" customHeight="1">
      <c r="A14" s="7" t="inlineStr">
        <is>
          <t>Μήκος Βορειοδυτικής Πλευράς (Πλάγιο τμήμα Ευαγόρου)</t>
        </is>
      </c>
      <c r="B14" s="13" t="n">
        <v>18</v>
      </c>
      <c r="C14" s="9" t="inlineStr">
        <is>
          <t>m</t>
        </is>
      </c>
      <c r="D14" s="10" t="inlineStr">
        <is>
          <t>Σχέδιο Σ01.1, Κάτοψη -12.50m</t>
        </is>
      </c>
      <c r="E14" s="11" t="inlineStr">
        <is>
          <t>9 διαστήματα των 2.00 m c/c (από καμπή έως γωνία NW)</t>
        </is>
      </c>
    </row>
    <row r="15" ht="20" customHeight="1">
      <c r="A15" s="7" t="inlineStr">
        <is>
          <t>Μήκος Βόρειας Πλευράς (Κατά μήκος Μενάνδρου)</t>
        </is>
      </c>
      <c r="B15" s="13" t="n">
        <v>54</v>
      </c>
      <c r="C15" s="9" t="inlineStr">
        <is>
          <t>m</t>
        </is>
      </c>
      <c r="D15" s="10" t="inlineStr">
        <is>
          <t>Σχέδιο Σ01.1, Κάτοψη -12.50m</t>
        </is>
      </c>
      <c r="E15" s="11" t="inlineStr">
        <is>
          <t>27 διαστήματα των 2.00 m c/c (από γωνία NW έως NE)</t>
        </is>
      </c>
    </row>
    <row r="16" ht="20" customHeight="1">
      <c r="A16" s="7" t="inlineStr">
        <is>
          <t>Μήκος Ανατολικής Πλευράς (Ανατολικό όριο)</t>
        </is>
      </c>
      <c r="B16" s="13" t="n">
        <v>22</v>
      </c>
      <c r="C16" s="9" t="inlineStr">
        <is>
          <t>m</t>
        </is>
      </c>
      <c r="D16" s="10" t="inlineStr">
        <is>
          <t>Σχέδιο Σ01.1, Κάτοψη -12.50m</t>
        </is>
      </c>
      <c r="E16" s="11" t="inlineStr">
        <is>
          <t>11 διαστήματα των 2.00 m c/c (από γωνία NE έως SE)</t>
        </is>
      </c>
    </row>
    <row r="17" ht="20" customHeight="1">
      <c r="A17" s="7" t="inlineStr">
        <is>
          <t>Μήκος Νότιας Πλευράς (Κατά μήκος Ανδρέα Δημητρίου)</t>
        </is>
      </c>
      <c r="B17" s="13" t="n">
        <v>86</v>
      </c>
      <c r="C17" s="9" t="inlineStr">
        <is>
          <t>m</t>
        </is>
      </c>
      <c r="D17" s="10" t="inlineStr">
        <is>
          <t>Σχέδιο Σ01.1, Κάτοψη -12.50m</t>
        </is>
      </c>
      <c r="E17" s="11" t="inlineStr">
        <is>
          <t>43 διαστήματα των 2.00 m c/c (από γωνία SE έως SW)</t>
        </is>
      </c>
    </row>
    <row r="18" ht="20" customHeight="1">
      <c r="A18" s="7" t="inlineStr">
        <is>
          <t>Ελεύθερο Ύψος Εκσκαφής Μετώπου (H_exc)</t>
        </is>
      </c>
      <c r="B18" s="13" t="n">
        <v>12.5</v>
      </c>
      <c r="C18" s="9" t="inlineStr">
        <is>
          <t>m</t>
        </is>
      </c>
      <c r="D18" s="10" t="inlineStr">
        <is>
          <t>Σχέδιο Σ02.1, Τομή 1-1</t>
        </is>
      </c>
      <c r="E18" s="11" t="inlineStr">
        <is>
          <t>15.50m βάθος διάτρησης μείον 3.00m πάκτωση</t>
        </is>
      </c>
    </row>
    <row r="19" ht="20" customHeight="1">
      <c r="A19" s="14" t="inlineStr">
        <is>
          <t>Βάθος Πάκτωσης Πασσάλων κάτω από Εκσκαφή (H_embed)</t>
        </is>
      </c>
      <c r="B19" s="13" t="n">
        <v>3</v>
      </c>
      <c r="C19" s="15" t="inlineStr">
        <is>
          <t>m</t>
        </is>
      </c>
      <c r="D19" s="10" t="inlineStr">
        <is>
          <t>Σχέδιο Σ01.1 &amp; Σ02.1</t>
        </is>
      </c>
      <c r="E19" s="16" t="inlineStr">
        <is>
          <t>[ΣΥΓΚΡΟΥΣΗ ΜΕΛΕΤΗΣ]: 3.00m στο Σ01.1 vs 2.50m στο Σ02.1. Επιλογή ασφαλέστερου 3.00m.</t>
        </is>
      </c>
    </row>
    <row r="21" ht="20" customHeight="1">
      <c r="A21" s="6" t="inlineStr">
        <is>
          <t>Α.3 Σχάρες Οπλισμού &amp; Εκτοξευόμενο Σκυρόδεμα (Gunite / Shotcrete)</t>
        </is>
      </c>
    </row>
    <row r="22" ht="20" customHeight="1">
      <c r="A22" s="7" t="inlineStr">
        <is>
          <t>Οριζόντιος Οπλισμός Σχάρας Μελέτης</t>
        </is>
      </c>
      <c r="B22" s="8" t="inlineStr">
        <is>
          <t>Y20 / 200</t>
        </is>
      </c>
      <c r="C22" s="9" t="inlineStr">
        <is>
          <t>διατομή</t>
        </is>
      </c>
      <c r="D22" s="10" t="inlineStr">
        <is>
          <t>Σχέδιο Σ02.1, Τομή 1-1</t>
        </is>
      </c>
      <c r="E22" s="11" t="inlineStr">
        <is>
          <t>Διάμετρος 20 mm ανά 200 mm c/c</t>
        </is>
      </c>
    </row>
    <row r="23" ht="20" customHeight="1">
      <c r="A23" s="7" t="inlineStr">
        <is>
          <t>Διάμετρος Οριζόντιων Ράβδων</t>
        </is>
      </c>
      <c r="B23" s="12" t="n">
        <v>20</v>
      </c>
      <c r="C23" s="9" t="inlineStr">
        <is>
          <t>mm</t>
        </is>
      </c>
      <c r="D23" s="10" t="inlineStr">
        <is>
          <t>Σχέδιο Σ02.1, Τομή 1-1</t>
        </is>
      </c>
      <c r="E23" s="11" t="inlineStr">
        <is>
          <t>Ράβδοι B500C</t>
        </is>
      </c>
    </row>
    <row r="24" ht="20" customHeight="1">
      <c r="A24" s="7" t="inlineStr">
        <is>
          <t>Βήμα Οριζόντιων Ράβδων</t>
        </is>
      </c>
      <c r="B24" s="12" t="n">
        <v>200</v>
      </c>
      <c r="C24" s="9" t="inlineStr">
        <is>
          <t>mm</t>
        </is>
      </c>
      <c r="D24" s="10" t="inlineStr">
        <is>
          <t>Σχέδιο Σ02.1, Τομή 1-1</t>
        </is>
      </c>
      <c r="E24" s="11" t="inlineStr">
        <is>
          <t>5 ράβδοι ανά μέτρο ύψους</t>
        </is>
      </c>
    </row>
    <row r="25" ht="20" customHeight="1">
      <c r="A25" s="7" t="inlineStr">
        <is>
          <t>Κατακόρυφος Οπλισμός Σχάρας Μελέτης</t>
        </is>
      </c>
      <c r="B25" s="8" t="inlineStr">
        <is>
          <t>Y14 / 200</t>
        </is>
      </c>
      <c r="C25" s="9" t="inlineStr">
        <is>
          <t>διατομή</t>
        </is>
      </c>
      <c r="D25" s="10" t="inlineStr">
        <is>
          <t>Σχέδιο Σ02.1, Τομή 1-1</t>
        </is>
      </c>
      <c r="E25" s="11" t="inlineStr">
        <is>
          <t>Διάμετρος 14 mm ανά 200 mm c/c</t>
        </is>
      </c>
    </row>
    <row r="26" ht="20" customHeight="1">
      <c r="A26" s="7" t="inlineStr">
        <is>
          <t>Διάμετρος Κατακόρυφων Ράβδων</t>
        </is>
      </c>
      <c r="B26" s="12" t="n">
        <v>14</v>
      </c>
      <c r="C26" s="9" t="inlineStr">
        <is>
          <t>mm</t>
        </is>
      </c>
      <c r="D26" s="10" t="inlineStr">
        <is>
          <t>Σχέδιο Σ02.1, Τομή 1-1</t>
        </is>
      </c>
      <c r="E26" s="11" t="inlineStr">
        <is>
          <t>Ράβδοι B500C</t>
        </is>
      </c>
    </row>
    <row r="27" ht="20" customHeight="1">
      <c r="A27" s="7" t="inlineStr">
        <is>
          <t>Βήμα Κατακόρυφων Ράβδων</t>
        </is>
      </c>
      <c r="B27" s="12" t="n">
        <v>200</v>
      </c>
      <c r="C27" s="9" t="inlineStr">
        <is>
          <t>mm</t>
        </is>
      </c>
      <c r="D27" s="10" t="inlineStr">
        <is>
          <t>Σχέδιο Σ02.1, Τομή 1-1</t>
        </is>
      </c>
      <c r="E27" s="11" t="inlineStr">
        <is>
          <t>5 ράβδοι ανά μέτρο μήκους</t>
        </is>
      </c>
    </row>
    <row r="28" ht="20" customHeight="1">
      <c r="A28" s="7" t="inlineStr">
        <is>
          <t>Ονομαστικό Πάχος Shotcrete Μελέτης (t_nom)</t>
        </is>
      </c>
      <c r="B28" s="13" t="n">
        <v>0.15</v>
      </c>
      <c r="C28" s="9" t="inlineStr">
        <is>
          <t>m</t>
        </is>
      </c>
      <c r="D28" s="10" t="inlineStr">
        <is>
          <t>Σχέδιο Σ02.1, Τομή 1-1</t>
        </is>
      </c>
      <c r="E28" s="11" t="inlineStr">
        <is>
          <t>150 mm ελάχιστο πάχος επικάλυψης σχεδίου</t>
        </is>
      </c>
    </row>
    <row r="29" ht="20" customHeight="1">
      <c r="A29" s="7" t="inlineStr">
        <is>
          <t>Πάγια Απώλεια / Αναπήδηση Εταιρείας</t>
        </is>
      </c>
      <c r="B29" s="13" t="n">
        <v>0.05</v>
      </c>
      <c r="C29" s="9" t="inlineStr">
        <is>
          <t>m</t>
        </is>
      </c>
      <c r="D29" s="10" t="inlineStr">
        <is>
          <t>Πολιτική Εταιρείας v2</t>
        </is>
      </c>
      <c r="E29" s="11" t="inlineStr">
        <is>
          <t>+5 cm πάγια προσαύξηση εταιρείας</t>
        </is>
      </c>
    </row>
    <row r="30" ht="20" customHeight="1">
      <c r="A30" s="7" t="inlineStr">
        <is>
          <t>Κατηγορία Σκυροδέματος Μελέτης</t>
        </is>
      </c>
      <c r="B30" s="8" t="inlineStr">
        <is>
          <t>C30/40 CEMII 42.5</t>
        </is>
      </c>
      <c r="C30" s="9" t="inlineStr">
        <is>
          <t>κατηγορία</t>
        </is>
      </c>
      <c r="D30" s="10" t="inlineStr">
        <is>
          <t>Σχέδιο Σ02.1, Σημειώσεις Υλικών</t>
        </is>
      </c>
      <c r="E30" s="11" t="inlineStr">
        <is>
          <t>Πρόσμικτα RHEOMAC SE 100 56 &amp; Sigunit L 22E</t>
        </is>
      </c>
    </row>
    <row r="32" ht="20" customHeight="1">
      <c r="A32" s="6" t="inlineStr">
        <is>
          <t>Α.4 H-Beams (Πασσαλοκολώνες 2×UPN 350, Διάτρηση Ø800 &amp; Λάμες)</t>
        </is>
      </c>
    </row>
    <row r="33" ht="20" customHeight="1">
      <c r="A33" s="7" t="inlineStr">
        <is>
          <t>Αξονική Απόσταση Πασσάλων (s_beam)</t>
        </is>
      </c>
      <c r="B33" s="13" t="n">
        <v>2</v>
      </c>
      <c r="C33" s="9" t="inlineStr">
        <is>
          <t>m</t>
        </is>
      </c>
      <c r="D33" s="10" t="inlineStr">
        <is>
          <t>Σχέδιο Σ01.1, Κάτοψη -12.50m</t>
        </is>
      </c>
      <c r="E33" s="11" t="inlineStr">
        <is>
          <t>Ανά 2.00 m c/c στην περίμετρο</t>
        </is>
      </c>
    </row>
    <row r="34" ht="20" customHeight="1">
      <c r="A34" s="7" t="inlineStr">
        <is>
          <t>Συνολικό Πλήθος Οπών / Πασσάλων Έργου</t>
        </is>
      </c>
      <c r="B34" s="12" t="n">
        <v>98</v>
      </c>
      <c r="C34" s="9" t="inlineStr">
        <is>
          <t>οπές / πάσσαλοι</t>
        </is>
      </c>
      <c r="D34" s="10" t="inlineStr">
        <is>
          <t>Σχέδιο Σ01.1, Κάτοψη -12.50m</t>
        </is>
      </c>
      <c r="E34" s="11" t="inlineStr">
        <is>
          <t>98 διαστήματα των 2.0m c/c (196m περίμετρος)</t>
        </is>
      </c>
    </row>
    <row r="35" ht="20" customHeight="1">
      <c r="A35" s="14" t="inlineStr">
        <is>
          <t>Διάμετρος Διάτρησης Μεγάλου Τρυπανιού (min Ø800 mm)</t>
        </is>
      </c>
      <c r="B35" s="13" t="n">
        <v>0.8</v>
      </c>
      <c r="C35" s="15" t="inlineStr">
        <is>
          <t>m</t>
        </is>
      </c>
      <c r="D35" s="10" t="inlineStr">
        <is>
          <t>Σχέδιο Σ02.1 &amp; Κανόνας v2</t>
        </is>
      </c>
      <c r="E35" s="16" t="inlineStr">
        <is>
          <t>[OVERRIDE ΚΑΝΟΝΑ v2]: Ζητήθηκε Ø600 mm. Εφαρμόζεται υποχρεωτικά Ø800 mm.</t>
        </is>
      </c>
    </row>
    <row r="36" ht="20" customHeight="1">
      <c r="A36" s="7" t="inlineStr">
        <is>
          <t>Συνολικό Βάθος Διάτρησης Μεγάλου Τρυπανιού</t>
        </is>
      </c>
      <c r="B36" s="13" t="n">
        <v>15.5</v>
      </c>
      <c r="C36" s="9" t="inlineStr">
        <is>
          <t>m</t>
        </is>
      </c>
      <c r="D36" s="10" t="inlineStr">
        <is>
          <t>Σχέδιο Σ02.1, Τομή 1-1</t>
        </is>
      </c>
      <c r="E36" s="11" t="inlineStr">
        <is>
          <t>Βάθος κάτω από δημόσιο δρόμο &gt; 15.50 m</t>
        </is>
      </c>
    </row>
    <row r="37" ht="20" customHeight="1">
      <c r="A37" s="7" t="inlineStr">
        <is>
          <t>Τύπος Μεταλλικού Προφίλ Νέφκας</t>
        </is>
      </c>
      <c r="B37" s="8" t="inlineStr">
        <is>
          <t>2xUPN 350x100</t>
        </is>
      </c>
      <c r="C37" s="9" t="inlineStr">
        <is>
          <t>προφίλ</t>
        </is>
      </c>
      <c r="D37" s="10" t="inlineStr">
        <is>
          <t>Σχέδιο Σ02.1, Τομή 1-1</t>
        </is>
      </c>
      <c r="E37" s="11" t="inlineStr">
        <is>
          <t>2 κοιλοδοκοί UPN 350 ανά οπή</t>
        </is>
      </c>
    </row>
    <row r="38" ht="20" customHeight="1">
      <c r="A38" s="7" t="inlineStr">
        <is>
          <t>Μήκος Μεταλλικής Κολώνας (h)</t>
        </is>
      </c>
      <c r="B38" s="13" t="n">
        <v>15</v>
      </c>
      <c r="C38" s="9" t="inlineStr">
        <is>
          <t>m</t>
        </is>
      </c>
      <c r="D38" s="10" t="inlineStr">
        <is>
          <t>Σχέδιο Σ02.1, Τομή 1-1</t>
        </is>
      </c>
      <c r="E38" s="11" t="inlineStr">
        <is>
          <t>Βυθίζεται 0.50m κάτω από ισόγειο</t>
        </is>
      </c>
    </row>
    <row r="39" ht="20" customHeight="1">
      <c r="A39" s="7" t="inlineStr">
        <is>
          <t>Πλήθος Προφίλ ανά Οπή</t>
        </is>
      </c>
      <c r="B39" s="12" t="n">
        <v>2</v>
      </c>
      <c r="C39" s="9" t="inlineStr">
        <is>
          <t>προφίλ / οπή</t>
        </is>
      </c>
      <c r="D39" s="10" t="inlineStr">
        <is>
          <t>Σχέδιο Σ02.1, Τομή 1-1</t>
        </is>
      </c>
      <c r="E39" s="11" t="inlineStr">
        <is>
          <t>Διπλό UPN 350</t>
        </is>
      </c>
    </row>
    <row r="40" ht="20" customHeight="1">
      <c r="A40" s="7" t="inlineStr">
        <is>
          <t>Θεωρητικό Βάρος Προφίλ ανά Μέτρο</t>
        </is>
      </c>
      <c r="B40" s="13" t="n">
        <v>60.6</v>
      </c>
      <c r="C40" s="9" t="inlineStr">
        <is>
          <t>kg / m</t>
        </is>
      </c>
      <c r="D40" s="10" t="inlineStr">
        <is>
          <t>Πίνακας Διατομών UPN 350</t>
        </is>
      </c>
      <c r="E40" s="11" t="inlineStr">
        <is>
          <t>60.6 kg/m ανά UPN (Σύνολο 121.2 kg/m)</t>
        </is>
      </c>
    </row>
    <row r="41" ht="20" customHeight="1">
      <c r="A41" s="7" t="inlineStr">
        <is>
          <t>Διαστάσεις Συνδετικής Λάμας (Πλάτος W x Μήκος L x Πάχος t)</t>
        </is>
      </c>
      <c r="B41" s="8" t="inlineStr">
        <is>
          <t>350 x 100 x 12</t>
        </is>
      </c>
      <c r="C41" s="9" t="inlineStr">
        <is>
          <t>mm</t>
        </is>
      </c>
      <c r="D41" s="10" t="inlineStr">
        <is>
          <t>Σχέδιο Σ02.1, Λεπτομέρεια Νέφκας</t>
        </is>
      </c>
      <c r="E41" s="11" t="inlineStr">
        <is>
          <t>PLT 350x100x12 mm</t>
        </is>
      </c>
    </row>
    <row r="42" ht="20" customHeight="1">
      <c r="A42" s="7" t="inlineStr">
        <is>
          <t>Βήμα Τοποθέτησης Λαμών κατά Ύψος (s_plate)</t>
        </is>
      </c>
      <c r="B42" s="13" t="n">
        <v>0.6</v>
      </c>
      <c r="C42" s="9" t="inlineStr">
        <is>
          <t>m</t>
        </is>
      </c>
      <c r="D42" s="10" t="inlineStr">
        <is>
          <t>Σχέδιο Σ02.1, Τομή 1-1</t>
        </is>
      </c>
      <c r="E42" s="11" t="inlineStr">
        <is>
          <t>Απόσταση που ζητά ο μελετητής ανά 0.60 m</t>
        </is>
      </c>
    </row>
    <row r="43" ht="20" customHeight="1">
      <c r="A43" s="14" t="inlineStr">
        <is>
          <t>Ύψος Σκυροδέματος Πάκτωσης Πασσάλου</t>
        </is>
      </c>
      <c r="B43" s="13" t="n">
        <v>3</v>
      </c>
      <c r="C43" s="15" t="inlineStr">
        <is>
          <t>m</t>
        </is>
      </c>
      <c r="D43" s="10" t="inlineStr">
        <is>
          <t>Σχέδιο Σ01.1 &amp; Σ02.1</t>
        </is>
      </c>
      <c r="E43" s="16" t="inlineStr">
        <is>
          <t>[ΣΥΓΚΡΟΥΣΗ ΜΕΛΕΤΗΣ]: 3.00m στο Σ01.1 vs 2.50m στο Σ02.1. Επιλογή 3.00m.</t>
        </is>
      </c>
    </row>
    <row r="44" ht="20" customHeight="1">
      <c r="A44" s="14" t="inlineStr">
        <is>
          <t>Κατηγορία Σκυροδέματος Πάκτωσης (Κανόνας v2)</t>
        </is>
      </c>
      <c r="B44" s="8" t="inlineStr">
        <is>
          <t>C35/45</t>
        </is>
      </c>
      <c r="C44" s="15" t="inlineStr">
        <is>
          <t>κατηγορία</t>
        </is>
      </c>
      <c r="D44" s="10" t="inlineStr">
        <is>
          <t>Σχέδιο Σ01.1 &amp; Σ02.1</t>
        </is>
      </c>
      <c r="E44" s="16" t="inlineStr">
        <is>
          <t>[ΣΥΓΚΡΟΥΣΗ ΜΕΛΕΤΗΣ]: Επιλογή ανώτερου C35/45 (Σ01.1) έναντι C30/37 (Σ02.1).</t>
        </is>
      </c>
    </row>
    <row r="46" ht="20" customHeight="1">
      <c r="A46" s="6" t="inlineStr">
        <is>
          <t>Α.5 Αγκυρώσεις (Prestressed Tieback Anchors)</t>
        </is>
      </c>
    </row>
    <row r="47" ht="20" customHeight="1">
      <c r="A47" s="7" t="inlineStr">
        <is>
          <t>Πλήθος Σειρών Αγκυρώσεων</t>
        </is>
      </c>
      <c r="B47" s="12" t="n">
        <v>4</v>
      </c>
      <c r="C47" s="9" t="inlineStr">
        <is>
          <t>σειρές</t>
        </is>
      </c>
      <c r="D47" s="10" t="inlineStr">
        <is>
          <t>Σχέδιο Σ02.1, Τομή 1-1</t>
        </is>
      </c>
      <c r="E47" s="11" t="inlineStr">
        <is>
          <t>4 σειρές ανά πάσσαλο</t>
        </is>
      </c>
    </row>
    <row r="48" ht="20" customHeight="1">
      <c r="A48" s="7" t="inlineStr">
        <is>
          <t>Μήκος / Βάθος Διάτρησης 1ης Σειράς (15°)</t>
        </is>
      </c>
      <c r="B48" s="13" t="n">
        <v>13.3</v>
      </c>
      <c r="C48" s="9" t="inlineStr">
        <is>
          <t>m</t>
        </is>
      </c>
      <c r="D48" s="10" t="inlineStr">
        <is>
          <t>Σχέδιο Σ02.1, Τομή 1-1</t>
        </is>
      </c>
      <c r="E48" s="11" t="inlineStr">
        <is>
          <t>Στάθμη -2.00m, 13.0m + 0.30m επιπλέον</t>
        </is>
      </c>
    </row>
    <row r="49" ht="20" customHeight="1">
      <c r="A49" s="7" t="inlineStr">
        <is>
          <t>Μήκος / Βάθος Διάτρησης 2ης Σειράς (30°)</t>
        </is>
      </c>
      <c r="B49" s="13" t="n">
        <v>13.3</v>
      </c>
      <c r="C49" s="9" t="inlineStr">
        <is>
          <t>m</t>
        </is>
      </c>
      <c r="D49" s="10" t="inlineStr">
        <is>
          <t>Σχέδιο Σ02.1, Τομή 1-1</t>
        </is>
      </c>
      <c r="E49" s="11" t="inlineStr">
        <is>
          <t>13.0m + 0.30m επιπλέον βάθος</t>
        </is>
      </c>
    </row>
    <row r="50" ht="20" customHeight="1">
      <c r="A50" s="7" t="inlineStr">
        <is>
          <t>Μήκος / Βάθος Διάτρησης 3ης Σειράς (30°)</t>
        </is>
      </c>
      <c r="B50" s="13" t="n">
        <v>13.3</v>
      </c>
      <c r="C50" s="9" t="inlineStr">
        <is>
          <t>m</t>
        </is>
      </c>
      <c r="D50" s="10" t="inlineStr">
        <is>
          <t>Σχέδιο Σ02.1, Τομή 1-1</t>
        </is>
      </c>
      <c r="E50" s="11" t="inlineStr">
        <is>
          <t>13.0m + 0.30m επιπλέον βάθος</t>
        </is>
      </c>
    </row>
    <row r="51" ht="20" customHeight="1">
      <c r="A51" s="7" t="inlineStr">
        <is>
          <t>Μήκος / Βάθος Διάτρησης 4ης Σειράς (30°)</t>
        </is>
      </c>
      <c r="B51" s="13" t="n">
        <v>13.3</v>
      </c>
      <c r="C51" s="9" t="inlineStr">
        <is>
          <t>m</t>
        </is>
      </c>
      <c r="D51" s="10" t="inlineStr">
        <is>
          <t>Σχέδιο Σ02.1, Τομή 1-1</t>
        </is>
      </c>
      <c r="E51" s="11" t="inlineStr">
        <is>
          <t>13.0m + 0.30m επιπλέον βάθος</t>
        </is>
      </c>
    </row>
    <row r="52" ht="20" customHeight="1">
      <c r="A52" s="7" t="inlineStr">
        <is>
          <t>Πλήθος Αγκυρώσεων ανά Σειρά</t>
        </is>
      </c>
      <c r="B52" s="12">
        <f>B34</f>
        <v/>
      </c>
      <c r="C52" s="9" t="inlineStr">
        <is>
          <t>τεμάχια / σειρά</t>
        </is>
      </c>
      <c r="D52" s="10" t="inlineStr">
        <is>
          <t>Σχέδιο Σ01.1 &amp; Σ02.1</t>
        </is>
      </c>
      <c r="E52" s="11" t="inlineStr">
        <is>
          <t>1 αγκύρωση ανά πάσσαλο σε κάθε σειρά (Δυναμική σύνδεση =B34)</t>
        </is>
      </c>
    </row>
    <row r="53" ht="20" customHeight="1">
      <c r="A53" s="7" t="inlineStr">
        <is>
          <t>Πλήθος Τενόντων ανά Οπή Αγκύρωσης</t>
        </is>
      </c>
      <c r="B53" s="12" t="n">
        <v>5</v>
      </c>
      <c r="C53" s="9" t="inlineStr">
        <is>
          <t>strands / οπή</t>
        </is>
      </c>
      <c r="D53" s="10" t="inlineStr">
        <is>
          <t>Σχέδιο Σ02.1, Λεπτομέρεια Αγκύρωσης</t>
        </is>
      </c>
      <c r="E53" s="11" t="inlineStr">
        <is>
          <t>5x14mm wire rope (fpk=1860 MPa)</t>
        </is>
      </c>
    </row>
    <row r="54" ht="20" customHeight="1">
      <c r="A54" s="7" t="inlineStr">
        <is>
          <t>Διάμετρος Οπής Διάτρησης Αγκύρωσης</t>
        </is>
      </c>
      <c r="B54" s="13" t="n">
        <v>0.15</v>
      </c>
      <c r="C54" s="9" t="inlineStr">
        <is>
          <t>m</t>
        </is>
      </c>
      <c r="D54" s="10" t="inlineStr">
        <is>
          <t>Σχέδιο Σ02.1, Σημειώσεις</t>
        </is>
      </c>
      <c r="E54" s="11" t="inlineStr">
        <is>
          <t>Minimum Drill Hole Diameter Ø150 mm</t>
        </is>
      </c>
    </row>
    <row r="55" ht="20" customHeight="1">
      <c r="A55" s="7" t="inlineStr">
        <is>
          <t>Μήκος Grout Πάκτωσης ανά Αγκύρωση</t>
        </is>
      </c>
      <c r="B55" s="13" t="n">
        <v>5.3</v>
      </c>
      <c r="C55" s="9" t="inlineStr">
        <is>
          <t>m</t>
        </is>
      </c>
      <c r="D55" s="10" t="inlineStr">
        <is>
          <t>Σχέδιο Σ02.1, Λεπτομέρεια Αγκύρωσης</t>
        </is>
      </c>
      <c r="E55" s="11" t="inlineStr">
        <is>
          <t>5.30 m cement grouting fcu &gt; 80 N/mm²</t>
        </is>
      </c>
    </row>
    <row r="56" ht="20" customHeight="1">
      <c r="A56" s="7" t="inlineStr">
        <is>
          <t>Συντελεστής Υπερκατανάλωσης Grout</t>
        </is>
      </c>
      <c r="B56" s="13" t="n">
        <v>1.2</v>
      </c>
      <c r="C56" s="9" t="inlineStr">
        <is>
          <t>συντελεστής</t>
        </is>
      </c>
      <c r="D56" s="10" t="inlineStr">
        <is>
          <t>Πολιτική Εταιρείας v2</t>
        </is>
      </c>
      <c r="E56" s="11" t="inlineStr">
        <is>
          <t>+20% απώλεια / υπερκατανάλωση</t>
        </is>
      </c>
    </row>
    <row r="57" ht="20" customHeight="1">
      <c r="A57" s="7" t="inlineStr">
        <is>
          <t>Επιπλέον Μήκος Τένοντα για Τάνυση</t>
        </is>
      </c>
      <c r="B57" s="13" t="n">
        <v>1</v>
      </c>
      <c r="C57" s="9" t="inlineStr">
        <is>
          <t>m</t>
        </is>
      </c>
      <c r="D57" s="10" t="inlineStr">
        <is>
          <t>Πολιτική Εταιρείας v2</t>
        </is>
      </c>
      <c r="E57" s="11" t="inlineStr">
        <is>
          <t>+1.0 m ανά τένοντα έξω από το μέτωπο</t>
        </is>
      </c>
    </row>
    <row r="59" ht="25" customHeight="1">
      <c r="A59" s="17" t="inlineStr">
        <is>
          <t>⚙️ ΚΕΦΑΛΑΙΟ Β: ΟΛΟΙ ΟΙ ΥΠΟΛΟΓΙΣΜΟΙ ΦΥΣΙΚΩΝ ΜΕΓΕΘΩΝ (100% ΔΥΝΑΜΙΚΗ ΣΥΝΔΕΣΗ ΜΕ ΤΟ ΚΕΦ. Α)</t>
        </is>
      </c>
    </row>
    <row r="60" ht="22" customHeight="1">
      <c r="A60" s="4" t="inlineStr">
        <is>
          <t>Περιγραφή Υπολογισμού</t>
        </is>
      </c>
      <c r="B60" s="5" t="inlineStr">
        <is>
          <t>Αποτέλεσμα</t>
        </is>
      </c>
      <c r="C60" s="5" t="inlineStr">
        <is>
          <t>Μονάδα</t>
        </is>
      </c>
      <c r="D60" s="4" t="inlineStr">
        <is>
          <t>Αναλυτικός Τύπος &amp; Δυναμική Επαλήθευση</t>
        </is>
      </c>
      <c r="E60" s="4" t="inlineStr">
        <is>
          <t>Σημείωση Εφαρμογής Κανόνα</t>
        </is>
      </c>
    </row>
    <row r="61" ht="20" customHeight="1">
      <c r="A61" s="6" t="inlineStr">
        <is>
          <t>Β.1 Υπολογισμοί Στρατών Μετακίνησης (3 Είδη)</t>
        </is>
      </c>
    </row>
    <row r="62" ht="20" customHeight="1">
      <c r="A62" s="7" t="inlineStr">
        <is>
          <t>Υπολογισμός Στρατών Μεγάλου Τρυπανιού (Piling Rig)</t>
        </is>
      </c>
      <c r="B62" s="18" t="n">
        <v>1</v>
      </c>
      <c r="C62" s="9" t="inlineStr">
        <is>
          <t>στράτες</t>
        </is>
      </c>
      <c r="D62" s="11">
        <f>"1 στράτα ανά έργο (Λευκωσία &gt; 80 km)"</f>
        <v/>
      </c>
      <c r="E62" s="11" t="inlineStr">
        <is>
          <t>1 στράτα μεταφοράς βαρέος ερπυστριοφόρου</t>
        </is>
      </c>
    </row>
    <row r="63" ht="20" customHeight="1">
      <c r="A63" s="7" t="inlineStr">
        <is>
          <t>Υπολογισμός Στρατών Εξοπλισμού Αγκυρώσεων</t>
        </is>
      </c>
      <c r="B63" s="18">
        <f>B47</f>
        <v/>
      </c>
      <c r="C63" s="9" t="inlineStr">
        <is>
          <t>στράτες</t>
        </is>
      </c>
      <c r="D63" s="11">
        <f>"=" &amp; B47 &amp; " στράτες (όσες οι σειρές αγκυρώσεων)"</f>
        <v/>
      </c>
      <c r="E63" s="11" t="inlineStr">
        <is>
          <t>Στράτες = Σειρές αγκυρώσεων (4 στράτες)</t>
        </is>
      </c>
    </row>
    <row r="64" ht="20" customHeight="1">
      <c r="A64" s="7" t="inlineStr">
        <is>
          <t>Υπολογισμός Στρατών Συνεργείου Shotcrete</t>
        </is>
      </c>
      <c r="B64" s="18">
        <f>B47+1</f>
        <v/>
      </c>
      <c r="C64" s="9" t="inlineStr">
        <is>
          <t>στράτες</t>
        </is>
      </c>
      <c r="D64" s="11">
        <f>"=" &amp; B47 &amp; " + 1 = " &amp; (B47+1) &amp; " στράτες"</f>
        <v/>
      </c>
      <c r="E64" s="11" t="inlineStr">
        <is>
          <t>Στράτες = Σειρές αγκυρώσεων + 1 (5 στράτες)</t>
        </is>
      </c>
    </row>
    <row r="66" ht="20" customHeight="1">
      <c r="A66" s="6" t="inlineStr">
        <is>
          <t>Β.2 Υπολογισμοί Επιφανειών Μετώπου, Σχαρών &amp; Shotcrete</t>
        </is>
      </c>
    </row>
    <row r="67" ht="20" customHeight="1">
      <c r="A67" s="7" t="inlineStr">
        <is>
          <t>Συνολική Περίμετρος / Μήκος Μετώπου Εκσκαφής</t>
        </is>
      </c>
      <c r="B67" s="19">
        <f>SUM(B13:B17)</f>
        <v/>
      </c>
      <c r="C67" s="9" t="inlineStr">
        <is>
          <t>m</t>
        </is>
      </c>
      <c r="D67" s="11">
        <f>"=" &amp; B13 &amp; " + " &amp; B14 &amp; " + " &amp; B15 &amp; " + " &amp; B16 &amp; " + " &amp; B17 &amp; " m"</f>
        <v/>
      </c>
      <c r="E67" s="11" t="inlineStr">
        <is>
          <t>Άθροισμα 5 πλευρών μετώπου</t>
        </is>
      </c>
    </row>
    <row r="68" ht="20" customHeight="1">
      <c r="A68" s="20" t="inlineStr">
        <is>
          <t>ΣΥΝΟΛΙΚΟ ΕΜΒΑΔΟΝ ΜΕΤΩΠΟΥ (A = L x H_exc)</t>
        </is>
      </c>
      <c r="B68" s="21">
        <f>ROUND(B67*B18, 2)</f>
        <v/>
      </c>
      <c r="C68" s="22" t="inlineStr">
        <is>
          <t>m²</t>
        </is>
      </c>
      <c r="D68" s="23">
        <f>"=" &amp; TEXT(B67, "#,##0.00") &amp; " m x " &amp; TEXT(B18, "#,##0.00") &amp; " m"</f>
        <v/>
      </c>
      <c r="E68" s="23" t="inlineStr">
        <is>
          <t>Περίμετρος x Ελεύθερο Ύψος Εκσκαφής</t>
        </is>
      </c>
    </row>
    <row r="69" ht="20" customHeight="1">
      <c r="A69" s="7" t="inlineStr">
        <is>
          <t>Βάρος Οριζόντιων Ράβδων Σχάρας (Y20/200)</t>
        </is>
      </c>
      <c r="B69" s="24">
        <f>ROUND((1000/B24)*PI()*((B23/1000/2)^2)*7850, 3)</f>
        <v/>
      </c>
      <c r="C69" s="9" t="inlineStr">
        <is>
          <t>kg / m²</t>
        </is>
      </c>
      <c r="D69" s="11">
        <f>"1000/" &amp; B24 &amp; " x " &amp; TEXT(PI()*((B23/1000/2)^2)*7850, "0.000") &amp; " kg/m"</f>
        <v/>
      </c>
      <c r="E69" s="11" t="inlineStr">
        <is>
          <t>5 ράβδοι Y20 ανά μέτρο ύψους</t>
        </is>
      </c>
    </row>
    <row r="70" ht="20" customHeight="1">
      <c r="A70" s="7" t="inlineStr">
        <is>
          <t>Βάρος Κατακόρυφων Ράβδων Σχάρας (Y14/200)</t>
        </is>
      </c>
      <c r="B70" s="24">
        <f>ROUND((1000/B27)*PI()*((B26/1000/2)^2)*7850, 3)</f>
        <v/>
      </c>
      <c r="C70" s="9" t="inlineStr">
        <is>
          <t>kg / m²</t>
        </is>
      </c>
      <c r="D70" s="11">
        <f>"1000/" &amp; B27 &amp; " x " &amp; TEXT(PI()*((B26/1000/2)^2)*7850, "0.000") &amp; " kg/m"</f>
        <v/>
      </c>
      <c r="E70" s="11" t="inlineStr">
        <is>
          <t>5 ράβδοι Y14 ανά μέτρο μήκους</t>
        </is>
      </c>
    </row>
    <row r="71" ht="20" customHeight="1">
      <c r="A71" s="7" t="inlineStr">
        <is>
          <t>Συνολικό Θεωρητικό Βάρος Σχάρας ανά m²</t>
        </is>
      </c>
      <c r="B71" s="24">
        <f>B69+B70</f>
        <v/>
      </c>
      <c r="C71" s="9" t="inlineStr">
        <is>
          <t>kg / m²</t>
        </is>
      </c>
      <c r="D71" s="11">
        <f>"=" &amp; TEXT(B69, "0.000") &amp; " + " &amp; TEXT(B70, "0.000") &amp; " kg/m²"</f>
        <v/>
      </c>
      <c r="E71" s="11" t="inlineStr">
        <is>
          <t>Άθροισμα οριζόντιων και κατακόρυφων</t>
        </is>
      </c>
    </row>
    <row r="72" ht="20" customHeight="1">
      <c r="A72" s="20" t="inlineStr">
        <is>
          <t>ΣΥΝΟΛΙΚΟ ΒΑΡΟΣ ΧΑΛΥΒΑ ΣΧΑΡΩΝ ΕΡΓΟΥ</t>
        </is>
      </c>
      <c r="B72" s="21">
        <f>ROUND(B68*B71, 2)</f>
        <v/>
      </c>
      <c r="C72" s="22" t="inlineStr">
        <is>
          <t>kg</t>
        </is>
      </c>
      <c r="D72" s="23">
        <f>"=" &amp; TEXT(B68, "#,##0.00") &amp; " m² x " &amp; TEXT(B71, "0.000") &amp; " kg/m²"</f>
        <v/>
      </c>
      <c r="E72" s="23" t="inlineStr">
        <is>
          <t>Συνολικό εμβαδόν x kg/m² σχάρας</t>
        </is>
      </c>
    </row>
    <row r="73" ht="20" customHeight="1">
      <c r="A73" s="7" t="inlineStr">
        <is>
          <t>Ονομαστικός Όγκος Shotcrete Μελέτης</t>
        </is>
      </c>
      <c r="B73" s="19">
        <f>ROUND(B68*B28, 2)</f>
        <v/>
      </c>
      <c r="C73" s="9" t="inlineStr">
        <is>
          <t>m³</t>
        </is>
      </c>
      <c r="D73" s="11">
        <f>"=" &amp; TEXT(B68, "#,##0.00") &amp; " m² x " &amp; TEXT(B28, "0.00") &amp; " m"</f>
        <v/>
      </c>
      <c r="E73" s="11" t="inlineStr">
        <is>
          <t>Εμβαδόν x Ονομαστικό Πάχος (ΧΩΡΙΣ απώλεια στα m³)</t>
        </is>
      </c>
    </row>
    <row r="74" ht="20" customHeight="1">
      <c r="A74" s="7" t="inlineStr">
        <is>
          <t>Ποσοστό Απώλειας επί του Ονομαστικού Πάχους</t>
        </is>
      </c>
      <c r="B74" s="25">
        <f>ROUND(B29/B28, 4)</f>
        <v/>
      </c>
      <c r="C74" s="9" t="inlineStr">
        <is>
          <t>ποσοστό</t>
        </is>
      </c>
      <c r="D74" s="11">
        <f>"=" &amp; TEXT(B29, "0.00") &amp; " m / " &amp; TEXT(B28, "0.00") &amp; " m"</f>
        <v/>
      </c>
      <c r="E74" s="11" t="inlineStr">
        <is>
          <t>0.05m / 0.15m = 33.33% (μπαίνει στα € τοποθέτησης)</t>
        </is>
      </c>
    </row>
    <row r="76" ht="20" customHeight="1">
      <c r="A76" s="6" t="inlineStr">
        <is>
          <t>Β.3 Υπολογισμοί H-Beams (Πασσαλοκολώνες, Λάμες &amp; Κουγκρί Πάκτωσης)</t>
        </is>
      </c>
    </row>
    <row r="77" ht="20" customHeight="1">
      <c r="A77" s="7" t="inlineStr">
        <is>
          <t>Συνολικό Μήκος Διάτρησης ανά Οπή</t>
        </is>
      </c>
      <c r="B77" s="19">
        <f>B36</f>
        <v/>
      </c>
      <c r="C77" s="9" t="inlineStr">
        <is>
          <t>m / οπή</t>
        </is>
      </c>
      <c r="D77" s="11">
        <f>"=" &amp; TEXT(B36, "0.00") &amp; " m βάθος διάτρησης"</f>
        <v/>
      </c>
      <c r="E77" s="11" t="inlineStr">
        <is>
          <t>Από στάθμη οδοστρώματος</t>
        </is>
      </c>
    </row>
    <row r="78" ht="20" customHeight="1">
      <c r="A78" s="20" t="inlineStr">
        <is>
          <t>ΣΥΝΟΛΙΚΑ ΜΕΤΡΑ ΔΙΑΤΡΗΣΗΣ ΜΕΓΑΛΟΥ ΤΡΥΠΑΝΙΟΥ</t>
        </is>
      </c>
      <c r="B78" s="21">
        <f>B34*B77</f>
        <v/>
      </c>
      <c r="C78" s="22" t="inlineStr">
        <is>
          <t>m</t>
        </is>
      </c>
      <c r="D78" s="23">
        <f>"=" &amp; B34 &amp; " οπές x " &amp; TEXT(B77, "0.00") &amp; " m"</f>
        <v/>
      </c>
      <c r="E78" s="23" t="inlineStr">
        <is>
          <t>Πλήθος οπών x Βάθος οπής</t>
        </is>
      </c>
    </row>
    <row r="79" ht="20" customHeight="1">
      <c r="A79" s="7" t="inlineStr">
        <is>
          <t>Κυβικά Εκσκαφής Οπής ανά Μέτρο (Κανόνας v2: Ø800 mm)</t>
        </is>
      </c>
      <c r="B79" s="26">
        <f>PI()*((B35/2)^2)</f>
        <v/>
      </c>
      <c r="C79" s="9" t="inlineStr">
        <is>
          <t>m³ / m</t>
        </is>
      </c>
      <c r="D79" s="11">
        <f>"π x (" &amp; TEXT(B35, "0.00") &amp; "/2)²"</f>
        <v/>
      </c>
      <c r="E79" s="11" t="inlineStr">
        <is>
          <t>Υπολογισμός με ελάχιστη διάμετρο Ø800 mm</t>
        </is>
      </c>
    </row>
    <row r="80" ht="20" customHeight="1">
      <c r="A80" s="7" t="inlineStr">
        <is>
          <t>Συνολικά Κυβικά Εκσκαφής Οπών Τρυπανιού</t>
        </is>
      </c>
      <c r="B80" s="19">
        <f>ROUND(B78*B79, 2)</f>
        <v/>
      </c>
      <c r="C80" s="9" t="inlineStr">
        <is>
          <t>m³</t>
        </is>
      </c>
      <c r="D80" s="11">
        <f>"=" &amp; TEXT(B78, "#,##0.00") &amp; " m x " &amp; TEXT(B79, "0.0000") &amp; " m³/m"</f>
        <v/>
      </c>
      <c r="E80" s="11" t="inlineStr">
        <is>
          <t>Συνολικά μέτρα διάτρησης x m³/m</t>
        </is>
      </c>
    </row>
    <row r="81" ht="20" customHeight="1">
      <c r="A81" s="20" t="inlineStr">
        <is>
          <t>ΣΥΝΟΛΙΚΟ ΒΑΡΟΣ ΧΑΛΥΒΑ ΝΕΦΚΩΝ (2xUPN 350)</t>
        </is>
      </c>
      <c r="B81" s="21">
        <f>ROUND(B34*B39*B38*B40, 2)</f>
        <v/>
      </c>
      <c r="C81" s="22" t="inlineStr">
        <is>
          <t>kg</t>
        </is>
      </c>
      <c r="D81" s="23">
        <f>"=" &amp; B34 &amp; " οπές x " &amp; B39 &amp; " προφίλ x " &amp; TEXT(B38, "0.00") &amp; " m x " &amp; TEXT(B40, "0.0") &amp; " kg/m"</f>
        <v/>
      </c>
      <c r="E81" s="23" t="inlineStr">
        <is>
          <t>Οπές x 2 προφίλ x Μήκος x 60.6 kg/m</t>
        </is>
      </c>
    </row>
    <row r="82" ht="20" customHeight="1">
      <c r="A82" s="7" t="inlineStr">
        <is>
          <t>Πλήθος Λαμών ανά Πάσσαλο (Κανόνας v2: L/s)</t>
        </is>
      </c>
      <c r="B82" s="18">
        <f>ROUND(B38/B42, 0)</f>
        <v/>
      </c>
      <c r="C82" s="9" t="inlineStr">
        <is>
          <t>λάμες / πάσσαλο</t>
        </is>
      </c>
      <c r="D82" s="11">
        <f>"=" &amp; TEXT(B38, "0.00") &amp; " m / " &amp; TEXT(B42, "0.00") &amp; " m (Κανόνας v2)"</f>
        <v/>
      </c>
      <c r="E82" s="11" t="inlineStr">
        <is>
          <t>Συνολικό μήκος νέφκας / βήμα 0.60m</t>
        </is>
      </c>
    </row>
    <row r="83" ht="20" customHeight="1">
      <c r="A83" s="20" t="inlineStr">
        <is>
          <t>ΣΥΝΟΛΙΚΟ ΠΛΗΘΟΣ ΛΑΜΩΝ ΣΥΝΔΕΣΗΣ ΕΡΓΟΥ</t>
        </is>
      </c>
      <c r="B83" s="27">
        <f>B34*B82</f>
        <v/>
      </c>
      <c r="C83" s="22" t="inlineStr">
        <is>
          <t>τεμάχια</t>
        </is>
      </c>
      <c r="D83" s="23">
        <f>"=" &amp; B34 &amp; " πάσσαλοι x " &amp; B82 &amp; " λάμες/πάσσαλο"</f>
        <v/>
      </c>
      <c r="E83" s="23" t="inlineStr">
        <is>
          <t>Πάσσαλοι x Λάμες ανά πάσσαλο</t>
        </is>
      </c>
    </row>
    <row r="84" ht="20" customHeight="1">
      <c r="A84" s="7" t="inlineStr">
        <is>
          <t>Βάρος Μίας Λάμας PLT 350x100x12 mm</t>
        </is>
      </c>
      <c r="B84" s="26">
        <f>ROUND(0.35*0.10*0.012*7850, 3)</f>
        <v/>
      </c>
      <c r="C84" s="9" t="inlineStr">
        <is>
          <t>kg / λάμα</t>
        </is>
      </c>
      <c r="D84" s="11">
        <f>"0.35 x 0.10 x 0.012 m³ x 7850 kg/m³"</f>
        <v/>
      </c>
      <c r="E84" s="11" t="inlineStr">
        <is>
          <t>Όγκος λάμας x Ειδικό βάρος χάλυβα 7,850 kg/m³</t>
        </is>
      </c>
    </row>
    <row r="85" ht="20" customHeight="1">
      <c r="A85" s="20" t="inlineStr">
        <is>
          <t>ΣΥΝΟΛΙΚΟ ΒΑΡΟΣ ΛΑΜΩΝ ΣΥΝΔΕΣΗΣ ΕΡΓΟΥ</t>
        </is>
      </c>
      <c r="B85" s="21">
        <f>ROUND(B83*B84, 2)</f>
        <v/>
      </c>
      <c r="C85" s="22" t="inlineStr">
        <is>
          <t>kg</t>
        </is>
      </c>
      <c r="D85" s="23">
        <f>"=" &amp; TEXT(B83, "#,##0") &amp; " λάμες x " &amp; TEXT(B84, "0.000") &amp; " kg/λάμα"</f>
        <v/>
      </c>
      <c r="E85" s="23" t="inlineStr">
        <is>
          <t>Συνολικά τεμάχια λαμών x Βάρος 1 λάμας</t>
        </is>
      </c>
    </row>
    <row r="86" ht="20" customHeight="1">
      <c r="A86" s="7" t="inlineStr">
        <is>
          <t>Όγκος Κουγκριού Πάκτωσης ανά Πάσσαλο (Κανόνας v2: Ø800 mm)</t>
        </is>
      </c>
      <c r="B86" s="26">
        <f>ROUND(PI()*((B35/2)^2)*B43, 4)</f>
        <v/>
      </c>
      <c r="C86" s="9" t="inlineStr">
        <is>
          <t>m³ / πάσσαλο</t>
        </is>
      </c>
      <c r="D86" s="11">
        <f>"π x (" &amp; TEXT(B35, "0.00") &amp; "/2)² x " &amp; TEXT(B43, "0.00") &amp; " m"</f>
        <v/>
      </c>
      <c r="E86" s="11" t="inlineStr">
        <is>
          <t>Εμβαδόν Ø800mm x Ύψος πάκτωσης 3.00m</t>
        </is>
      </c>
    </row>
    <row r="87" ht="20" customHeight="1">
      <c r="A87" s="20" t="inlineStr">
        <is>
          <t>ΣΥΝΟΛΙΚΟΣ ΟΓΚΟΣ ΚΟΥΓΚΡΙΟΥ ΠΑΚΤΩΣΗΣ</t>
        </is>
      </c>
      <c r="B87" s="21">
        <f>ROUND(B34*B86, 2)</f>
        <v/>
      </c>
      <c r="C87" s="22" t="inlineStr">
        <is>
          <t>m³</t>
        </is>
      </c>
      <c r="D87" s="23">
        <f>"=" &amp; B34 &amp; " πάσσαλοι x " &amp; TEXT(B86, "0.0000") &amp; " m³/πάσσαλο"</f>
        <v/>
      </c>
      <c r="E87" s="23" t="inlineStr">
        <is>
          <t>Πάσσαλοι x Όγκος πάκτωσης ανά πάσσαλο (C35/45)</t>
        </is>
      </c>
    </row>
    <row r="89" ht="20" customHeight="1">
      <c r="A89" s="6" t="inlineStr">
        <is>
          <t>Β.4 Υπολογισμοί Αγκυρώσεων (Διάτρηση, Grout, Τένοντες &amp; Κεφαλές)</t>
        </is>
      </c>
    </row>
    <row r="90" ht="20" customHeight="1">
      <c r="A90" s="20" t="inlineStr">
        <is>
          <t>ΣΥΝΟΛΙΚΟ ΠΛΗΘΟΣ ΑΓΚΥΡΩΣΕΩΝ ΕΡΓΟΥ</t>
        </is>
      </c>
      <c r="B90" s="27">
        <f>B47*B52</f>
        <v/>
      </c>
      <c r="C90" s="22" t="inlineStr">
        <is>
          <t>τεμάχια</t>
        </is>
      </c>
      <c r="D90" s="23">
        <f>"=" &amp; B47 &amp; " σειρές x " &amp; B52 &amp; " αγκυρώσεις/σειρά"</f>
        <v/>
      </c>
      <c r="E90" s="23" t="inlineStr">
        <is>
          <t>4 σειρές x 98 αγκυρώσεις/σειρά (Δυναμικό)</t>
        </is>
      </c>
    </row>
    <row r="91" ht="20" customHeight="1">
      <c r="A91" s="20" t="inlineStr">
        <is>
          <t>ΣΥΝΟΛΙΚΑ ΜΕΤΡΑ ΔΙΑΤΡΗΣΗΣ ΑΓΚΥΡΩΣΕΩΝ</t>
        </is>
      </c>
      <c r="B91" s="21">
        <f>B90*B48</f>
        <v/>
      </c>
      <c r="C91" s="22" t="inlineStr">
        <is>
          <t>m</t>
        </is>
      </c>
      <c r="D91" s="23">
        <f>"=" &amp; B90 &amp; " αγκυρώσεις x " &amp; TEXT(B48, "0.00") &amp; " m"</f>
        <v/>
      </c>
      <c r="E91" s="23" t="inlineStr">
        <is>
          <t>Πλήθος αγκυρώσεων x Μήκος διάτρησης 13.30m</t>
        </is>
      </c>
    </row>
    <row r="92" ht="20" customHeight="1">
      <c r="A92" s="7" t="inlineStr">
        <is>
          <t>Όγκος Grout ανά Μέτρο Διάτρησης (Ø150mm)</t>
        </is>
      </c>
      <c r="B92" s="28">
        <f>PI()*((B54/2)^2)*B56</f>
        <v/>
      </c>
      <c r="C92" s="9" t="inlineStr">
        <is>
          <t>m³ / m</t>
        </is>
      </c>
      <c r="D92" s="11">
        <f>"π x (" &amp; TEXT(B54, "0.00") &amp; "/2)² x " &amp; TEXT(B56, "0.00")</f>
        <v/>
      </c>
      <c r="E92" s="11" t="inlineStr">
        <is>
          <t>Εμβαδόν οπής Ø150mm x 1.20 συντελεστής πλήρωσης</t>
        </is>
      </c>
    </row>
    <row r="93" ht="20" customHeight="1">
      <c r="A93" s="20" t="inlineStr">
        <is>
          <t>ΣΥΝΟΛΙΚΟΣ ΟΓΚΟΣ GROUT ΑΓΚΥΡΩΣΕΩΝ</t>
        </is>
      </c>
      <c r="B93" s="21">
        <f>ROUND(B91*B92, 2)</f>
        <v/>
      </c>
      <c r="C93" s="22" t="inlineStr">
        <is>
          <t>m³</t>
        </is>
      </c>
      <c r="D93" s="23">
        <f>"=" &amp; TEXT(B91, "#,##0.00") &amp; " m x " &amp; TEXT(B92, "0.000000") &amp; " m³/m"</f>
        <v/>
      </c>
      <c r="E93" s="23" t="inlineStr">
        <is>
          <t>Συνολικά μέτρα διάτρησης x m³/m grout</t>
        </is>
      </c>
    </row>
    <row r="94" ht="20" customHeight="1">
      <c r="A94" s="20" t="inlineStr">
        <is>
          <t>ΣΥΝΟΛΙΚΟ ΜΗΚΟΣ ΤΕΝΟΝΤΩΝ (STRANDS 0.6")</t>
        </is>
      </c>
      <c r="B94" s="21">
        <f>ROUND(B90*(B48+B57)*B53, 2)</f>
        <v/>
      </c>
      <c r="C94" s="22" t="inlineStr">
        <is>
          <t>m</t>
        </is>
      </c>
      <c r="D94" s="23">
        <f>"=" &amp; B90 &amp; " οπές x (" &amp; TEXT(B48, "0.00") &amp; " + " &amp; TEXT(B57, "0.0") &amp; "m) x " &amp; B53 &amp; " strands"</f>
        <v/>
      </c>
      <c r="E94" s="23" t="inlineStr">
        <is>
          <t>Οπές x (Μήκος + 1m τάνυσης) x 5 τένοντες</t>
        </is>
      </c>
    </row>
    <row r="95" ht="20" customHeight="1">
      <c r="A95" s="7" t="inlineStr">
        <is>
          <t>Θεωρητικό Βάρος Τενόντων ανά Μέτρο</t>
        </is>
      </c>
      <c r="B95" s="19" t="n">
        <v>1.1</v>
      </c>
      <c r="C95" s="9" t="inlineStr">
        <is>
          <t>kg / m</t>
        </is>
      </c>
      <c r="D95" s="11">
        <f>"1.10 kg/m ανά strand 0.6" (15.2 mm)"</f>
        <v/>
      </c>
      <c r="E95" s="11" t="inlineStr">
        <is>
          <t>Τυπικό βάρος προεντεταμένου τένοντα 7-wire strand</t>
        </is>
      </c>
    </row>
    <row r="96" ht="20" customHeight="1">
      <c r="A96" s="20" t="inlineStr">
        <is>
          <t>ΣΥΝΟΛΙΚΟ ΒΑΡΟΣ ΤΕΝΟΝΤΩΝ ΕΡΓΟΥ</t>
        </is>
      </c>
      <c r="B96" s="21">
        <f>ROUND(B94*B95, 2)</f>
        <v/>
      </c>
      <c r="C96" s="22" t="inlineStr">
        <is>
          <t>kg</t>
        </is>
      </c>
      <c r="D96" s="23">
        <f>"=" &amp; TEXT(B94, "#,##0") &amp; " m x " &amp; TEXT(B95, "0.00") &amp; " kg/m"</f>
        <v/>
      </c>
      <c r="E96" s="23" t="inlineStr">
        <is>
          <t>Συνολικά τρέχοντα μέτρα x 1.10 kg/m</t>
        </is>
      </c>
    </row>
    <row r="97" ht="20" customHeight="1">
      <c r="A97" s="20" t="inlineStr">
        <is>
          <t>ΣΥΝΟΛΙΚΟ ΠΛΗΘΟΣ ΣΕΤ ΠΡΟΕΝΤΑΣΗΣ &amp; LOCK-OFF</t>
        </is>
      </c>
      <c r="B97" s="27">
        <f>B90</f>
        <v/>
      </c>
      <c r="C97" s="22" t="inlineStr">
        <is>
          <t>τεμάχια</t>
        </is>
      </c>
      <c r="D97" s="23">
        <f>"=" &amp; B90 &amp; " αγκυρώσεις (1 δοκιμή &amp; τάνυση ανά αγκύρωση)"</f>
        <v/>
      </c>
      <c r="E97" s="23" t="inlineStr">
        <is>
          <t>1 δοκιμή &amp; κλείδωμα προέντασης ανά αγκύρωση</t>
        </is>
      </c>
    </row>
    <row r="98" ht="20" customHeight="1">
      <c r="A98" s="20" t="inlineStr">
        <is>
          <t>ΣΥΝΟΛΙΚΟ ΠΛΗΘΟΣ ΚΕΦΑΛΩΝ ΑΓΚΥΡΩΣΗΣ &amp; ΠΛΑΚΩΝ</t>
        </is>
      </c>
      <c r="B98" s="27">
        <f>B90</f>
        <v/>
      </c>
      <c r="C98" s="22" t="inlineStr">
        <is>
          <t>τεμάχια</t>
        </is>
      </c>
      <c r="D98" s="23">
        <f>"=" &amp; B90 &amp; " αγκυρώσεις (1 πλήρες σετ ανά αγκύρωση)"</f>
        <v/>
      </c>
      <c r="E98" s="23" t="inlineStr">
        <is>
          <t>1 πλήρες σετ κεφαλής, σφηνών &amp; πλάκας έδρασης</t>
        </is>
      </c>
    </row>
  </sheetData>
  <mergeCells count="11">
    <mergeCell ref="A21:E21"/>
    <mergeCell ref="A12:E12"/>
    <mergeCell ref="A4:E4"/>
    <mergeCell ref="A59:E59"/>
    <mergeCell ref="A89:E89"/>
    <mergeCell ref="A76:E76"/>
    <mergeCell ref="A46:E46"/>
    <mergeCell ref="A32:E32"/>
    <mergeCell ref="A66:E66"/>
    <mergeCell ref="A61:E6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2" customWidth="1" min="4" max="4"/>
    <col width="22" customWidth="1" min="5" max="5"/>
    <col width="22" customWidth="1" min="6" max="6"/>
    <col width="45" customWidth="1" min="7" max="7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2: ΟΙΚΟΝΟΜΙΚΗ ΚΟΣΤΟΛΟΓΗΣΗ &amp; ΠΡΟΣΦΟΡΑ (4 ΠΥΛΩΝΕΣ)  |  ΟΛΑ ΤΑ ΠΟΣΑ ΣΕ ΕΥΡΩ (€)</t>
        </is>
      </c>
    </row>
    <row r="4" ht="28" customHeight="1">
      <c r="A4" s="29" t="inlineStr">
        <is>
          <t>Α/Α</t>
        </is>
      </c>
      <c r="B4" s="30" t="inlineStr">
        <is>
          <t>Περιγραφή Εργασίας / Υλικού</t>
        </is>
      </c>
      <c r="C4" s="29" t="inlineStr">
        <is>
          <t>Ποσότητα Μελέτης
[ΑΠΟ ΦΥΛΛΟ 1]</t>
        </is>
      </c>
      <c r="D4" s="29" t="inlineStr">
        <is>
          <t>Μονάδα</t>
        </is>
      </c>
      <c r="E4" s="29" t="inlineStr">
        <is>
          <t>Τιμή Μονάδας (€)
[ΚΙΤΡΙΝΟ = ΑΛΛΑΖΕΙ]</t>
        </is>
      </c>
      <c r="F4" s="31" t="inlineStr">
        <is>
          <t>Σύνολο (€)</t>
        </is>
      </c>
      <c r="G4" s="30" t="inlineStr">
        <is>
          <t>Τεχνική Σημείωση / Παραπομπή</t>
        </is>
      </c>
    </row>
    <row r="5" ht="20" customHeight="1">
      <c r="A5" s="6" t="inlineStr">
        <is>
          <t>ΠΥΛΩΝΑΣ 1: ΜΕΤΑΚΙΝΗΣΕΙΣ ΕΞΟΠΛΙΣΜΟΥ (3 ΕΙΔΗ ΜΕΤΑΚΙΝΗΣΕΩΝ)</t>
        </is>
      </c>
    </row>
    <row r="6" ht="20" customHeight="1">
      <c r="A6" s="15" t="inlineStr">
        <is>
          <t>1.1</t>
        </is>
      </c>
      <c r="B6" s="14" t="inlineStr">
        <is>
          <t>Μετακίνηση Μεγάλου Τρυπανιού (Piling Rig)</t>
        </is>
      </c>
      <c r="C6" s="32">
        <f>'1_Στοιχεία_Μελέτης_&amp;_Ποσότητες'!B62</f>
        <v/>
      </c>
      <c r="D6" s="15" t="inlineStr">
        <is>
          <t>στράτες</t>
        </is>
      </c>
      <c r="E6" s="33" t="n">
        <v>3000</v>
      </c>
      <c r="F6" s="34">
        <f>C6*E6</f>
        <v/>
      </c>
      <c r="G6" s="35" t="inlineStr">
        <is>
          <t>Λευκωσία (&gt;80 km από έδρα Αγίου Συλά)</t>
        </is>
      </c>
    </row>
    <row r="7" ht="20" customHeight="1">
      <c r="A7" s="15" t="inlineStr">
        <is>
          <t>1.2</t>
        </is>
      </c>
      <c r="B7" s="14" t="inlineStr">
        <is>
          <t>Μετακινήσεις Εξοπλισμού Αγκυρώσεων</t>
        </is>
      </c>
      <c r="C7" s="32">
        <f>'1_Στοιχεία_Μελέτης_&amp;_Ποσότητες'!B63</f>
        <v/>
      </c>
      <c r="D7" s="15" t="inlineStr">
        <is>
          <t>στράτες</t>
        </is>
      </c>
      <c r="E7" s="33" t="n">
        <v>400</v>
      </c>
      <c r="F7" s="34">
        <f>C7*E7</f>
        <v/>
      </c>
      <c r="G7" s="35" t="inlineStr">
        <is>
          <t>4 στράτες (όσες οι σειρές αγκυρώσεων)</t>
        </is>
      </c>
    </row>
    <row r="8" ht="20" customHeight="1">
      <c r="A8" s="15" t="inlineStr">
        <is>
          <t>1.3</t>
        </is>
      </c>
      <c r="B8" s="14" t="inlineStr">
        <is>
          <t>Μετακινήσεις Συνεργείου &amp; Αντλίας Shotcrete</t>
        </is>
      </c>
      <c r="C8" s="32">
        <f>'1_Στοιχεία_Μελέτης_&amp;_Ποσότητες'!B64</f>
        <v/>
      </c>
      <c r="D8" s="15" t="inlineStr">
        <is>
          <t>στράτες</t>
        </is>
      </c>
      <c r="E8" s="33" t="n">
        <v>300</v>
      </c>
      <c r="F8" s="34">
        <f>C8*E8</f>
        <v/>
      </c>
      <c r="G8" s="35" t="inlineStr">
        <is>
          <t>5 στράτες (σειρές αγκυρώσεων + 1)</t>
        </is>
      </c>
    </row>
    <row r="9" ht="21" customHeight="1">
      <c r="A9" s="36" t="n"/>
      <c r="B9" s="37" t="inlineStr">
        <is>
          <t>ΜΕΡΙΚΟ ΣΥΝΟΛΟ ΠΥΛΩΝΑ 1 (ΜΕΤΑΚΙΝΗΣΕΙΣ):</t>
        </is>
      </c>
      <c r="C9" s="36" t="n"/>
      <c r="D9" s="36" t="n"/>
      <c r="E9" s="36" t="n"/>
      <c r="F9" s="38">
        <f>SUM(F6:F8)</f>
        <v/>
      </c>
      <c r="G9" s="36" t="n"/>
    </row>
    <row r="11" ht="20" customHeight="1">
      <c r="A11" s="6" t="inlineStr">
        <is>
          <t>ΠΥΛΩΝΑΣ 2: ΣΧΑΡΕΣ ΟΠΛΙΣΜΟΥ &amp; ΕΚΤΟΞΕΥΟΜΕΝΟ ΣΚΥΡΟΔΕΜΑ (GUNITE / SHOTCRETE)</t>
        </is>
      </c>
    </row>
    <row r="12" ht="20" customHeight="1">
      <c r="A12" s="15" t="inlineStr">
        <is>
          <t>2.1</t>
        </is>
      </c>
      <c r="B12" s="14">
        <f>"Αγορά Χάλυβα Σχάρας (" &amp; '1_Στοιχεία_Μελέτης_&amp;_Ποσότητες'!B22 &amp; " + " &amp; '1_Στοιχεία_Μελέτης_&amp;_Ποσότητες'!B25 &amp; ")"</f>
        <v/>
      </c>
      <c r="C12" s="39">
        <f>'1_Στοιχεία_Μελέτης_&amp;_Ποσότητες'!B72</f>
        <v/>
      </c>
      <c r="D12" s="15" t="inlineStr">
        <is>
          <t>kg</t>
        </is>
      </c>
      <c r="E12" s="33" t="n">
        <v>2.5</v>
      </c>
      <c r="F12" s="34">
        <f>C12*E12</f>
        <v/>
      </c>
      <c r="G12" s="35" t="inlineStr">
        <is>
          <t>B500C (Y20/200 + Y14/200)</t>
        </is>
      </c>
    </row>
    <row r="13" ht="20" customHeight="1">
      <c r="A13" s="15" t="inlineStr">
        <is>
          <t>2.2</t>
        </is>
      </c>
      <c r="B13" s="14" t="inlineStr">
        <is>
          <t>Τοποθέτηση &amp; Εργατικά Σχάρας Μετώπου</t>
        </is>
      </c>
      <c r="C13" s="39">
        <f>'1_Στοιχεία_Μελέτης_&amp;_Ποσότητες'!B68</f>
        <v/>
      </c>
      <c r="D13" s="15" t="inlineStr">
        <is>
          <t>m²</t>
        </is>
      </c>
      <c r="E13" s="33" t="n">
        <v>15</v>
      </c>
      <c r="F13" s="34">
        <f>C13*E13</f>
        <v/>
      </c>
      <c r="G13" s="35" t="inlineStr">
        <is>
          <t>Εργατικά τοποθέτησης ανά m² μετώπου</t>
        </is>
      </c>
    </row>
    <row r="14" ht="20" customHeight="1">
      <c r="A14" s="15" t="inlineStr">
        <is>
          <t>2.3</t>
        </is>
      </c>
      <c r="B14" s="14" t="inlineStr">
        <is>
          <t>Αγορά Σκυροδέματος Shotcrete C30/40</t>
        </is>
      </c>
      <c r="C14" s="39">
        <f>'1_Στοιχεία_Μελέτης_&amp;_Ποσότητες'!B73</f>
        <v/>
      </c>
      <c r="D14" s="15" t="inlineStr">
        <is>
          <t>m³</t>
        </is>
      </c>
      <c r="E14" s="33" t="n">
        <v>90</v>
      </c>
      <c r="F14" s="34">
        <f>C14*E14</f>
        <v/>
      </c>
      <c r="G14" s="35" t="inlineStr">
        <is>
          <t>Πάγια τιμή αγοράς 90 €/m³</t>
        </is>
      </c>
    </row>
    <row r="15" ht="20" customHeight="1">
      <c r="A15" s="15" t="inlineStr">
        <is>
          <t>2.4</t>
        </is>
      </c>
      <c r="B15" s="14" t="inlineStr">
        <is>
          <t>Εφαρμογή, Άντληση &amp; Εκτόξευση Shotcrete</t>
        </is>
      </c>
      <c r="C15" s="39">
        <f>'1_Στοιχεία_Μελέτης_&amp;_Ποσότητες'!B73</f>
        <v/>
      </c>
      <c r="D15" s="15" t="inlineStr">
        <is>
          <t>m³</t>
        </is>
      </c>
      <c r="E15" s="33">
        <f>ROUND((200*(1+'1_Στοιχεία_Μελέτης_&amp;_Ποσότητες'!B74))-90, 2)</f>
        <v/>
      </c>
      <c r="F15" s="34">
        <f>C15*E15</f>
        <v/>
      </c>
      <c r="G15" s="35" t="inlineStr">
        <is>
          <t>Τιμή εφαρμογής βάσει 200€ + 33.33% απώλεια μείον 90€</t>
        </is>
      </c>
    </row>
    <row r="16" ht="21" customHeight="1">
      <c r="A16" s="36" t="n"/>
      <c r="B16" s="37" t="inlineStr">
        <is>
          <t>ΜΕΡΙΚΟ ΣΥΝΟΛΟ ΠΥΛΩΝΑ 2 (ΣΧΑΡΕΣ &amp; SHOTCRETE):</t>
        </is>
      </c>
      <c r="C16" s="36" t="n"/>
      <c r="D16" s="36" t="n"/>
      <c r="E16" s="36" t="n"/>
      <c r="F16" s="38">
        <f>SUM(F12:F15)</f>
        <v/>
      </c>
      <c r="G16" s="36" t="n"/>
    </row>
    <row r="18" ht="20" customHeight="1">
      <c r="A18" s="6" t="inlineStr">
        <is>
          <t>ΠΥΛΩΝΑΣ 3: ΜΕΤΑΛΛΙΚΕΣ ΚΟΛΩΝΕΣ (H-BEAMS) &amp; ΠΑΣΣΑΛΟΙ BERLIN WALL</t>
        </is>
      </c>
    </row>
    <row r="19" ht="20" customHeight="1">
      <c r="A19" s="15" t="inlineStr">
        <is>
          <t>3.1</t>
        </is>
      </c>
      <c r="B19" s="14">
        <f>"Διάτρηση Μεγάλου Τρυπανιού (Ø" &amp; TEXT('1_Στοιχεία_Μελέτης_&amp;_Ποσότητες'!B35*1000, "0") &amp; " mm)"</f>
        <v/>
      </c>
      <c r="C19" s="39">
        <f>'1_Στοιχεία_Μελέτης_&amp;_Ποσότητες'!B78</f>
        <v/>
      </c>
      <c r="D19" s="15" t="inlineStr">
        <is>
          <t>m</t>
        </is>
      </c>
      <c r="E19" s="33" t="n">
        <v>75</v>
      </c>
      <c r="F19" s="34">
        <f>C19*E19</f>
        <v/>
      </c>
      <c r="G19" s="35" t="inlineStr">
        <is>
          <t>Ελάχιστη διάμετρος Ø800 mm βάσει κανόνα v2</t>
        </is>
      </c>
    </row>
    <row r="20" ht="20" customHeight="1">
      <c r="A20" s="15" t="inlineStr">
        <is>
          <t>3.2</t>
        </is>
      </c>
      <c r="B20" s="14">
        <f>"Χάλυβας Νέφκων (" &amp; '1_Στοιχεία_Μελέτης_&amp;_Ποσότητες'!B37 &amp; " @ 60.6 kg/m)"</f>
        <v/>
      </c>
      <c r="C20" s="39">
        <f>'1_Στοιχεία_Μελέτης_&amp;_Ποσότητες'!B81</f>
        <v/>
      </c>
      <c r="D20" s="15" t="inlineStr">
        <is>
          <t>kg</t>
        </is>
      </c>
      <c r="E20" s="33" t="n">
        <v>1.4</v>
      </c>
      <c r="F20" s="34">
        <f>C20*E20</f>
        <v/>
      </c>
      <c r="G20" s="35" t="inlineStr">
        <is>
          <t>1.00 € αγορά + 0.40 € επεξεργασία</t>
        </is>
      </c>
    </row>
    <row r="21" ht="20" customHeight="1">
      <c r="A21" s="15" t="inlineStr">
        <is>
          <t>3.3</t>
        </is>
      </c>
      <c r="B21" s="14" t="inlineStr">
        <is>
          <t>Λάμες Σύνδεσης / Ενίσχυσης PLT 350x100x12 mm</t>
        </is>
      </c>
      <c r="C21" s="39">
        <f>'1_Στοιχεία_Μελέτης_&amp;_Ποσότητες'!B85</f>
        <v/>
      </c>
      <c r="D21" s="15" t="inlineStr">
        <is>
          <t>kg</t>
        </is>
      </c>
      <c r="E21" s="33" t="n">
        <v>1.6</v>
      </c>
      <c r="F21" s="34">
        <f>C21*E21</f>
        <v/>
      </c>
      <c r="G21" s="35" t="inlineStr">
        <is>
          <t>Υπολογισμός 25 λάμες/κολώνα (L/s) βάσει κανόνα v2</t>
        </is>
      </c>
    </row>
    <row r="22" ht="20" customHeight="1">
      <c r="A22" s="15" t="inlineStr">
        <is>
          <t>3.4</t>
        </is>
      </c>
      <c r="B22" s="14" t="inlineStr">
        <is>
          <t>Κουγκρί Πάκτωσης Πασσάλων (H=3.0 m, Ø800 mm)</t>
        </is>
      </c>
      <c r="C22" s="39">
        <f>'1_Στοιχεία_Μελέτης_&amp;_Ποσότητες'!B87</f>
        <v/>
      </c>
      <c r="D22" s="15" t="inlineStr">
        <is>
          <t>m³</t>
        </is>
      </c>
      <c r="E22" s="40" t="n">
        <v>120</v>
      </c>
      <c r="F22" s="34">
        <f>C22*E22</f>
        <v/>
      </c>
      <c r="G22" s="16" t="inlineStr">
        <is>
          <t>[ΣΥΓΚΡΟΥΣΗ]: Επιλογή C35/45 στα 3.0m (έντονη επισήμανση)</t>
        </is>
      </c>
    </row>
    <row r="23" ht="20" customHeight="1">
      <c r="A23" s="15" t="inlineStr">
        <is>
          <t>3.5</t>
        </is>
      </c>
      <c r="B23" s="14" t="inlineStr">
        <is>
          <t>Γωνιές Στήριξης (Equal Angles L)</t>
        </is>
      </c>
      <c r="C23" s="32" t="n">
        <v>0</v>
      </c>
      <c r="D23" s="15" t="inlineStr">
        <is>
          <t>kg</t>
        </is>
      </c>
      <c r="E23" s="33" t="n">
        <v>1.6</v>
      </c>
      <c r="F23" s="34">
        <f>C23*E23</f>
        <v/>
      </c>
      <c r="G23" s="35" t="inlineStr">
        <is>
          <t>Δεν ζητήθηκαν γωνιές στήριξης στα σχέδια</t>
        </is>
      </c>
    </row>
    <row r="24" ht="21" customHeight="1">
      <c r="A24" s="36" t="n"/>
      <c r="B24" s="37" t="inlineStr">
        <is>
          <t>ΜΕΡΙΚΟ ΣΥΝΟΛΟ ΠΥΛΩΝΑ 3 (H-BEAMS &amp; ΠΑΣΣΑΛΟΙ):</t>
        </is>
      </c>
      <c r="C24" s="36" t="n"/>
      <c r="D24" s="36" t="n"/>
      <c r="E24" s="36" t="n"/>
      <c r="F24" s="38">
        <f>SUM(F19:F23)</f>
        <v/>
      </c>
      <c r="G24" s="36" t="n"/>
    </row>
    <row r="26" ht="20" customHeight="1">
      <c r="A26" s="6" t="inlineStr">
        <is>
          <t>ΠΥΛΩΝΑΣ 4: ΠΡΟΕΝΤΕΤΑΜΕΝΕΣ ΑΓΚΥΡΩΣΕΙΣ ΕΔΑΦΟΥΣ (TIEBACK ANCHORS)</t>
        </is>
      </c>
    </row>
    <row r="27" ht="20" customHeight="1">
      <c r="A27" s="15" t="inlineStr">
        <is>
          <t>4.1</t>
        </is>
      </c>
      <c r="B27" s="14">
        <f>"Διάτρηση Αγκυρώσεων (Ø" &amp; TEXT('1_Στοιχεία_Μελέτης_&amp;_Ποσότητες'!B54*1000, "0") &amp; " mm)"</f>
        <v/>
      </c>
      <c r="C27" s="39">
        <f>'1_Στοιχεία_Μελέτης_&amp;_Ποσότητες'!B91</f>
        <v/>
      </c>
      <c r="D27" s="15" t="inlineStr">
        <is>
          <t>m</t>
        </is>
      </c>
      <c r="E27" s="33" t="n">
        <v>30</v>
      </c>
      <c r="F27" s="34">
        <f>C27*E27</f>
        <v/>
      </c>
      <c r="G27" s="35" t="inlineStr">
        <is>
          <t>Διάτρηση Ø150 mm σε βάθη 13.30 m</t>
        </is>
      </c>
    </row>
    <row r="28" ht="20" customHeight="1">
      <c r="A28" s="15" t="inlineStr">
        <is>
          <t>4.2</t>
        </is>
      </c>
      <c r="B28" s="14" t="inlineStr">
        <is>
          <t>Grout Τσιμεντενέματος Πλήρωσης Αγκυρώσεων</t>
        </is>
      </c>
      <c r="C28" s="39">
        <f>'1_Στοιχεία_Μελέτης_&amp;_Ποσότητες'!B93</f>
        <v/>
      </c>
      <c r="D28" s="15" t="inlineStr">
        <is>
          <t>m³</t>
        </is>
      </c>
      <c r="E28" s="33" t="n">
        <v>500</v>
      </c>
      <c r="F28" s="34">
        <f>C28*E28</f>
        <v/>
      </c>
      <c r="G28" s="35" t="inlineStr">
        <is>
          <t>Grout υψηλής αντοχής fcu &gt; 80 N/mm²</t>
        </is>
      </c>
    </row>
    <row r="29" ht="20" customHeight="1">
      <c r="A29" s="15" t="inlineStr">
        <is>
          <t>4.3</t>
        </is>
      </c>
      <c r="B29" s="14" t="inlineStr">
        <is>
          <t>Τένοντες Προέντασης (5 Strands 0.6" - 1.10 kg/m)</t>
        </is>
      </c>
      <c r="C29" s="39">
        <f>'1_Στοιχεία_Μελέτης_&amp;_Ποσότητες'!B94</f>
        <v/>
      </c>
      <c r="D29" s="15" t="inlineStr">
        <is>
          <t>m</t>
        </is>
      </c>
      <c r="E29" s="33" t="n">
        <v>2.28</v>
      </c>
      <c r="F29" s="34">
        <f>C29*E29</f>
        <v/>
      </c>
      <c r="G29" s="35" t="inlineStr">
        <is>
          <t>5 κλώνοι x 14.3m x 1.10 kg/m</t>
        </is>
      </c>
    </row>
    <row r="30" ht="20" customHeight="1">
      <c r="A30" s="15" t="inlineStr">
        <is>
          <t>4.4</t>
        </is>
      </c>
      <c r="B30" s="14" t="inlineStr">
        <is>
          <t>Προένταση Αγκυρώσεων (Stressing &amp; Lock-off)</t>
        </is>
      </c>
      <c r="C30" s="32">
        <f>'1_Στοιχεία_Μελέτης_&amp;_Ποσότητες'!B97</f>
        <v/>
      </c>
      <c r="D30" s="15" t="inlineStr">
        <is>
          <t>τεμ</t>
        </is>
      </c>
      <c r="E30" s="33" t="n">
        <v>18</v>
      </c>
      <c r="F30" s="34">
        <f>C30*E30</f>
        <v/>
      </c>
      <c r="G30" s="35" t="inlineStr">
        <is>
          <t>Τάνυση, δοκιμή καταλληλότητας &amp; κλείδωμα</t>
        </is>
      </c>
    </row>
    <row r="31" ht="20" customHeight="1">
      <c r="A31" s="15" t="inlineStr">
        <is>
          <t>4.5</t>
        </is>
      </c>
      <c r="B31" s="14" t="inlineStr">
        <is>
          <t>Κεφαλή Αγκύρωσης, Σφήνες &amp; Πλάκα Έδρασης</t>
        </is>
      </c>
      <c r="C31" s="32">
        <f>'1_Στοιχεία_Μελέτης_&amp;_Ποσότητες'!B98</f>
        <v/>
      </c>
      <c r="D31" s="15" t="inlineStr">
        <is>
          <t>τεμ</t>
        </is>
      </c>
      <c r="E31" s="33" t="n">
        <v>55</v>
      </c>
      <c r="F31" s="34">
        <f>C31*E31</f>
        <v/>
      </c>
      <c r="G31" s="35" t="inlineStr">
        <is>
          <t>Πλήρες σετ κεφαλής έδρασης</t>
        </is>
      </c>
    </row>
    <row r="32" ht="21" customHeight="1">
      <c r="A32" s="36" t="n"/>
      <c r="B32" s="37" t="inlineStr">
        <is>
          <t>ΜΕΡΙΚΟ ΣΥΝΟΛΟ ΠΥΛΩΝΑ 4 (ΑΓΚΥΡΩΣΕΙΣ):</t>
        </is>
      </c>
      <c r="C32" s="36" t="n"/>
      <c r="D32" s="36" t="n"/>
      <c r="E32" s="36" t="n"/>
      <c r="F32" s="38">
        <f>SUM(F27:F31)</f>
        <v/>
      </c>
      <c r="G32" s="36" t="n"/>
    </row>
    <row r="34" ht="24" customHeight="1">
      <c r="A34" s="41" t="n"/>
      <c r="B34" s="42" t="inlineStr">
        <is>
          <t>ΚΑΘΑΡΟ ΣΥΝΟΛΟ ΕΡΓΟΥ (ΑΘΡΟΙΣΜΑ 4 ΠΥΛΩΝΩΝ):</t>
        </is>
      </c>
      <c r="C34" s="41" t="n"/>
      <c r="D34" s="41" t="n"/>
      <c r="E34" s="41" t="n"/>
      <c r="F34" s="43">
        <f>F9+F16+F24+F32</f>
        <v/>
      </c>
      <c r="G34" s="41" t="n"/>
    </row>
    <row r="35" ht="20" customHeight="1">
      <c r="A35" s="44" t="n"/>
      <c r="B35" s="45" t="inlineStr">
        <is>
          <t>Φ.Π.Α. (19%):</t>
        </is>
      </c>
      <c r="C35" s="44" t="n"/>
      <c r="D35" s="44" t="n"/>
      <c r="E35" s="44" t="n"/>
      <c r="F35" s="34">
        <f>ROUND(F34*0.19, 2)</f>
        <v/>
      </c>
      <c r="G35" s="44" t="n"/>
    </row>
    <row r="36" ht="25" customHeight="1">
      <c r="A36" s="41" t="n"/>
      <c r="B36" s="42" t="inlineStr">
        <is>
          <t>ΤΕΛΙΚΟ ΣΥΝΟΛΟ ΜΕ Φ.Π.Α. (ΠΛΗΡΩΤΕΟ):</t>
        </is>
      </c>
      <c r="C36" s="41" t="n"/>
      <c r="D36" s="41" t="n"/>
      <c r="E36" s="41" t="n"/>
      <c r="F36" s="43">
        <f>F34+F35</f>
        <v/>
      </c>
      <c r="G36" s="41" t="n"/>
    </row>
    <row r="38" ht="20" customHeight="1">
      <c r="A38" s="6" t="inlineStr">
        <is>
          <t>ΒΑΣΙΚΟΙ ΔΕΙΚΤΕΣ ΚΟΣΤΟΥΣ ΕΡΓΟΥ (KEY PERFORMANCE INDICATORS - KPIs)</t>
        </is>
      </c>
    </row>
    <row r="39" ht="20" customHeight="1">
      <c r="A39" s="44" t="n"/>
      <c r="B39" s="20" t="inlineStr">
        <is>
          <t>Κόστος ανά m² Μετώπου Αντιστήριξης</t>
        </is>
      </c>
      <c r="C39" s="44" t="n"/>
      <c r="D39" s="22" t="inlineStr">
        <is>
          <t>€ / m²</t>
        </is>
      </c>
      <c r="E39" s="44" t="n"/>
      <c r="F39" s="34">
        <f>ROUND(F34/'1_Στοιχεία_Μελέτης_&amp;_Ποσότητες'!B68, 2)</f>
        <v/>
      </c>
      <c r="G39" s="35" t="inlineStr">
        <is>
          <t>Καθαρό κόστος ανά τετραγωνικό μέτρο όψης</t>
        </is>
      </c>
    </row>
    <row r="40" ht="20" customHeight="1">
      <c r="A40" s="44" t="n"/>
      <c r="B40" s="20" t="inlineStr">
        <is>
          <t>Κόστος ανά Τρέχον Μέτρο Περιμέτρου Εκσκαφής</t>
        </is>
      </c>
      <c r="C40" s="44" t="n"/>
      <c r="D40" s="22" t="inlineStr">
        <is>
          <t>€ / m</t>
        </is>
      </c>
      <c r="E40" s="44" t="n"/>
      <c r="F40" s="34">
        <f>ROUND(F34/'1_Στοιχεία_Μελέτης_&amp;_Ποσότητες'!B67, 2)</f>
        <v/>
      </c>
      <c r="G40" s="35" t="inlineStr">
        <is>
          <t>Καθαρό κόστος ανά μέτρο περιμέτρου</t>
        </is>
      </c>
    </row>
    <row r="41" ht="20" customHeight="1">
      <c r="A41" s="44" t="n"/>
      <c r="B41" s="20" t="inlineStr">
        <is>
          <t>Κόστος ανά Πάσσαλο / Οπή Berlin Wall</t>
        </is>
      </c>
      <c r="C41" s="44" t="n"/>
      <c r="D41" s="22" t="inlineStr">
        <is>
          <t>€ / πάσσαλο</t>
        </is>
      </c>
      <c r="E41" s="44" t="n"/>
      <c r="F41" s="34">
        <f>ROUND(F34/'1_Στοιχεία_Μελέτης_&amp;_Ποσότητες'!B34, 2)</f>
        <v/>
      </c>
      <c r="G41" s="35" t="inlineStr">
        <is>
          <t>Συνολικό κόστος επιμερισμένο ανά πάσσαλο</t>
        </is>
      </c>
    </row>
    <row r="42" ht="20" customHeight="1">
      <c r="A42" s="44" t="n"/>
      <c r="B42" s="20" t="inlineStr">
        <is>
          <t>Κόστος ανά Αγκύρωση Έργου (Πυλώνας 4)</t>
        </is>
      </c>
      <c r="C42" s="44" t="n"/>
      <c r="D42" s="22" t="inlineStr">
        <is>
          <t>€ / αγκύρωση</t>
        </is>
      </c>
      <c r="E42" s="44" t="n"/>
      <c r="F42" s="34">
        <f>ROUND(F32/'1_Στοιχεία_Μελέτης_&amp;_Ποσότητες'!B90, 2)</f>
        <v/>
      </c>
      <c r="G42" s="35" t="inlineStr">
        <is>
          <t>Κόστος αγκυρώσεων ανά τεμάχιο αγκύρωσης</t>
        </is>
      </c>
    </row>
  </sheetData>
  <mergeCells count="5">
    <mergeCell ref="A18:G18"/>
    <mergeCell ref="A26:G26"/>
    <mergeCell ref="A38:G38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ΒΙΒΛΙΟΘΗΚΗ ΔΙΑΤΟΜΩΝ ΧΑΛΥΒΑ BERLIN WALL &amp; ΑΓΚΥΡΩΣΕΩΝ</t>
        </is>
      </c>
    </row>
    <row r="2">
      <c r="A2" s="2" t="inlineStr">
        <is>
          <t>ΤΥΠΟΠΟΙΗΜΕΝΕΣ ΔΙΑΤΟΜΕΣ HEA, HEB, HEM, UPN, IPE &amp; ΙΣΟΣΚΕΛΕΙΣ ΓΩΝΙΕΣ (L)</t>
        </is>
      </c>
    </row>
    <row r="4" ht="25" customHeight="1">
      <c r="A4" s="4" t="inlineStr">
        <is>
          <t>Διατομή</t>
        </is>
      </c>
      <c r="B4" s="5" t="inlineStr">
        <is>
          <t>Ύψος h (mm)</t>
        </is>
      </c>
      <c r="C4" s="5" t="inlineStr">
        <is>
          <t>Πλάτος b (mm)</t>
        </is>
      </c>
      <c r="D4" s="5" t="inlineStr">
        <is>
          <t>Πάχος tw (mm)</t>
        </is>
      </c>
      <c r="E4" s="5" t="inlineStr">
        <is>
          <t>Πάχος tf (mm)</t>
        </is>
      </c>
      <c r="F4" s="5" t="inlineStr">
        <is>
          <t>Βάρος (kg/m)</t>
        </is>
      </c>
      <c r="G4" s="4" t="inlineStr">
        <is>
          <t>Χρήση / Εφαρμογή Berlin Wall</t>
        </is>
      </c>
    </row>
    <row r="5" ht="20" customHeight="1">
      <c r="A5" s="6" t="inlineStr">
        <is>
          <t>ΚΟΙΛΟΔΟΚΟΙ UPN (EN 10365) — ΤΥΠΙΚΗ ΕΦΑΡΜΟΓΗ TOFARCO</t>
        </is>
      </c>
    </row>
    <row r="6" ht="19" customHeight="1">
      <c r="A6" s="7" t="inlineStr">
        <is>
          <t>UPN 160</t>
        </is>
      </c>
      <c r="B6" s="9" t="n">
        <v>160</v>
      </c>
      <c r="C6" s="9" t="n">
        <v>65</v>
      </c>
      <c r="D6" s="9" t="n">
        <v>7.5</v>
      </c>
      <c r="E6" s="9" t="n">
        <v>10.5</v>
      </c>
      <c r="F6" s="9" t="n">
        <v>18.8</v>
      </c>
      <c r="G6" s="7" t="inlineStr">
        <is>
          <t>Ελαφριές πασσαλοκολώνες</t>
        </is>
      </c>
    </row>
    <row r="7" ht="19" customHeight="1">
      <c r="A7" s="7" t="inlineStr">
        <is>
          <t>UPN 180</t>
        </is>
      </c>
      <c r="B7" s="9" t="n">
        <v>180</v>
      </c>
      <c r="C7" s="9" t="n">
        <v>70</v>
      </c>
      <c r="D7" s="9" t="n">
        <v>8</v>
      </c>
      <c r="E7" s="9" t="n">
        <v>11</v>
      </c>
      <c r="F7" s="9" t="n">
        <v>22</v>
      </c>
      <c r="G7" s="7" t="inlineStr">
        <is>
          <t>Ελαφριές πασσαλοκολώνες</t>
        </is>
      </c>
    </row>
    <row r="8" ht="19" customHeight="1">
      <c r="A8" s="7" t="inlineStr">
        <is>
          <t>UPN 200</t>
        </is>
      </c>
      <c r="B8" s="9" t="n">
        <v>200</v>
      </c>
      <c r="C8" s="9" t="n">
        <v>75</v>
      </c>
      <c r="D8" s="9" t="n">
        <v>8.5</v>
      </c>
      <c r="E8" s="9" t="n">
        <v>11.5</v>
      </c>
      <c r="F8" s="9" t="n">
        <v>25.3</v>
      </c>
      <c r="G8" s="7" t="inlineStr">
        <is>
          <t>Συνήθης διατομή Berlin Wall</t>
        </is>
      </c>
    </row>
    <row r="9" ht="19" customHeight="1">
      <c r="A9" s="7" t="inlineStr">
        <is>
          <t>UPN 220</t>
        </is>
      </c>
      <c r="B9" s="9" t="n">
        <v>220</v>
      </c>
      <c r="C9" s="9" t="n">
        <v>80</v>
      </c>
      <c r="D9" s="9" t="n">
        <v>9</v>
      </c>
      <c r="E9" s="9" t="n">
        <v>12.5</v>
      </c>
      <c r="F9" s="9" t="n">
        <v>29.4</v>
      </c>
      <c r="G9" s="7" t="inlineStr">
        <is>
          <t>Μεσαίο βάθος αντιστήριξης</t>
        </is>
      </c>
    </row>
    <row r="10" ht="19" customHeight="1">
      <c r="A10" s="7" t="inlineStr">
        <is>
          <t>UPN 240</t>
        </is>
      </c>
      <c r="B10" s="9" t="n">
        <v>240</v>
      </c>
      <c r="C10" s="9" t="n">
        <v>85</v>
      </c>
      <c r="D10" s="9" t="n">
        <v>9.5</v>
      </c>
      <c r="E10" s="9" t="n">
        <v>13</v>
      </c>
      <c r="F10" s="9" t="n">
        <v>33.2</v>
      </c>
      <c r="G10" s="7" t="inlineStr">
        <is>
          <t>Μεσαίο βάθος αντιστήριξης</t>
        </is>
      </c>
    </row>
    <row r="11" ht="19" customHeight="1">
      <c r="A11" s="7" t="inlineStr">
        <is>
          <t>UPN 260</t>
        </is>
      </c>
      <c r="B11" s="9" t="n">
        <v>260</v>
      </c>
      <c r="C11" s="9" t="n">
        <v>90</v>
      </c>
      <c r="D11" s="9" t="n">
        <v>10</v>
      </c>
      <c r="E11" s="9" t="n">
        <v>14</v>
      </c>
      <c r="F11" s="9" t="n">
        <v>37.9</v>
      </c>
      <c r="G11" s="7" t="inlineStr">
        <is>
          <t>Βαριά αντιστήριξη</t>
        </is>
      </c>
    </row>
    <row r="12" ht="19" customHeight="1">
      <c r="A12" s="7" t="inlineStr">
        <is>
          <t>UPN 280</t>
        </is>
      </c>
      <c r="B12" s="9" t="n">
        <v>280</v>
      </c>
      <c r="C12" s="9" t="n">
        <v>95</v>
      </c>
      <c r="D12" s="9" t="n">
        <v>10</v>
      </c>
      <c r="E12" s="9" t="n">
        <v>15</v>
      </c>
      <c r="F12" s="9" t="n">
        <v>41.8</v>
      </c>
      <c r="G12" s="7" t="inlineStr">
        <is>
          <t>Βαριά αντιστήριξη</t>
        </is>
      </c>
    </row>
    <row r="13" ht="19" customHeight="1">
      <c r="A13" s="7" t="inlineStr">
        <is>
          <t>UPN 300</t>
        </is>
      </c>
      <c r="B13" s="9" t="n">
        <v>300</v>
      </c>
      <c r="C13" s="9" t="n">
        <v>100</v>
      </c>
      <c r="D13" s="9" t="n">
        <v>10</v>
      </c>
      <c r="E13" s="9" t="n">
        <v>16</v>
      </c>
      <c r="F13" s="9" t="n">
        <v>46.2</v>
      </c>
      <c r="G13" s="7" t="inlineStr">
        <is>
          <t>Βαριά αντιστήριξη</t>
        </is>
      </c>
    </row>
    <row r="14" ht="19" customHeight="1">
      <c r="A14" s="46" t="inlineStr">
        <is>
          <t>UPN 350</t>
        </is>
      </c>
      <c r="B14" s="47" t="n">
        <v>350</v>
      </c>
      <c r="C14" s="47" t="n">
        <v>100</v>
      </c>
      <c r="D14" s="47" t="n">
        <v>14</v>
      </c>
      <c r="E14" s="47" t="n">
        <v>16</v>
      </c>
      <c r="F14" s="47" t="n">
        <v>60.6</v>
      </c>
      <c r="G14" s="46" t="inlineStr">
        <is>
          <t>⭐ TOFARCO ATHENION (2xUPN 350)</t>
        </is>
      </c>
    </row>
    <row r="15" ht="19" customHeight="1">
      <c r="A15" s="7" t="inlineStr">
        <is>
          <t>UPN 400</t>
        </is>
      </c>
      <c r="B15" s="9" t="n">
        <v>400</v>
      </c>
      <c r="C15" s="9" t="n">
        <v>110</v>
      </c>
      <c r="D15" s="9" t="n">
        <v>14</v>
      </c>
      <c r="E15" s="9" t="n">
        <v>18</v>
      </c>
      <c r="F15" s="9" t="n">
        <v>71.8</v>
      </c>
      <c r="G15" s="7" t="inlineStr">
        <is>
          <t>Πολύ μεγάλα βάθη</t>
        </is>
      </c>
    </row>
    <row r="16" ht="20" customHeight="1">
      <c r="A16" s="6" t="inlineStr">
        <is>
          <t>ΔΙΑΤΟΜΕΣ HEB (IPB / EN 10365) — ΠΑΣΣΑΛΟΚΟΛΩΝΕΣ ΜΕΓΑΛΗΣ ΔΥΣΚΑΜΨΙΑΣ</t>
        </is>
      </c>
    </row>
    <row r="17" ht="19" customHeight="1">
      <c r="A17" s="7" t="inlineStr">
        <is>
          <t>HEB 180</t>
        </is>
      </c>
      <c r="B17" s="9" t="n">
        <v>180</v>
      </c>
      <c r="C17" s="9" t="n">
        <v>180</v>
      </c>
      <c r="D17" s="9" t="n">
        <v>8.5</v>
      </c>
      <c r="E17" s="9" t="n">
        <v>14</v>
      </c>
      <c r="F17" s="9" t="n">
        <v>51.2</v>
      </c>
      <c r="G17" s="7" t="inlineStr">
        <is>
          <t>Μικρό/Μεσαίο βάθος</t>
        </is>
      </c>
    </row>
    <row r="18" ht="19" customHeight="1">
      <c r="A18" s="7" t="inlineStr">
        <is>
          <t>HEB 200</t>
        </is>
      </c>
      <c r="B18" s="9" t="n">
        <v>200</v>
      </c>
      <c r="C18" s="9" t="n">
        <v>200</v>
      </c>
      <c r="D18" s="9" t="n">
        <v>9</v>
      </c>
      <c r="E18" s="9" t="n">
        <v>15</v>
      </c>
      <c r="F18" s="9" t="n">
        <v>61.3</v>
      </c>
      <c r="G18" s="7" t="inlineStr">
        <is>
          <t>Συνήθης πασσαλοκολώνα</t>
        </is>
      </c>
    </row>
    <row r="19" ht="19" customHeight="1">
      <c r="A19" s="7" t="inlineStr">
        <is>
          <t>HEB 220</t>
        </is>
      </c>
      <c r="B19" s="9" t="n">
        <v>220</v>
      </c>
      <c r="C19" s="9" t="n">
        <v>220</v>
      </c>
      <c r="D19" s="9" t="n">
        <v>9.5</v>
      </c>
      <c r="E19" s="9" t="n">
        <v>16</v>
      </c>
      <c r="F19" s="9" t="n">
        <v>71.5</v>
      </c>
      <c r="G19" s="7" t="inlineStr">
        <is>
          <t>Συνήθης πασσαλοκολώνα</t>
        </is>
      </c>
    </row>
    <row r="20" ht="19" customHeight="1">
      <c r="A20" s="7" t="inlineStr">
        <is>
          <t>HEB 240</t>
        </is>
      </c>
      <c r="B20" s="9" t="n">
        <v>240</v>
      </c>
      <c r="C20" s="9" t="n">
        <v>240</v>
      </c>
      <c r="D20" s="9" t="n">
        <v>10</v>
      </c>
      <c r="E20" s="9" t="n">
        <v>17</v>
      </c>
      <c r="F20" s="9" t="n">
        <v>83.2</v>
      </c>
      <c r="G20" s="7" t="inlineStr">
        <is>
          <t>Μεγάλα βάθη &amp; ωθήσεις</t>
        </is>
      </c>
    </row>
    <row r="21" ht="19" customHeight="1">
      <c r="A21" s="7" t="inlineStr">
        <is>
          <t>HEB 260</t>
        </is>
      </c>
      <c r="B21" s="9" t="n">
        <v>260</v>
      </c>
      <c r="C21" s="9" t="n">
        <v>260</v>
      </c>
      <c r="D21" s="9" t="n">
        <v>10</v>
      </c>
      <c r="E21" s="9" t="n">
        <v>17.5</v>
      </c>
      <c r="F21" s="9" t="n">
        <v>93</v>
      </c>
      <c r="G21" s="7" t="inlineStr">
        <is>
          <t>Μεγάλα βάθη &amp; ωθήσεις</t>
        </is>
      </c>
    </row>
    <row r="22" ht="19" customHeight="1">
      <c r="A22" s="7" t="inlineStr">
        <is>
          <t>HEB 280</t>
        </is>
      </c>
      <c r="B22" s="9" t="n">
        <v>280</v>
      </c>
      <c r="C22" s="9" t="n">
        <v>280</v>
      </c>
      <c r="D22" s="9" t="n">
        <v>10.5</v>
      </c>
      <c r="E22" s="9" t="n">
        <v>18</v>
      </c>
      <c r="F22" s="9" t="n">
        <v>103</v>
      </c>
      <c r="G22" s="7" t="inlineStr">
        <is>
          <t>Πολύ βαριά αντιστήριξη</t>
        </is>
      </c>
    </row>
    <row r="23" ht="19" customHeight="1">
      <c r="A23" s="7" t="inlineStr">
        <is>
          <t>HEB 300</t>
        </is>
      </c>
      <c r="B23" s="9" t="n">
        <v>300</v>
      </c>
      <c r="C23" s="9" t="n">
        <v>300</v>
      </c>
      <c r="D23" s="9" t="n">
        <v>11</v>
      </c>
      <c r="E23" s="9" t="n">
        <v>19</v>
      </c>
      <c r="F23" s="9" t="n">
        <v>117</v>
      </c>
      <c r="G23" s="7" t="inlineStr">
        <is>
          <t>Πολύ βαριά αντιστήριξη</t>
        </is>
      </c>
    </row>
    <row r="24" ht="20" customHeight="1">
      <c r="A24" s="6" t="inlineStr">
        <is>
          <t>ΔΙΑΤΟΜΕΣ HEA (IPBl / EN 10365) — ΕΛΑΦΡΙΑ ΣΕΙΡΑ</t>
        </is>
      </c>
    </row>
    <row r="25" ht="19" customHeight="1">
      <c r="A25" s="7" t="inlineStr">
        <is>
          <t>HEA 180</t>
        </is>
      </c>
      <c r="B25" s="9" t="n">
        <v>171</v>
      </c>
      <c r="C25" s="9" t="n">
        <v>180</v>
      </c>
      <c r="D25" s="9" t="n">
        <v>6</v>
      </c>
      <c r="E25" s="9" t="n">
        <v>9.5</v>
      </c>
      <c r="F25" s="9" t="n">
        <v>35.5</v>
      </c>
      <c r="G25" s="7" t="inlineStr">
        <is>
          <t>Ελαφριά αντιστήριξη</t>
        </is>
      </c>
    </row>
    <row r="26" ht="19" customHeight="1">
      <c r="A26" s="7" t="inlineStr">
        <is>
          <t>HEA 200</t>
        </is>
      </c>
      <c r="B26" s="9" t="n">
        <v>190</v>
      </c>
      <c r="C26" s="9" t="n">
        <v>200</v>
      </c>
      <c r="D26" s="9" t="n">
        <v>6.5</v>
      </c>
      <c r="E26" s="9" t="n">
        <v>10</v>
      </c>
      <c r="F26" s="9" t="n">
        <v>42.3</v>
      </c>
      <c r="G26" s="7" t="inlineStr">
        <is>
          <t>Ελαφριά αντιστήριξη</t>
        </is>
      </c>
    </row>
    <row r="27" ht="19" customHeight="1">
      <c r="A27" s="7" t="inlineStr">
        <is>
          <t>HEA 220</t>
        </is>
      </c>
      <c r="B27" s="9" t="n">
        <v>210</v>
      </c>
      <c r="C27" s="9" t="n">
        <v>220</v>
      </c>
      <c r="D27" s="9" t="n">
        <v>7</v>
      </c>
      <c r="E27" s="9" t="n">
        <v>11</v>
      </c>
      <c r="F27" s="9" t="n">
        <v>50.5</v>
      </c>
      <c r="G27" s="7" t="inlineStr">
        <is>
          <t>Μεσαίο βάθος</t>
        </is>
      </c>
    </row>
    <row r="28" ht="19" customHeight="1">
      <c r="A28" s="7" t="inlineStr">
        <is>
          <t>HEA 240</t>
        </is>
      </c>
      <c r="B28" s="9" t="n">
        <v>230</v>
      </c>
      <c r="C28" s="9" t="n">
        <v>240</v>
      </c>
      <c r="D28" s="9" t="n">
        <v>7.5</v>
      </c>
      <c r="E28" s="9" t="n">
        <v>12</v>
      </c>
      <c r="F28" s="9" t="n">
        <v>60.3</v>
      </c>
      <c r="G28" s="7" t="inlineStr">
        <is>
          <t>Μεσαίο βάθος</t>
        </is>
      </c>
    </row>
    <row r="29" ht="19" customHeight="1">
      <c r="A29" s="7" t="inlineStr">
        <is>
          <t>HEA 260</t>
        </is>
      </c>
      <c r="B29" s="9" t="n">
        <v>250</v>
      </c>
      <c r="C29" s="9" t="n">
        <v>260</v>
      </c>
      <c r="D29" s="9" t="n">
        <v>7.5</v>
      </c>
      <c r="E29" s="9" t="n">
        <v>12.5</v>
      </c>
      <c r="F29" s="9" t="n">
        <v>68.2</v>
      </c>
      <c r="G29" s="7" t="inlineStr">
        <is>
          <t>Μεγάλο βάθος</t>
        </is>
      </c>
    </row>
    <row r="30" ht="19" customHeight="1">
      <c r="A30" s="7" t="inlineStr">
        <is>
          <t>HEA 280</t>
        </is>
      </c>
      <c r="B30" s="9" t="n">
        <v>270</v>
      </c>
      <c r="C30" s="9" t="n">
        <v>280</v>
      </c>
      <c r="D30" s="9" t="n">
        <v>8</v>
      </c>
      <c r="E30" s="9" t="n">
        <v>13</v>
      </c>
      <c r="F30" s="9" t="n">
        <v>76.40000000000001</v>
      </c>
      <c r="G30" s="7" t="inlineStr">
        <is>
          <t>Μεγάλο βάθος</t>
        </is>
      </c>
    </row>
    <row r="31" ht="19" customHeight="1">
      <c r="A31" s="7" t="inlineStr">
        <is>
          <t>HEA 300</t>
        </is>
      </c>
      <c r="B31" s="9" t="n">
        <v>290</v>
      </c>
      <c r="C31" s="9" t="n">
        <v>300</v>
      </c>
      <c r="D31" s="9" t="n">
        <v>8.5</v>
      </c>
      <c r="E31" s="9" t="n">
        <v>14</v>
      </c>
      <c r="F31" s="9" t="n">
        <v>88.3</v>
      </c>
      <c r="G31" s="7" t="inlineStr">
        <is>
          <t>Βαριά αντιστήριξη</t>
        </is>
      </c>
    </row>
    <row r="32" ht="20" customHeight="1">
      <c r="A32" s="6" t="inlineStr">
        <is>
          <t>ΙΣΟΣΚΕΛΕΙΣ ΓΩΝΙΕΣ L (EN 10056) — ΓΩΝΙΕΣ ΣΤΗΡΙΞΗΣ &amp; ΣΥΝΔΕΣΕΙΣ</t>
        </is>
      </c>
    </row>
    <row r="33" ht="19" customHeight="1">
      <c r="A33" s="7" t="inlineStr">
        <is>
          <t>L 50x50x5</t>
        </is>
      </c>
      <c r="B33" s="9" t="n">
        <v>50</v>
      </c>
      <c r="C33" s="9" t="n">
        <v>50</v>
      </c>
      <c r="D33" s="9" t="n">
        <v>5</v>
      </c>
      <c r="E33" s="9" t="n">
        <v>5</v>
      </c>
      <c r="F33" s="9" t="n">
        <v>3.77</v>
      </c>
      <c r="G33" s="7" t="inlineStr">
        <is>
          <t>Ελαφριές συνδέσεις</t>
        </is>
      </c>
    </row>
    <row r="34" ht="19" customHeight="1">
      <c r="A34" s="7" t="inlineStr">
        <is>
          <t>L 60x60x6</t>
        </is>
      </c>
      <c r="B34" s="9" t="n">
        <v>60</v>
      </c>
      <c r="C34" s="9" t="n">
        <v>60</v>
      </c>
      <c r="D34" s="9" t="n">
        <v>6</v>
      </c>
      <c r="E34" s="9" t="n">
        <v>6</v>
      </c>
      <c r="F34" s="9" t="n">
        <v>5.42</v>
      </c>
      <c r="G34" s="7" t="inlineStr">
        <is>
          <t>Συνδέσεις λαμών</t>
        </is>
      </c>
    </row>
    <row r="35" ht="19" customHeight="1">
      <c r="A35" s="7" t="inlineStr">
        <is>
          <t>L 70x70x7</t>
        </is>
      </c>
      <c r="B35" s="9" t="n">
        <v>70</v>
      </c>
      <c r="C35" s="9" t="n">
        <v>70</v>
      </c>
      <c r="D35" s="9" t="n">
        <v>7</v>
      </c>
      <c r="E35" s="9" t="n">
        <v>7</v>
      </c>
      <c r="F35" s="9" t="n">
        <v>7.38</v>
      </c>
      <c r="G35" s="7" t="inlineStr">
        <is>
          <t>Συνδέσεις λαμών &amp; σχαρών</t>
        </is>
      </c>
    </row>
    <row r="36" ht="19" customHeight="1">
      <c r="A36" s="7" t="inlineStr">
        <is>
          <t>L 80x80x8</t>
        </is>
      </c>
      <c r="B36" s="9" t="n">
        <v>80</v>
      </c>
      <c r="C36" s="9" t="n">
        <v>80</v>
      </c>
      <c r="D36" s="9" t="n">
        <v>8</v>
      </c>
      <c r="E36" s="9" t="n">
        <v>8</v>
      </c>
      <c r="F36" s="9" t="n">
        <v>9.630000000000001</v>
      </c>
      <c r="G36" s="7" t="inlineStr">
        <is>
          <t>Βαριές συνδέσεις</t>
        </is>
      </c>
    </row>
    <row r="37" ht="19" customHeight="1">
      <c r="A37" s="7" t="inlineStr">
        <is>
          <t>L 100x100x10</t>
        </is>
      </c>
      <c r="B37" s="9" t="n">
        <v>100</v>
      </c>
      <c r="C37" s="9" t="n">
        <v>100</v>
      </c>
      <c r="D37" s="9" t="n">
        <v>10</v>
      </c>
      <c r="E37" s="9" t="n">
        <v>10</v>
      </c>
      <c r="F37" s="9" t="n">
        <v>15</v>
      </c>
      <c r="G37" s="7" t="inlineStr">
        <is>
          <t>Στηρίξεις κεφαλών</t>
        </is>
      </c>
    </row>
  </sheetData>
  <mergeCells count="4">
    <mergeCell ref="A32:G32"/>
    <mergeCell ref="A24:G24"/>
    <mergeCell ref="A16:G1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2026-10-14T06:10:08Z</dcterms:created>
  <dcterms:modified xmlns:dcterms="http://purl.org/dc/terms/" xmlns:xsi="http://www.w3.org/2001/XMLSchema-instance" xsi:type="dcterms:W3CDTF">2026-10-14T06:10:08Z</dcterms:modified>
</cp:coreProperties>
</file>