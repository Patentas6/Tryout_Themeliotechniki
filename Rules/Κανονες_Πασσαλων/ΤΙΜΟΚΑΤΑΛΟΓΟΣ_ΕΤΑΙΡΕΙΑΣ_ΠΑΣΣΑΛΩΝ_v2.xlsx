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ikth\Desktop\NIKOLAS TRY\Rules\Κανονες_Πασσαλων\"/>
    </mc:Choice>
  </mc:AlternateContent>
  <xr:revisionPtr revIDLastSave="0" documentId="13_ncr:1_{7DDC6C9D-98AC-47C0-B60C-D7625B0E99E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1_Τιμές_Εταιρείας" sheetId="1" r:id="rId1"/>
    <sheet name="2_Βάρη_Διατομών_Χάλυβα" sheetId="2" r:id="rId2"/>
    <sheet name="3_Υπολογιστές_Έργων_&amp;_Math" sheetId="3" r:id="rId3"/>
    <sheet name="4_Κανόνες_&amp;_Πολιτική" sheetId="4" r:id="rId4"/>
    <sheet name="5_Ανάλυση_Κόστους_Sleeves" sheetId="5" r:id="rId5"/>
    <sheet name="6_Ανάλυση_Σκυροδέματος_&amp;_TOD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6" l="1"/>
  <c r="B22" i="6"/>
  <c r="D20" i="6"/>
  <c r="B20" i="6"/>
  <c r="E15" i="6"/>
  <c r="E14" i="6"/>
  <c r="E13" i="6"/>
  <c r="C13" i="6"/>
  <c r="B13" i="6"/>
  <c r="E12" i="6"/>
  <c r="D8" i="6"/>
  <c r="E6" i="6"/>
  <c r="D6" i="6"/>
  <c r="A25" i="5"/>
  <c r="A22" i="5"/>
  <c r="A20" i="5"/>
  <c r="A18" i="5"/>
  <c r="G17" i="5"/>
  <c r="F17" i="5"/>
  <c r="E17" i="5"/>
  <c r="B17" i="5"/>
  <c r="F16" i="5"/>
  <c r="G16" i="5" s="1"/>
  <c r="E16" i="5"/>
  <c r="G15" i="5"/>
  <c r="E15" i="5"/>
  <c r="F14" i="5"/>
  <c r="E14" i="5"/>
  <c r="G13" i="5"/>
  <c r="E13" i="5"/>
  <c r="G12" i="5"/>
  <c r="E12" i="5"/>
  <c r="A10" i="5"/>
  <c r="F8" i="5"/>
  <c r="G8" i="5" s="1"/>
  <c r="F7" i="5"/>
  <c r="G7" i="5" s="1"/>
  <c r="F6" i="5"/>
  <c r="A1" i="5"/>
  <c r="B12" i="4"/>
  <c r="B10" i="4"/>
  <c r="B8" i="4"/>
  <c r="B7" i="4"/>
  <c r="D48" i="3"/>
  <c r="D43" i="3"/>
  <c r="B42" i="3"/>
  <c r="D36" i="3"/>
  <c r="B34" i="3"/>
  <c r="E34" i="3" s="1"/>
  <c r="D30" i="3"/>
  <c r="B30" i="3"/>
  <c r="D23" i="3"/>
  <c r="D22" i="3"/>
  <c r="B21" i="3"/>
  <c r="D19" i="3"/>
  <c r="B19" i="3"/>
  <c r="E19" i="3" s="1"/>
  <c r="B17" i="3"/>
  <c r="B18" i="3" s="1"/>
  <c r="C14" i="2"/>
  <c r="D14" i="2" s="1"/>
  <c r="C13" i="2"/>
  <c r="D13" i="2" s="1"/>
  <c r="C12" i="2"/>
  <c r="D12" i="2" s="1"/>
  <c r="C11" i="2"/>
  <c r="D11" i="2" s="1"/>
  <c r="C10" i="2"/>
  <c r="D10" i="2" s="1"/>
  <c r="C9" i="2"/>
  <c r="D9" i="2" s="1"/>
  <c r="C8" i="2"/>
  <c r="D8" i="2" s="1"/>
  <c r="C7" i="2"/>
  <c r="D7" i="2" s="1"/>
  <c r="C6" i="2"/>
  <c r="D6" i="2" s="1"/>
  <c r="C5" i="2"/>
  <c r="D5" i="2" s="1"/>
  <c r="C4" i="2"/>
  <c r="D4" i="2" s="1"/>
  <c r="F49" i="1"/>
  <c r="D48" i="1"/>
  <c r="F48" i="1" s="1"/>
  <c r="D47" i="1"/>
  <c r="F47" i="1" s="1"/>
  <c r="D46" i="1"/>
  <c r="D45" i="1"/>
  <c r="F45" i="1" s="1"/>
  <c r="D44" i="1"/>
  <c r="D42" i="1"/>
  <c r="D41" i="1"/>
  <c r="F41" i="1" s="1"/>
  <c r="D40" i="1"/>
  <c r="F40" i="1" s="1"/>
  <c r="D39" i="1"/>
  <c r="F39" i="1" s="1"/>
  <c r="F38" i="1"/>
  <c r="D38" i="1"/>
  <c r="D37" i="1"/>
  <c r="F37" i="1" s="1"/>
  <c r="D36" i="1"/>
  <c r="F36" i="1" s="1"/>
  <c r="D35" i="1"/>
  <c r="D34" i="1"/>
  <c r="F31" i="1"/>
  <c r="F30" i="1"/>
  <c r="F29" i="1"/>
  <c r="D28" i="1"/>
  <c r="F27" i="1"/>
  <c r="F26" i="1"/>
  <c r="F23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D6" i="1"/>
  <c r="F6" i="1" s="1"/>
  <c r="D5" i="1"/>
  <c r="B11" i="4" l="1"/>
  <c r="D43" i="1"/>
  <c r="F46" i="1"/>
  <c r="F44" i="1"/>
  <c r="F18" i="5"/>
  <c r="A24" i="5"/>
  <c r="G14" i="5"/>
  <c r="G6" i="5"/>
  <c r="E42" i="3"/>
  <c r="B47" i="3"/>
  <c r="B44" i="3"/>
  <c r="E44" i="3" s="1"/>
  <c r="B45" i="3"/>
  <c r="B43" i="3"/>
  <c r="E43" i="3" s="1"/>
  <c r="B31" i="3"/>
  <c r="E30" i="3"/>
  <c r="B22" i="3"/>
  <c r="E21" i="3"/>
  <c r="E18" i="3"/>
  <c r="B20" i="3"/>
  <c r="E20" i="3" s="1"/>
  <c r="F43" i="1"/>
  <c r="F42" i="1"/>
  <c r="F35" i="1"/>
  <c r="F34" i="1"/>
  <c r="F28" i="1"/>
  <c r="F8" i="3"/>
  <c r="D8" i="3"/>
  <c r="A8" i="3"/>
  <c r="B8" i="3"/>
  <c r="B5" i="4"/>
  <c r="B15" i="4"/>
  <c r="F5" i="1"/>
  <c r="F7" i="3"/>
  <c r="D9" i="3"/>
  <c r="E8" i="3" l="1"/>
  <c r="B9" i="3"/>
  <c r="E47" i="3"/>
  <c r="B48" i="3"/>
  <c r="E48" i="3" s="1"/>
  <c r="E45" i="3"/>
  <c r="E31" i="3"/>
  <c r="B32" i="3"/>
  <c r="E22" i="3"/>
  <c r="B23" i="3"/>
  <c r="E23" i="3" s="1"/>
  <c r="D22" i="1"/>
  <c r="B46" i="3" s="1"/>
  <c r="E46" i="3" s="1"/>
  <c r="G18" i="5"/>
  <c r="A26" i="5"/>
  <c r="E9" i="3" l="1"/>
  <c r="B11" i="3"/>
  <c r="E11" i="3" s="1"/>
  <c r="E32" i="3"/>
  <c r="B35" i="3"/>
  <c r="F22" i="1"/>
  <c r="D46" i="3"/>
  <c r="E35" i="3" l="1"/>
  <c r="B36" i="3"/>
  <c r="E36" i="3" s="1"/>
</calcChain>
</file>

<file path=xl/sharedStrings.xml><?xml version="1.0" encoding="utf-8"?>
<sst xmlns="http://schemas.openxmlformats.org/spreadsheetml/2006/main" count="492" uniqueCount="356">
  <si>
    <t>ΚΕΝΤΡΙΚΟΣ ΤΙΜΟΚΑΤΑΛΟΓΟΣ ΕΤΑΙΡΕΙΑΣ ΠΑΣΣΑΛΩΝ — ΕΔΡΑ: ΑΓΙΟΣ ΣΥΛΑΣ, ΛΕΜΕΣΟΣ</t>
  </si>
  <si>
    <t>ΚΙΤΡΙΝΟ = Τιμές μονάδας που αλλάζουν με την αγορά  |  ΛΕΥΚΟ = Φυσικές σταθερές &amp; τύποι (δεν αγγίζονται)</t>
  </si>
  <si>
    <t>Α/Α</t>
  </si>
  <si>
    <t>Πυλώνας Κόστους</t>
  </si>
  <si>
    <t>Είδος Υλικού / Εργασίας</t>
  </si>
  <si>
    <t>Τιμή Μονάδας (€)
[ΚΙΤΡΙΝΟ = ΑΛΛΑΖΕΙ]</t>
  </si>
  <si>
    <t>Μονάδα</t>
  </si>
  <si>
    <t>Κανόνας &amp; Χρήση στην Κοστολόγηση</t>
  </si>
  <si>
    <t>1</t>
  </si>
  <si>
    <t>1. Μετακινήσεις</t>
  </si>
  <si>
    <t>Μετακίνηση &amp; Εγκατάσταση Γεωτρύπανου — Βασική τιμή (Εντός Λεμεσού)</t>
  </si>
  <si>
    <t>€/μετακίνηση</t>
  </si>
  <si>
    <t>2</t>
  </si>
  <si>
    <t>Επιβάρυνση μετακίνησης ανά 10 km (εκτός Λεμεσού)</t>
  </si>
  <si>
    <t>€/10 km</t>
  </si>
  <si>
    <t>3</t>
  </si>
  <si>
    <t>2. Τρύπημα</t>
  </si>
  <si>
    <t>Τρύπημα / Διάτρηση Πασσάλου Ø400mm</t>
  </si>
  <si>
    <t>€/m</t>
  </si>
  <si>
    <t>4</t>
  </si>
  <si>
    <t>Τρύπημα / Διάτρηση Πασσάλου Ø500mm</t>
  </si>
  <si>
    <t>5</t>
  </si>
  <si>
    <t>Τρύπημα / Διάτρηση Πασσάλου Ø600mm</t>
  </si>
  <si>
    <t>6</t>
  </si>
  <si>
    <t>Τρύπημα / Διάτρηση Πασσάλου Ø700mm</t>
  </si>
  <si>
    <t>7</t>
  </si>
  <si>
    <t>Τρύπημα / Διάτρηση Πασσάλου Ø800mm</t>
  </si>
  <si>
    <t>8</t>
  </si>
  <si>
    <t>Τρύπημα / Διάτρηση Πασσάλου Ø900mm</t>
  </si>
  <si>
    <t>9</t>
  </si>
  <si>
    <t>Τρύπημα / Διάτρηση Πασσάλου Ø1000mm</t>
  </si>
  <si>
    <t>10</t>
  </si>
  <si>
    <t>Τρύπημα / Διάτρηση Πασσάλου Ø1200mm</t>
  </si>
  <si>
    <t>11</t>
  </si>
  <si>
    <t>Προσαύξηση διάτρησης σε σκληρό βράχο / ειδικές συνθήκες</t>
  </si>
  <si>
    <t>12</t>
  </si>
  <si>
    <t>3. Σκυροδέτηση</t>
  </si>
  <si>
    <t>Σκυρόδεμα C25/30 — Αγορά κουγκριού</t>
  </si>
  <si>
    <t>€/m³</t>
  </si>
  <si>
    <t>13</t>
  </si>
  <si>
    <t>Σκυρόδεμα C30/37 — Αγορά κουγκριού</t>
  </si>
  <si>
    <t>14</t>
  </si>
  <si>
    <t>Τοποθέτηση / Άντληση Κανονικού Σκυροδέματος (προστίθεται στην τιμή αγοράς)</t>
  </si>
  <si>
    <t>15</t>
  </si>
  <si>
    <t>4. Χάλυβας</t>
  </si>
  <si>
    <t>Σίδηρος κάθετων ράβδων κλωβού (Αγορά + Κατασκευή + Τοποθέτηση)</t>
  </si>
  <si>
    <t>€/kg</t>
  </si>
  <si>
    <t>16</t>
  </si>
  <si>
    <t>Σίδηρος σούστας (σπείρα Y10) — Αγορά + Τοποθέτηση</t>
  </si>
  <si>
    <t>17</t>
  </si>
  <si>
    <t>Πλαστικοί Αποστάτες Κλωβού (Cover Spacers / Wheels)</t>
  </si>
  <si>
    <t>€/τεμ.</t>
  </si>
  <si>
    <t>18</t>
  </si>
  <si>
    <t>5. Ειδικές Εργασίες</t>
  </si>
  <si>
    <t>Sleeves Προστασίας Starter — Βασική αναφορά (βλ. Ενότητα Γ &amp; Φύλλο 5_Ανάλυση_Κόστους_Sleeves)</t>
  </si>
  <si>
    <t>19</t>
  </si>
  <si>
    <t>Κεφαλοκοπή Πασσάλων / Pile Breaking (Σπάσιμο)</t>
  </si>
  <si>
    <t>€/πάσσαλο</t>
  </si>
  <si>
    <t>Β. ΦΥΣΙΚΕΣ ΣΤΑΘΕΡΕΣ &amp; ΠΑΓΙΟΙ ΚΑΝΟΝΕΣ (ΛΕΥΚΟ — ΔΕΝ ΑΛΛΑΖΟΥΝ ΠΟΤΕ)</t>
  </si>
  <si>
    <t>—</t>
  </si>
  <si>
    <t>Σταθερά</t>
  </si>
  <si>
    <t>Πυκνότητα χάλυβα (ρ)</t>
  </si>
  <si>
    <t>kg/m³</t>
  </si>
  <si>
    <t>Πάγια απώλεια / υπερκατανάλωση σκυροδέματος (+10%)</t>
  </si>
  <si>
    <t>%</t>
  </si>
  <si>
    <t>Βήμα χιλιομετρικής ζώνης εκτός Λεμεσού (ανά 10 km)</t>
  </si>
  <si>
    <t>km</t>
  </si>
  <si>
    <t>Μέγιστο εμπορικό μήκος βέργας</t>
  </si>
  <si>
    <t>m</t>
  </si>
  <si>
    <t>Συντελεστής μήκους μάτισης ράβδων (Lapping)</t>
  </si>
  <si>
    <t>× Φ</t>
  </si>
  <si>
    <t>Μέγιστο ύψος υπερκάλυψης σκυροδέματος (+2m)</t>
  </si>
  <si>
    <t>Γ. ΠΑΡΑΜΕΤΡΟΙ SLEEVES (ΣΩΛΗΝΕΣ, ΑΤΟΜΑ, ΛΕΠΤΑ, ΕΡΓΑΤΟΩΡΑ, ΤΕΛΛΑ, ×1,30), ΣΥΝΟΔΕΙΑΣ ΑΣΤΥΝΟΜΙΑΣ &amp; ΧΩΜΑΤΟΣ (100% ΔΥΝΑΜΙΚΕΣ)</t>
  </si>
  <si>
    <t>18α</t>
  </si>
  <si>
    <t>5. Sleeves (Υλικό)</t>
  </si>
  <si>
    <t>Sleeve Φ32 (για σίδερο έως Φ20) — Εμπορικό μήκος σωλήνα</t>
  </si>
  <si>
    <t>18β</t>
  </si>
  <si>
    <t>Sleeve Φ32 (για σίδερο έως Φ20) — Τιμή σωλήνα</t>
  </si>
  <si>
    <t>€/σωλήνα</t>
  </si>
  <si>
    <t>18γ</t>
  </si>
  <si>
    <t>Sleeve Φ38 (για σίδερο Φ22–Φ25) — Εμπορικό μήκος σωλήνα</t>
  </si>
  <si>
    <t>18δ</t>
  </si>
  <si>
    <t>Sleeve Φ38 (για σίδερο Φ22–Φ25) — Τιμή σωλήνα</t>
  </si>
  <si>
    <t>18ε</t>
  </si>
  <si>
    <t>Sleeve Φ50 (για σίδερο Φ26–Φ32) — Εμπορικό μήκος σωλήνα</t>
  </si>
  <si>
    <t>18στ</t>
  </si>
  <si>
    <t>Sleeve Φ50 (για σίδερο Φ26–Φ32) — Τιμή σωλήνα</t>
  </si>
  <si>
    <t>18ζ1</t>
  </si>
  <si>
    <t>5. Sleeves (Εργατικά)</t>
  </si>
  <si>
    <t>Sleeve Εργατικά — Κόστος εργατοώρας ανά άτομο</t>
  </si>
  <si>
    <t>€/ώρα</t>
  </si>
  <si>
    <t>18ζ2</t>
  </si>
  <si>
    <t>Sleeve Εργατικά — Μέγεθος συνεργείου τοποθέτησης (άτομα)</t>
  </si>
  <si>
    <t>άτομα</t>
  </si>
  <si>
    <t>18ζ3</t>
  </si>
  <si>
    <t>Sleeve Εργατικά — Χρόνος τοποθέτησης ανά σίδερο (λεπτά)</t>
  </si>
  <si>
    <t>λεπτά</t>
  </si>
  <si>
    <t>18ζ</t>
  </si>
  <si>
    <t>Εργατικά τοποθέτησης Sleeve ανά σίδερο</t>
  </si>
  <si>
    <t>€/σίδερο</t>
  </si>
  <si>
    <t>18η1</t>
  </si>
  <si>
    <t>5. Sleeves (Τέλλα)</t>
  </si>
  <si>
    <t>Sleeve Τέλλα — Κόστος αγοράς ρολού Τέλλας</t>
  </si>
  <si>
    <t>€/ρολό</t>
  </si>
  <si>
    <t>18η2</t>
  </si>
  <si>
    <t>Sleeve Τέλλα — Αριθμός σιδήρων ανά ρολό Τέλλας</t>
  </si>
  <si>
    <t>σίδερα/ρολό</t>
  </si>
  <si>
    <t>18η</t>
  </si>
  <si>
    <t>Κόστος Τέλλας (Μονωτικής Ταινίας) ανά σίδερο</t>
  </si>
  <si>
    <t>18θ</t>
  </si>
  <si>
    <t>5. Sleeves (Overhead)</t>
  </si>
  <si>
    <t>Συντελεστής Overhead, Profit &amp; Damages στα Sleeves</t>
  </si>
  <si>
    <t>×</t>
  </si>
  <si>
    <t>1γ</t>
  </si>
  <si>
    <t>Συνοδεία Αστυνομίας για μεταφορά γεωτρύπανου (Πάσσαλοι Θεμελίωσης / Νέφκες)</t>
  </si>
  <si>
    <t>€/km</t>
  </si>
  <si>
    <t>19α</t>
  </si>
  <si>
    <t>7. Χωματουργικά</t>
  </si>
  <si>
    <t>Απομάκρυνση εκσκαπτόμενου χώματος &amp; Λατομικά τέλη (ανά m³ εκσκαφής)</t>
  </si>
  <si>
    <t>ΠΙΝΑΚΑΣ ΜΟΝΑΔΙΑΙΩΝ ΒΑΡΩΝ ΧΑΛΥΒΑ ΟΠΛΙΣΜΟΥ (B500C) — ρ = 7.850 kg/m³</t>
  </si>
  <si>
    <t>Διατομή (Φ)</t>
  </si>
  <si>
    <t>Ονομαστική Διάμετρος (mm)</t>
  </si>
  <si>
    <t>Εμβαδόν Διατομής (mm²)</t>
  </si>
  <si>
    <t>Μοναδιαίο Βάρος (kg/m)
[Τύπος: π×d²/4 × 7850]</t>
  </si>
  <si>
    <t>Τυπική Χρήση σε Πασσάλους</t>
  </si>
  <si>
    <t>Y6</t>
  </si>
  <si>
    <t>Ελαφριοί συνδετήρες / βοηθητικός</t>
  </si>
  <si>
    <t>Y8</t>
  </si>
  <si>
    <t>Σούστα μικρών πασσάλων Ø400</t>
  </si>
  <si>
    <t>Y10</t>
  </si>
  <si>
    <t>Βασική σούστα (σπείρα) πασσάλων Ø600-Ø800</t>
  </si>
  <si>
    <t>Y12</t>
  </si>
  <si>
    <t>Σούστα βαρέων πασσάλων / ενισχύσεις</t>
  </si>
  <si>
    <t>Y14</t>
  </si>
  <si>
    <t>Κάθετος οπλισμός μικρών φορτίων</t>
  </si>
  <si>
    <t>Y16</t>
  </si>
  <si>
    <t>Κάθετος οπλισμός πασσάλων Ø500-Ø600</t>
  </si>
  <si>
    <t>Y20</t>
  </si>
  <si>
    <t>Κύριος οπλισμός τυπικού σχεδίου (Ø600 12Y20)</t>
  </si>
  <si>
    <t>Y25</t>
  </si>
  <si>
    <t>Κύριος οπλισμός βαρέων πασσάλων Ø800-Ø1000</t>
  </si>
  <si>
    <t>Y28</t>
  </si>
  <si>
    <t>Κύριος οπλισμός υψηλών ροπών κάμψης</t>
  </si>
  <si>
    <t>Y32</t>
  </si>
  <si>
    <t>Ειδικοί πάσσαλοι αντιστήριξης / βαθιές εκσκαφές</t>
  </si>
  <si>
    <t>Y40</t>
  </si>
  <si>
    <t>Βαριά τεχνικά έργα / γέφυρες</t>
  </si>
  <si>
    <t>ΕΡΓΑΛΕΙΑ ΥΠΟΛΟΓΙΣΜΟΥ ΕΡΓΩΝ ΠΑΣΣΑΛΩΝ &amp; ΕΠΕΞΗΓΗΣΗ ΜΑΘΗΜΑΤΙΚΩΝ (SANDBOX)</t>
  </si>
  <si>
    <t>ΓΑΛΑΖΙΑ ΚΕΛΙΑ = Εισαγωγή στοιχείων από τη μελέτη μηχανικού  |  Οι τιμές μονάδας αντλούνται αυτόματα από τον Τιμοκατάλογο (Φύλλο 1)</t>
  </si>
  <si>
    <t>1. ΥΠΟΛΟΓΙΣΤΗΣ ΤΙΜΗΣ ΜΕΤΑΚΙΝΗΣΗΣ ΓΕΩΤΡΥΠΑΝΟΥ ΑΝΑ ΑΠΟΣΤΑΣΗ ΕΡΓΟΤΑΞΙΟΥ</t>
  </si>
  <si>
    <t>Εισάγετε τη χιλιομετρική απόσταση του έργου από την έδρα (Άγιος Συλάς, Σπύρου Κυπριανού 32):</t>
  </si>
  <si>
    <t>Παράμετρος Έργου</t>
  </si>
  <si>
    <t>Τιμή / Εισαγωγή</t>
  </si>
  <si>
    <t>Τύπος Υπολογισμού</t>
  </si>
  <si>
    <t>Αποτέλεσμα</t>
  </si>
  <si>
    <t>Παρατηρήσεις</t>
  </si>
  <si>
    <t>Χιλιόμετρα εκτός Λεμεσού (0 km αν είναι εντός Λεμεσού)</t>
  </si>
  <si>
    <t>Εισαγωγή από μελέτη / Google Maps</t>
  </si>
  <si>
    <t>ζώνες</t>
  </si>
  <si>
    <t>Τελική Τιμή Μετακίνησης Γεωτρύπανου για το Έργο</t>
  </si>
  <si>
    <t>€ / μετακίνηση</t>
  </si>
  <si>
    <t>Εφάπαξ ποσό μετακίνησης εργοταξίου</t>
  </si>
  <si>
    <t>Αριθμός Πασσάλων Έργου</t>
  </si>
  <si>
    <t>τεμ.</t>
  </si>
  <si>
    <t>Εισαγωγή από μελέτη / κάτοψη</t>
  </si>
  <si>
    <t>Συνολικός αριθμός πασσάλων</t>
  </si>
  <si>
    <t>Επιμερισμένη Τιμή Μετακίνησης ανά Πάσσαλο</t>
  </si>
  <si>
    <t>€ / πάσσαλο</t>
  </si>
  <si>
    <t>Συνολική Μετακίνηση / Αριθμός Πασσάλων</t>
  </si>
  <si>
    <t>Χρησιμοποιείται στην κοστολόγηση ανά πάσσαλο</t>
  </si>
  <si>
    <t>2. ΥΠΟΛΟΓΙΣΤΗΣ ΤΡΥΠΗΜΑΤΟΣ &amp; ΣΚΥΡΟΔΕΜΑΤΟΣ ΠΑΣΣΑΛΩΝ (GEOMETRY &amp; CONCRETE)</t>
  </si>
  <si>
    <t>Διάμετρος Τρύπας Πασσάλου (D)</t>
  </si>
  <si>
    <t>mm</t>
  </si>
  <si>
    <t>Εισαγωγή από μελέτη (τομή)</t>
  </si>
  <si>
    <t>Διάμετρος γεώτρησης</t>
  </si>
  <si>
    <t>Βάθος Διάτρησης στο Έδαφος (L)</t>
  </si>
  <si>
    <t>Εισαγωγή από μελέτη</t>
  </si>
  <si>
    <t>Μήκος πασσάλου στο έδαφος</t>
  </si>
  <si>
    <t>Αριθμός Πασσάλων</t>
  </si>
  <si>
    <t>Σύνδεση με υπολογιστή 1</t>
  </si>
  <si>
    <t>Πλήθος πασσάλων</t>
  </si>
  <si>
    <t>Συνολικά Τρέχοντα Μέτρα Τρυπήματος</t>
  </si>
  <si>
    <t>Βάθος L × Αριθμός Πασσάλων</t>
  </si>
  <si>
    <t>Σύνολο διάτρησης έργου</t>
  </si>
  <si>
    <t>Κόστος Τρυπήματος ανά Τρέχον Μέτρο</t>
  </si>
  <si>
    <t>€ / m</t>
  </si>
  <si>
    <t>Τιμή μονάδας διάτρησης</t>
  </si>
  <si>
    <t>ΣΥΝΟΛΙΚΟ ΚΟΣΤΟΣ ΤΡΥΠΗΜΑΤΟΣ ΕΡΓΟΥ</t>
  </si>
  <si>
    <t>€</t>
  </si>
  <si>
    <t>Συνολικά μέτρα × Τιμή/m</t>
  </si>
  <si>
    <t>Κόστος γεώτρησης</t>
  </si>
  <si>
    <t>Γεωμετρικός Όγκος Εκσκαφής ανά Πάσσαλο</t>
  </si>
  <si>
    <t>m³</t>
  </si>
  <si>
    <t>(π × D² / 4) × L</t>
  </si>
  <si>
    <t>Θεωρητικός όγκος κυλίνδρου</t>
  </si>
  <si>
    <t>Όγκος Σκυροδέματος ανά Πάσσαλο (+10% απώλεια)</t>
  </si>
  <si>
    <t>Κουγκρί παραγγελίας ανά πάσσαλο</t>
  </si>
  <si>
    <t>ΣΥΝΟΛΙΚΟ ΚΟΣΤΟΣ ΣΚΥΡΟΔΕΜΑΤΟΣ ΕΡΓΟΥ</t>
  </si>
  <si>
    <t>Κόστος κουγκριού C30/37</t>
  </si>
  <si>
    <t>3. ΥΠΟΛΟΓΙΣΤΗΣ ΒΑΡΟΥΣ &amp; ΚΟΣΤΟΥΣ ΚΛΩΒΟΥ ΟΠΛΙΣΜΟΥ (REBAR CAGE CALCULATOR)</t>
  </si>
  <si>
    <t>Κάθετες Ράβδοι — Πλήθος (Nvert)</t>
  </si>
  <si>
    <t>Εισαγωγή από σχέδιο</t>
  </si>
  <si>
    <t>Περιμετρικές ράβδοι</t>
  </si>
  <si>
    <t>Κάθετες Ράβδοι — Διάμετρος (Yvert)</t>
  </si>
  <si>
    <t>Διάμετρος κυρίως οπλισμού</t>
  </si>
  <si>
    <t>Starter (Αναμονή) + Γωνίες (Πάνω &amp; Πυθμένα)</t>
  </si>
  <si>
    <t>0.50m Starter + 0.50m Top + 0.00m Bot</t>
  </si>
  <si>
    <t>Πρόσθετα μήκη κάθετης ράβδου</t>
  </si>
  <si>
    <t>Απαίτηση Μάτισης (αν L_bar &gt; 12m)</t>
  </si>
  <si>
    <t>0 = ενιαία βέργα, 1.00m = μάτιση</t>
  </si>
  <si>
    <t>Τελικό Μήκος Κάθετης Ράβδου (L_bar)</t>
  </si>
  <si>
    <t>Βάθος + Αναμονές/Γωνίες + Μάτιση</t>
  </si>
  <si>
    <t>Ανεπτυγμένο μήκος ράβδου</t>
  </si>
  <si>
    <t>Βάρος Κάθετων Ράβδων ανά Πάσσαλο</t>
  </si>
  <si>
    <t>kg</t>
  </si>
  <si>
    <t>N_vert × L_bar × kg/m</t>
  </si>
  <si>
    <t>Κιλά κάθετου οπλισμού</t>
  </si>
  <si>
    <t>Σούστα (Σπείρα) — Διάμετρος Y &amp; Βήμα s</t>
  </si>
  <si>
    <t>Βήμα s = 150 mm, Cover = 75 mm</t>
  </si>
  <si>
    <t>Y10 ανά 15cm</t>
  </si>
  <si>
    <t>Βάρος Σούστας ανά Πάσσαλο</t>
  </si>
  <si>
    <t>(ROUNDUP(L/s, 0) + 1) × Περίμετρος × kg/m</t>
  </si>
  <si>
    <t>Κιλά σούστας</t>
  </si>
  <si>
    <t>ΣΥΝΟΛΙΚΟ ΒΑΡΟΣ ΧΑΛΥΒΑ ΑΝΑ ΠΑΣΣΑΛΟ</t>
  </si>
  <si>
    <t>Κάθετες + Σούστα</t>
  </si>
  <si>
    <t>Συνολικά κιλά ανά πάσσαλο</t>
  </si>
  <si>
    <t>ΣΥΝΟΛΙΚΟ ΚΟΣΤΟΣ ΧΑΛΥΒΑ ΕΡΓΟΥ</t>
  </si>
  <si>
    <t>Συνολικό κόστος σιδήρου B500C</t>
  </si>
  <si>
    <t>4. ΥΠΟΛΟΓΙΣΤΗΣ ΥΨΟΜΕΤΡΩΝ, SLEEVES &amp; ΚΕΦΑΛΟΚΟΠΗΣ (ELEVATION, SLEEVES &amp; BREAKING)</t>
  </si>
  <si>
    <t>Στάθμη Πλατφόρμας Γεωτρύπανου (WPL)</t>
  </si>
  <si>
    <t>Εισαγωγή από τοπογραφικό σχεδίου</t>
  </si>
  <si>
    <t>Στάθμη έναρξης διάτρησης</t>
  </si>
  <si>
    <t>Στάθμη Αποκοπής Πασσάλου (Cut-Off Level)</t>
  </si>
  <si>
    <t>Εισαγωγή από ξυλότυπο θεμελίωσης</t>
  </si>
  <si>
    <t>Στάθμη κεφαλής πασσάλου</t>
  </si>
  <si>
    <t>Διαφορά Υψομέτρου Τρυπήματος - Cut-off (Δh)</t>
  </si>
  <si>
    <t>WPL − Cut-off Level (Κενή Διάτρηση)</t>
  </si>
  <si>
    <t>ΚΟΚΚΙΝΟΣ ΣΥΝΑΓΕΡΜΟΣ αν δεν δίνεται!</t>
  </si>
  <si>
    <t>Ύψος Υπερκάλυψης Σκυροδέματος (Overconcreting)</t>
  </si>
  <si>
    <t>Κανόνας υγιούς σκυροδέματος κεφαλής</t>
  </si>
  <si>
    <t>Συνολικό Βάθος Διάτρησης ανά Πάσσαλο (L_drill)</t>
  </si>
  <si>
    <t>L_pile + Δh</t>
  </si>
  <si>
    <t>Συνολικό μήκος τρυπήματος</t>
  </si>
  <si>
    <t>Sleeves Προστασίας Starter ανά Πάσσαλο</t>
  </si>
  <si>
    <t>τεμ./πάσσαλο</t>
  </si>
  <si>
    <t>1 sleeve ανά κάθετη ράβδο αν Δh &gt; 0</t>
  </si>
  <si>
    <t>Προστασία αναμονών από το σκυρόδεμα</t>
  </si>
  <si>
    <t>Κόστος Sleeves ανά Πάσσαλο</t>
  </si>
  <si>
    <t>Κόστος τοποθέτησης sleeves</t>
  </si>
  <si>
    <t>Κεφαλοκοπή / Pile Breaking ανά Πάσσαλο</t>
  </si>
  <si>
    <t>1 σπάσιμο κεφαλής ανά πάσσαλο αν Δh &gt; 0</t>
  </si>
  <si>
    <t>Καθαίρεση overconcreting σκυροδέματος</t>
  </si>
  <si>
    <t>Κόστος Κεφαλοκοπής ανά Πάσσαλο</t>
  </si>
  <si>
    <t>Κόστος καθαίρεσης υπερύψωσης</t>
  </si>
  <si>
    <t>ΚΑΝΟΝΕΣ ΤΙΜΟΚΑΤΑΛΟΓΟΥ ΠΑΣΣΑΛΩΝ &amp; ΠΟΛΙΤΙΚΗ ΑΠΟΥΣΙΑΣ ΥΛΙΚΟΥ (MISSING MATERIAL POLICY)</t>
  </si>
  <si>
    <t>Θέμα / Πεδίο</t>
  </si>
  <si>
    <t>Κανόνας Λειτουργίας &amp; Οδηγία για το AI</t>
  </si>
  <si>
    <t>Κανόνας Χρωματισμού</t>
  </si>
  <si>
    <t>• ΚΙΤΡΙΝΟ (#FFF2CC): Τιμές μονάδας που αλλάζουν με τους καιρούς / συνθήκες αγοράς.
• ΛΕΥΚΟ (Χωρίς γέμισμα): Φυσικές σταθερές (7850 kg/m³, π), γεωμετρία και δυναμικοί τύποι.
• ΓΑΛΑΖΙΟ (#DDEBF7): Εισαγωγή στοιχείων ανά έργο στους διαδραστικούς υπολογιστές.
• ΚΟΚΚΙΝΟ (#FEE2E2): Συναγερμός ελλιπών δεδομένων (Missing Elevation / Cut-Off Gap).</t>
  </si>
  <si>
    <t>Κανόνας Μετακινήσεων &amp; Επιμερισμού</t>
  </si>
  <si>
    <t>Κανόνας Τρυπήματος (Διάτρησης)</t>
  </si>
  <si>
    <t>Το τρύπημα τιμολογείται ΑΠΟΚΛΕΙΣΤΙΚΑ σε τρέχοντα μέτρα (m) βάσει της ονομαστικής διαμέτρου της τρύπας (Ø400, Ø500, Ø600, Ø700, Ø800, Ø900, Ø1000, Ø1200mm).
Εάν υπάρχει διαφορά στάθμης πλατφόρμας έναντι cut-off (Δh &gt; 0), τα τρέχοντα μέτρα ισούνται με το συνολικό βάθος L_drill = L_pile + Δh.
Σε περίπτωση σκληρού βράχου, εφαρμόζεται πρόσθετη χρέωση ανά μέτρο.</t>
  </si>
  <si>
    <t>Κανόνας Σκυροδέματος (Κουγκρί)</t>
  </si>
  <si>
    <t>Κανόνας Χάλυβα Οπλισμού (Κλωβοί B500C)</t>
  </si>
  <si>
    <t>Κανόνας Στάθμης Cut-off &amp; Υψομετρικής Διαφοράς (Κενή Διάτρηση / Empty Bore)</t>
  </si>
  <si>
    <t>Όταν η διάτρηση ξεκινά από στάθμη πλατφόρμας (WPL) υψηλότερη από τη στάθμη αποκοπής (Cut-off Level), υπάρχει υψομετρική διαφορά Δh = WPL − Cut-off.
Σε αυτή την περίπτωση, το τρύπημα αυξάνεται κατά Δh (L_drill = L_pile + Δh), καθιστώντας τον όγκο διάτρησης μεγαλύτερο από τον όγκο σκυροδέτησης.</t>
  </si>
  <si>
    <t>Κανόνας Υπερκάλυψης Σκυροδέματος (+2.00m Overconcreting)</t>
  </si>
  <si>
    <t>Κανόνας Sleeves Αναμονών Starter (Debonding Sleeves)</t>
  </si>
  <si>
    <t>Κανόνας Κεφαλοκοπής Πασσάλου (Pile Breaking / Cropping)</t>
  </si>
  <si>
    <t>ΚΑΝΟΝΑΣ ΚΟΚΚΙΝΟΥ ΣΥΝΑΓΕΡΜΟΥ (RED ALERT ΣΕ ΕΛΛΕΙΨΗ ΥΨΟΜΕΤΡΩΝ ΣΧΕΔΙΟΥ)</t>
  </si>
  <si>
    <t>Πολλές φορές από τα σχέδια δεν φαίνεται η υψομετρική διαφορά τρυπήματος - cut-off:
-&gt; Το AI θέτει προσωρινά Δh = 0.00m, αλλά υποχρεούται να το χρωματίσει με ΚΟΚΚΙΝΟ ΣΥΝΑΓΕΡΜΟ (#FEE2E2 / #991B1B) στο Φύλλο 2 και να εμφανίσει κόκκινο warning banner στην κορυφή του Φύλλου 1.
-&gt; ΑΠΑΓΟΡΕΥΕΤΑΙ ΑΥΣΤΗΡΑ η αποστολή προσφοράς στον πελάτη χωρίς ρητή ειδοποίηση ότι εκκρεμεί επιβεβαίωση της στάθμης εργασίας, ώστε να μην υποτιμηθούν τα μέτρα διάτρησης, τα sleeves και η κεφαλοκοπή!</t>
  </si>
  <si>
    <t>ΚΑΝΟΝΑΣ ΑΠΟΥΣΙΑΣ ΥΛΙΚΟΥ (ΥΠΟΧΡΕΩΤΙΚΟ ΜΗΝΥΜΑ AI)</t>
  </si>
  <si>
    <t>Εάν ο μελετητής ζητήσει διάμετρο πασσάλου ή υλικό που ΔΕΝ υπάρχει στον παρόντα τιμοκατάλογο πασσάλων (π.χ. διάμετρος Ø1400mm, ειδική κατηγορία σκυροδέματος C40/50, διατομή εκτός πίνακα Y6–Y40, ανοξείδωτο χάλυβα, ειδικούς αποστάτες):
-&gt; Το σύστημα AI ΑΠΑΓΟΡΕΥΕΤΑΙ ΑΥΣΤΗΡΑ να μαντέψει ή να εφεύρει τιμή!
-&gt; Το σύστημα ΣΤΑΜΑΤΑΕΙ και εμφανίζει στον χρήστη ρητά το μήνυμα:
   «Δεν υπάρχει αυτό το είδος ([Όνομα Είδους]) στον τιμοκατάλογο πασσάλων. Καθοδήγησέ με με τιμή να ξέρω.»
-&gt; Μόνο αφού ο χρήστης δώσει την τιμή, η κοστολόγηση προχωρά.</t>
  </si>
  <si>
    <t>Κανόνας Απόστασης (Έδρα Άγιος Συλάς)</t>
  </si>
  <si>
    <t>ΚΙΤΡΙΝΑ ΚΕΛΙΑ = Τιμές Προμηθευτών, Άτομα, Λεπτά, Εργατοώρα, Τέλλα &amp; Συντελεστής Overhead (αν αλλάξεις οτιδήποτε εδώ, ενημερώνονται αυτόματα και οι τιμές ΚΑΙ όλες οι σημειώσεις!)</t>
  </si>
  <si>
    <t>Α. ΤΙΜΕΣ ΑΓΟΡΑΣ ΣΩΛΗΝΩΝ SLEEVES ΑΠΟ ΠΡΟΜΗΘΕΥΤΗ (ΑΝΑ ΔΙΑΜΕΤΡΟ ΚΑΘΕΤΟΥ ΣΙΔΗΡΟΥ Φ)</t>
  </si>
  <si>
    <t>Κωδ.</t>
  </si>
  <si>
    <t>Διάμετρος Κάθετου Σιδήρου</t>
  </si>
  <si>
    <t>Τύπος / Διάμετρος Sleeve</t>
  </si>
  <si>
    <t>Εμπορικό Μήκος Σωλήνα (m)
[ΚΙΤΡΙΝΟ]</t>
  </si>
  <si>
    <t>Τιμή Αγοράς Σωλήνα (€/σωλήνα)
[ΚΙΤΡΙΝΟ]</t>
  </si>
  <si>
    <t>Κόστος Υλικού ανά Μέτρο (€/m)
[Αυτόματος Τύπος]</t>
  </si>
  <si>
    <t>Κανόνας Επιλογής &amp; Κοπής (100% Δυναμική Σημείωση)</t>
  </si>
  <si>
    <t>SL.A1</t>
  </si>
  <si>
    <t>Έως Φ20 (π.χ. Φ14–Φ20)</t>
  </si>
  <si>
    <t>Sleeve Φ32</t>
  </si>
  <si>
    <t>SL.A2</t>
  </si>
  <si>
    <t>Φ22 έως Φ25</t>
  </si>
  <si>
    <t>Sleeve Φ38</t>
  </si>
  <si>
    <t>SL.A3</t>
  </si>
  <si>
    <t>Φ26 έως Φ32</t>
  </si>
  <si>
    <t>Sleeve Φ50</t>
  </si>
  <si>
    <t>Παράμετρος Κόστους</t>
  </si>
  <si>
    <t>Τιμή [ΚΙΤΡΙΝΟ = ΑΛΛΑΖΕΙ]</t>
  </si>
  <si>
    <t>Δυναμικός Τύπος Υπολογισμού</t>
  </si>
  <si>
    <t>Κόστος / Συντελεστής</t>
  </si>
  <si>
    <t>Δυναμική Επεξήγηση (Ενημερώνεται Αυτόματα)</t>
  </si>
  <si>
    <t>SL.B1</t>
  </si>
  <si>
    <t>Κόστος εργατοώρας ανά άτομο</t>
  </si>
  <si>
    <t>SL.B2</t>
  </si>
  <si>
    <t>Μέγεθος συνεργείου τοποθέτησης sleeves (πόσα άτομα)</t>
  </si>
  <si>
    <t>SL.B3</t>
  </si>
  <si>
    <t>Χρόνος τοποθέτησης ανά κάθετο σίδερο (πόσα λεπτά)</t>
  </si>
  <si>
    <t>SL.B4</t>
  </si>
  <si>
    <t>Κόστος αγοράς ρολού Τέλλας (Μονωτική Ταινία)</t>
  </si>
  <si>
    <t>SL.B5</t>
  </si>
  <si>
    <t>Αριθμός σιδήρων που καλύπτει 1 ρολό Τέλλας</t>
  </si>
  <si>
    <t>SL.B6</t>
  </si>
  <si>
    <t>1. Σε κάθε εργοτάξιο, το απαιτούμενο μήκος sleeve ανά κάθετο σίδερο είναι: L_req = Ύψος Αναμονής (Starter) + Γωνία Πάνω (Top Bend).</t>
  </si>
  <si>
    <t>3. Αν ΔΕΝ είναι ακριβές υποπολλαπλάσιο του σωλήνα που μας φέρνουν, το κομμάτι που περισσεύει χάνεται: L_billed = L_pipe / INT(L_pipe / L_req) (ή CEILING(L_req, L_pipe) αν L_req &gt; L_pipe).</t>
  </si>
  <si>
    <t>ΑΝΑΛΥΣΗ ΚΑΝΟΝΙΚΟΥ ΣΚΥΡΟΔΕΜΑΤΟΣ, ΜΕΤΑΚΙΝΗΣΕΩΝ ΓΕΩΤΡΥΠΑΝΟΥ &amp; ΛΙΣΤΑ ΕΚΚΡΕΜΟΤΗΤΩΝ (TODO LIST)</t>
  </si>
  <si>
    <t>Α. ΠΩΣ ΒΓΑΙΝΕΙ Η ΤΕΛΙΚΗ ΤΙΜΗ ΚΑΝΟΝΙΚΟΥ ΣΚΥΡΟΔΕΜΑΤΟΣ (ΟΧΙ ΕΚΤΟΞΕΥΟΜΕΝΟΥ) ΣΕ ΚΑΘΕ ΕΡΓΟ</t>
  </si>
  <si>
    <t>Στοιχείο Κόστους Σκυροδέματος</t>
  </si>
  <si>
    <t>Τιμή / Πηγή</t>
  </si>
  <si>
    <t>Δυναμικός Κανόνας &amp; Εφαρμογή</t>
  </si>
  <si>
    <t>ΣΚ.1</t>
  </si>
  <si>
    <t>Τιμή Αγοράς Σκυροδέματος (Κουγκρί)</t>
  </si>
  <si>
    <t>Ορίζεται στο Έργο (Φύλλο 3)</t>
  </si>
  <si>
    <t>Διαφέρει ανά έργο/προμηθευτή — τη συμπληρώνει ο μηχανικός στο κουτάκι Τ.Β.1 του Φύλλου 3 («Τιμές &amp; Έλεγχος»)</t>
  </si>
  <si>
    <t>ΣΚ.2</t>
  </si>
  <si>
    <t>Κόστος Τοποθέτησης Σκυροδέματος</t>
  </si>
  <si>
    <t>ΣΚ.3</t>
  </si>
  <si>
    <t>Κόστος Στησίματος Αντλίας (Πρέσας)</t>
  </si>
  <si>
    <t>€/στήσιμο</t>
  </si>
  <si>
    <t>Σταθερό ποσό ανά στήσιμο αντλίας, διαιρείται με τα κυβικά (m³) που αντλεί η αντλία ανά στήσιμο (Τρύπες ανά στήσιμο × m³/τρύπα)</t>
  </si>
  <si>
    <t>ΣΚ.4</t>
  </si>
  <si>
    <t>ΤΕΛΙΚΗ ΦΟΡΜΟΥΛΑ ΣΚΥΡΟΔΕΤΗΣΗΣ (€/m³ — ΣΤΡΟΓΓΥΛΟΠΟΙΗΜΕΝΗ)</t>
  </si>
  <si>
    <t>Υπολογίζεται και στρογγυλοποιείται αυτόματα σε ακέραιο € στο κελί Τ.Β.7 (D21) του Φύλλου 3 («Τιμές &amp; Έλεγχος»)!</t>
  </si>
  <si>
    <t>Β. ΚΑΝΟΝΑΣ ΜΕΤΑΚΙΝΗΣΕΩΝ ΓΕΩΤΡΥΠΑΝΟΥ &amp; ΣΥΝΟΔΕΙΑΣ ΑΣΤΥΝΟΜΙΑΣ (ΠΑΣΣΑΛΟΙ ΘΕΜΕΛΙΩΣΗΣ / ΝΕΦΚΕΣ)</t>
  </si>
  <si>
    <t>Στοιχείο Κόστους Μετακίνησης</t>
  </si>
  <si>
    <t>Δυναμικός Κανόνας &amp; Εφαρμογή (Ενημερώνεται Αυτόματα)</t>
  </si>
  <si>
    <t>ΜΕΤ.1</t>
  </si>
  <si>
    <t>Βασική μετακίνηση γεωτρύπανου μέσα στη Λεμεσό</t>
  </si>
  <si>
    <t>ΜΕΤ.2</t>
  </si>
  <si>
    <t>ΜΕΤ.3</t>
  </si>
  <si>
    <t>Βήμα χιλιομετρικής ζώνης εκτός Λεμεσού</t>
  </si>
  <si>
    <t>ΜΕΤ.4</t>
  </si>
  <si>
    <t>Γ. TODO LIST — ΕΚΚΡΕΜΕΙΣ ΑΝΑΛΥΣΕΙΣ ΚΟΣΤΟΥΣ ΠΟΥ ΘΑ ΠΡΟΣΤΕΘΟΥΝ ΣΤΟΝ ΤΙΜΟΚΑΤΑΛΟΓΟ</t>
  </si>
  <si>
    <t>Κατηγορία Εργασίας</t>
  </si>
  <si>
    <t>Κατάσταση</t>
  </si>
  <si>
    <t>Λεπτομέρειες / Τι εκκρεμεί</t>
  </si>
  <si>
    <t>Σημειώσεις</t>
  </si>
  <si>
    <t>TODO 1</t>
  </si>
  <si>
    <t>Κόστος ανά Τρύπα / Διάτρηση Πασσάλων</t>
  </si>
  <si>
    <t>ΕΚΚΡΕΜΕΙ</t>
  </si>
  <si>
    <t>Να προστεθεί η αναλυτική φόρμουλα για το πώς βγαίνει το κόστος ανά τρύπα / μέτρο διάτρησης για εμάς.</t>
  </si>
  <si>
    <t>Θα δοθεί από τον χρήστη σε επόμενο βήμα.</t>
  </si>
  <si>
    <t>TODO 2</t>
  </si>
  <si>
    <t>ΟΛΟΚΛΗΡΩΘΗΚΕ</t>
  </si>
  <si>
    <t>Ενεργό στο Φύλλο 3 («Τιμές &amp; Έλεγχος») και στις δυναμικές σημειώσεις.</t>
  </si>
  <si>
    <t>TODO 3</t>
  </si>
  <si>
    <t>Λοιπές Αναλύσεις Τιμοκαταλόγου (Χάλυβας, Κεφαλοκοπή, Εκτοξευόμενο κ.λπ.)</t>
  </si>
  <si>
    <t>Να προστεθούν σταδιακά slides (φύλλα) με το εσωτερικό κόστος και τον τρόπο εξαγωγής της τελικής τιμής για κάθε αντικείμενο.</t>
  </si>
  <si>
    <t>Ώστε αν αλλάξει οποιαδήποτε τιμή στην αγορά να ενημερώνεται αυτόματα όλο το σύστημα.</t>
  </si>
  <si>
    <t>TODO 4</t>
  </si>
  <si>
    <t>Ενεργό στο Φύλλο 3 (Κουμπί ΝΑΙ/ΟΧΙ) και στις δυναμικές σημειώσεις.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</si>
</sst>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#,##0.0"/>
    <numFmt numFmtId="166" formatCode="0.000"/>
    <numFmt numFmtId="167" formatCode="#,##0.00\ &quot;€&quot;"/>
    <numFmt numFmtId="168" formatCode="#,##0.0000\ &quot;€&quot;"/>
    <numFmt numFmtId="169" formatCode="#,##0.0000\ &quot;€/m&quot;"/>
    <numFmt numFmtId="170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rgb="FF1F4E78"/>
      <name val="Calibri"/>
    </font>
    <font>
      <i/>
      <sz val="9.5"/>
      <color rgb="FF595959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sz val="9"/>
      <color rgb="FF595959"/>
      <name val="Calibri"/>
    </font>
    <font>
      <sz val="10"/>
      <color rgb="FF000000"/>
      <name val="Calibri"/>
    </font>
    <font>
      <b/>
      <sz val="10"/>
      <color rgb="FF991B1B"/>
      <name val="Calibri"/>
    </font>
    <font>
      <b/>
      <sz val="10"/>
      <name val="Calibri"/>
    </font>
    <font>
      <sz val="10"/>
      <name val="Calibri"/>
    </font>
    <font>
      <b/>
      <sz val="13"/>
      <color rgb="FFFFFFFF"/>
      <name val="Calibri"/>
    </font>
    <font>
      <i/>
      <sz val="10"/>
      <color rgb="FF4B5563"/>
      <name val="Calibri"/>
    </font>
    <font>
      <b/>
      <sz val="11"/>
      <color rgb="FF1E40AF"/>
      <name val="Calibri"/>
    </font>
    <font>
      <b/>
      <sz val="10"/>
      <color rgb="FFFFFFFF"/>
      <name val="Calibri"/>
    </font>
    <font>
      <b/>
      <sz val="10"/>
      <color rgb="FF065F46"/>
      <name val="Calibri"/>
    </font>
    <font>
      <b/>
      <sz val="10"/>
      <color rgb="FF92400E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FFF2CC"/>
        <bgColor rgb="FFFFF2CC"/>
      </patternFill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FEE2E2"/>
        <bgColor rgb="FFFEE2E2"/>
      </patternFill>
    </fill>
    <fill>
      <patternFill patternType="solid">
        <fgColor rgb="FF1E3A8A"/>
      </patternFill>
    </fill>
    <fill>
      <patternFill patternType="solid">
        <fgColor rgb="FF1E40AF"/>
      </patternFill>
    </fill>
    <fill>
      <patternFill patternType="solid">
        <fgColor rgb="FFFEF9C3"/>
      </patternFill>
    </fill>
    <fill>
      <patternFill patternType="solid">
        <fgColor rgb="FFD1FAE5"/>
      </patternFill>
    </fill>
    <fill>
      <patternFill patternType="solid">
        <fgColor rgb="FFFEF3C7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A100"/>
      </left>
      <right style="thin">
        <color rgb="FFB2A100"/>
      </right>
      <top style="thin">
        <color rgb="FFB2A100"/>
      </top>
      <bottom style="thin">
        <color rgb="FFB2A100"/>
      </bottom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" fontId="4" fillId="3" borderId="2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2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3" fontId="4" fillId="5" borderId="1" xfId="0" applyNumberFormat="1" applyFont="1" applyFill="1" applyBorder="1" applyAlignment="1">
      <alignment horizontal="right" vertical="center"/>
    </xf>
    <xf numFmtId="1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2" fontId="4" fillId="5" borderId="1" xfId="0" applyNumberFormat="1" applyFont="1" applyFill="1" applyBorder="1" applyAlignment="1">
      <alignment horizontal="right" vertical="center"/>
    </xf>
    <xf numFmtId="2" fontId="4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right" vertical="center"/>
    </xf>
    <xf numFmtId="2" fontId="7" fillId="6" borderId="3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0" fontId="7" fillId="6" borderId="3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2" fontId="8" fillId="10" borderId="4" xfId="0" applyNumberFormat="1" applyFont="1" applyFill="1" applyBorder="1" applyAlignment="1">
      <alignment horizontal="right" vertical="center"/>
    </xf>
    <xf numFmtId="168" fontId="8" fillId="10" borderId="4" xfId="0" applyNumberFormat="1" applyFont="1" applyFill="1" applyBorder="1" applyAlignment="1">
      <alignment horizontal="right" vertical="center"/>
    </xf>
    <xf numFmtId="167" fontId="8" fillId="10" borderId="4" xfId="0" applyNumberFormat="1" applyFont="1" applyFill="1" applyBorder="1" applyAlignment="1">
      <alignment horizontal="right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167" fontId="8" fillId="9" borderId="4" xfId="0" applyNumberFormat="1" applyFont="1" applyFill="1" applyBorder="1" applyAlignment="1">
      <alignment horizontal="right" vertical="center"/>
    </xf>
    <xf numFmtId="0" fontId="12" fillId="0" borderId="0" xfId="0" applyFont="1"/>
    <xf numFmtId="0" fontId="13" fillId="8" borderId="0" xfId="0" applyFont="1" applyFill="1" applyAlignment="1">
      <alignment horizontal="center" vertical="center" wrapText="1"/>
    </xf>
    <xf numFmtId="2" fontId="8" fillId="9" borderId="4" xfId="0" applyNumberFormat="1" applyFont="1" applyFill="1" applyBorder="1" applyAlignment="1">
      <alignment horizontal="right" vertical="center"/>
    </xf>
    <xf numFmtId="168" fontId="8" fillId="9" borderId="4" xfId="0" applyNumberFormat="1" applyFont="1" applyFill="1" applyBorder="1" applyAlignment="1">
      <alignment horizontal="right" vertical="center"/>
    </xf>
    <xf numFmtId="169" fontId="14" fillId="10" borderId="4" xfId="0" applyNumberFormat="1" applyFont="1" applyFill="1" applyBorder="1" applyAlignment="1">
      <alignment horizontal="right" vertical="center"/>
    </xf>
    <xf numFmtId="168" fontId="14" fillId="10" borderId="4" xfId="0" applyNumberFormat="1" applyFont="1" applyFill="1" applyBorder="1" applyAlignment="1">
      <alignment horizontal="right" vertical="center"/>
    </xf>
    <xf numFmtId="2" fontId="14" fillId="10" borderId="4" xfId="0" applyNumberFormat="1" applyFont="1" applyFill="1" applyBorder="1" applyAlignment="1">
      <alignment horizontal="right" vertical="center"/>
    </xf>
    <xf numFmtId="167" fontId="14" fillId="10" borderId="4" xfId="0" applyNumberFormat="1" applyFont="1" applyFill="1" applyBorder="1" applyAlignment="1">
      <alignment horizontal="right" vertical="center"/>
    </xf>
    <xf numFmtId="170" fontId="8" fillId="9" borderId="4" xfId="0" applyNumberFormat="1" applyFont="1" applyFill="1" applyBorder="1" applyAlignment="1">
      <alignment horizontal="right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15" fillId="11" borderId="4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0" borderId="0" xfId="0"/>
    <xf numFmtId="0" fontId="13" fillId="8" borderId="0" xfId="0" applyFont="1" applyFill="1"/>
    <xf numFmtId="0" fontId="1" fillId="0" borderId="0" xfId="0" applyFon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0" fillId="7" borderId="0" xfId="0" applyFont="1" applyFill="1" applyAlignment="1">
      <alignment horizontal="center" vertical="center" wrapText="1"/>
    </xf>
    <xf numFmtId="0" fontId="9" fillId="0" borderId="0" xfId="0" applyFont="1"/>
    <xf numFmtId="0" fontId="11" fillId="0" borderId="0" xfId="0" applyFont="1"/>
    <xf numFmtId="0" fontId="8" fillId="0" borderId="4" xfId="0" applyFont="1" applyBorder="1" applyAlignment="1">
      <alignment horizontal="right" vertical="center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sqref="A1:F1"/>
    </sheetView>
  </sheetViews>
  <sheetFormatPr defaultRowHeight="14.5" x14ac:dyDescent="0.35"/>
  <cols>
    <col min="1" max="1" width="8" customWidth="1"/>
    <col min="2" max="2" width="22" customWidth="1"/>
    <col min="3" max="3" width="54" customWidth="1"/>
    <col min="4" max="4" width="22" customWidth="1"/>
    <col min="5" max="5" width="14" customWidth="1"/>
    <col min="6" max="6" width="62" customWidth="1"/>
  </cols>
  <sheetData>
    <row r="1" spans="1:6" x14ac:dyDescent="0.35">
      <c r="A1" s="54" t="s">
        <v>0</v>
      </c>
      <c r="B1" s="52"/>
      <c r="C1" s="52"/>
      <c r="D1" s="52"/>
      <c r="E1" s="52"/>
      <c r="F1" s="52"/>
    </row>
    <row r="2" spans="1:6" x14ac:dyDescent="0.35">
      <c r="A2" s="51" t="s">
        <v>1</v>
      </c>
      <c r="B2" s="52"/>
      <c r="C2" s="52"/>
      <c r="D2" s="52"/>
      <c r="E2" s="52"/>
      <c r="F2" s="52"/>
    </row>
    <row r="4" spans="1:6" ht="28" customHeight="1" x14ac:dyDescent="0.35">
      <c r="A4" s="1" t="s">
        <v>2</v>
      </c>
      <c r="B4" s="2" t="s">
        <v>3</v>
      </c>
      <c r="C4" s="2" t="s">
        <v>4</v>
      </c>
      <c r="D4" s="3" t="s">
        <v>5</v>
      </c>
      <c r="E4" s="1" t="s">
        <v>6</v>
      </c>
      <c r="F4" s="2" t="s">
        <v>7</v>
      </c>
    </row>
    <row r="5" spans="1:6" x14ac:dyDescent="0.35">
      <c r="A5" s="4" t="s">
        <v>8</v>
      </c>
      <c r="B5" s="5" t="s">
        <v>9</v>
      </c>
      <c r="C5" s="6" t="s">
        <v>10</v>
      </c>
      <c r="D5" s="7">
        <f>'6_Ανάλυση_Σκυροδέματος_&amp;_TODO'!D12</f>
        <v>1000</v>
      </c>
      <c r="E5" s="4" t="s">
        <v>11</v>
      </c>
      <c r="F5" s="8" t="str">
        <f>"Βασική χρέωση "&amp;ROUND(D5,2)&amp;" € μέσα στη Λεμεσό (επιμερίζεται ανά πάσσαλο)"</f>
        <v>Βασική χρέωση 1000 € μέσα στη Λεμεσό (επιμερίζεται ανά πάσσαλο)</v>
      </c>
    </row>
    <row r="6" spans="1:6" x14ac:dyDescent="0.35">
      <c r="A6" s="4" t="s">
        <v>12</v>
      </c>
      <c r="B6" s="5" t="s">
        <v>9</v>
      </c>
      <c r="C6" s="6" t="s">
        <v>13</v>
      </c>
      <c r="D6" s="7">
        <f>'6_Ανάλυση_Σκυροδέματος_&amp;_TODO'!D13</f>
        <v>200</v>
      </c>
      <c r="E6" s="4" t="s">
        <v>14</v>
      </c>
      <c r="F6" s="8" t="str">
        <f>"+"&amp;ROUND(D6,2)&amp;" € ανά "&amp;ROUND(D28,0)&amp;" km εκτός Λεμεσού"</f>
        <v>+200 € ανά 10 km εκτός Λεμεσού</v>
      </c>
    </row>
    <row r="7" spans="1:6" x14ac:dyDescent="0.35">
      <c r="A7" s="4" t="s">
        <v>15</v>
      </c>
      <c r="B7" s="5" t="s">
        <v>16</v>
      </c>
      <c r="C7" s="6" t="s">
        <v>17</v>
      </c>
      <c r="D7" s="7">
        <v>70</v>
      </c>
      <c r="E7" s="4" t="s">
        <v>18</v>
      </c>
      <c r="F7" s="8" t="str">
        <f>"Συνολικά μέτρα διάτρησης Ø400mm × "&amp;ROUND(D7,2)&amp;" €/m"</f>
        <v>Συνολικά μέτρα διάτρησης Ø400mm × 70 €/m</v>
      </c>
    </row>
    <row r="8" spans="1:6" x14ac:dyDescent="0.35">
      <c r="A8" s="4" t="s">
        <v>19</v>
      </c>
      <c r="B8" s="5" t="s">
        <v>16</v>
      </c>
      <c r="C8" s="6" t="s">
        <v>20</v>
      </c>
      <c r="D8" s="7">
        <v>80</v>
      </c>
      <c r="E8" s="4" t="s">
        <v>18</v>
      </c>
      <c r="F8" s="8" t="str">
        <f>"Συνολικά μέτρα διάτρησης Ø500mm × "&amp;ROUND(D8,2)&amp;" €/m"</f>
        <v>Συνολικά μέτρα διάτρησης Ø500mm × 80 €/m</v>
      </c>
    </row>
    <row r="9" spans="1:6" x14ac:dyDescent="0.35">
      <c r="A9" s="4" t="s">
        <v>21</v>
      </c>
      <c r="B9" s="5" t="s">
        <v>16</v>
      </c>
      <c r="C9" s="6" t="s">
        <v>22</v>
      </c>
      <c r="D9" s="7">
        <v>90</v>
      </c>
      <c r="E9" s="4" t="s">
        <v>18</v>
      </c>
      <c r="F9" s="8" t="str">
        <f>"Συνολικά μέτρα διάτρησης Ø600mm × "&amp;ROUND(D9,2)&amp;" €/m"</f>
        <v>Συνολικά μέτρα διάτρησης Ø600mm × 90 €/m</v>
      </c>
    </row>
    <row r="10" spans="1:6" x14ac:dyDescent="0.35">
      <c r="A10" s="4" t="s">
        <v>23</v>
      </c>
      <c r="B10" s="5" t="s">
        <v>16</v>
      </c>
      <c r="C10" s="6" t="s">
        <v>24</v>
      </c>
      <c r="D10" s="7">
        <v>100</v>
      </c>
      <c r="E10" s="4" t="s">
        <v>18</v>
      </c>
      <c r="F10" s="8" t="str">
        <f>"Συνολικά μέτρα διάτρησης Ø700mm × "&amp;ROUND(D10,2)&amp;" €/m"</f>
        <v>Συνολικά μέτρα διάτρησης Ø700mm × 100 €/m</v>
      </c>
    </row>
    <row r="11" spans="1:6" x14ac:dyDescent="0.35">
      <c r="A11" s="4" t="s">
        <v>25</v>
      </c>
      <c r="B11" s="5" t="s">
        <v>16</v>
      </c>
      <c r="C11" s="6" t="s">
        <v>26</v>
      </c>
      <c r="D11" s="7">
        <v>115</v>
      </c>
      <c r="E11" s="4" t="s">
        <v>18</v>
      </c>
      <c r="F11" s="8" t="str">
        <f>"Συνολικά μέτρα διάτρησης Ø800mm × "&amp;ROUND(D11,2)&amp;" €/m"</f>
        <v>Συνολικά μέτρα διάτρησης Ø800mm × 115 €/m</v>
      </c>
    </row>
    <row r="12" spans="1:6" x14ac:dyDescent="0.35">
      <c r="A12" s="4" t="s">
        <v>27</v>
      </c>
      <c r="B12" s="5" t="s">
        <v>16</v>
      </c>
      <c r="C12" s="6" t="s">
        <v>28</v>
      </c>
      <c r="D12" s="7">
        <v>130</v>
      </c>
      <c r="E12" s="4" t="s">
        <v>18</v>
      </c>
      <c r="F12" s="8" t="str">
        <f>"Συνολικά μέτρα διάτρησης Ø900mm × "&amp;ROUND(D12,2)&amp;" €/m"</f>
        <v>Συνολικά μέτρα διάτρησης Ø900mm × 130 €/m</v>
      </c>
    </row>
    <row r="13" spans="1:6" x14ac:dyDescent="0.35">
      <c r="A13" s="4" t="s">
        <v>29</v>
      </c>
      <c r="B13" s="5" t="s">
        <v>16</v>
      </c>
      <c r="C13" s="6" t="s">
        <v>30</v>
      </c>
      <c r="D13" s="7">
        <v>150</v>
      </c>
      <c r="E13" s="4" t="s">
        <v>18</v>
      </c>
      <c r="F13" s="8" t="str">
        <f>"Συνολικά μέτρα διάτρησης Ø1000mm × "&amp;ROUND(D13,2)&amp;" €/m"</f>
        <v>Συνολικά μέτρα διάτρησης Ø1000mm × 150 €/m</v>
      </c>
    </row>
    <row r="14" spans="1:6" x14ac:dyDescent="0.35">
      <c r="A14" s="4" t="s">
        <v>31</v>
      </c>
      <c r="B14" s="5" t="s">
        <v>16</v>
      </c>
      <c r="C14" s="6" t="s">
        <v>32</v>
      </c>
      <c r="D14" s="7">
        <v>190</v>
      </c>
      <c r="E14" s="4" t="s">
        <v>18</v>
      </c>
      <c r="F14" s="8" t="str">
        <f>"Συνολικά μέτρα διάτρησης Ø1200mm × "&amp;ROUND(D14,2)&amp;" €/m"</f>
        <v>Συνολικά μέτρα διάτρησης Ø1200mm × 190 €/m</v>
      </c>
    </row>
    <row r="15" spans="1:6" x14ac:dyDescent="0.35">
      <c r="A15" s="4" t="s">
        <v>33</v>
      </c>
      <c r="B15" s="5" t="s">
        <v>16</v>
      </c>
      <c r="C15" s="6" t="s">
        <v>34</v>
      </c>
      <c r="D15" s="7">
        <v>25</v>
      </c>
      <c r="E15" s="4" t="s">
        <v>18</v>
      </c>
      <c r="F15" s="8" t="str">
        <f>"Εφαρμόζεται επιπλέον +"&amp;ROUND(D15,2)&amp;" €/m όταν ζητείται διάτρηση σε σκληρό πέτρωμα"</f>
        <v>Εφαρμόζεται επιπλέον +25 €/m όταν ζητείται διάτρηση σε σκληρό πέτρωμα</v>
      </c>
    </row>
    <row r="16" spans="1:6" x14ac:dyDescent="0.35">
      <c r="A16" s="4" t="s">
        <v>35</v>
      </c>
      <c r="B16" s="5" t="s">
        <v>36</v>
      </c>
      <c r="C16" s="6" t="s">
        <v>37</v>
      </c>
      <c r="D16" s="7">
        <v>105</v>
      </c>
      <c r="E16" s="4" t="s">
        <v>38</v>
      </c>
      <c r="F16" s="8" t="str">
        <f>"Τιμή αγοράς "&amp;ROUND(D16,2)&amp;" €/m³ | Όγκος = π × D²/4 × L × (1 + "&amp;ROUND(D27*100,0)&amp;"% απώλεια)"</f>
        <v>Τιμή αγοράς 105 €/m³ | Όγκος = π × D²/4 × L × (1 + 10% απώλεια)</v>
      </c>
    </row>
    <row r="17" spans="1:6" x14ac:dyDescent="0.35">
      <c r="A17" s="4" t="s">
        <v>39</v>
      </c>
      <c r="B17" s="5" t="s">
        <v>36</v>
      </c>
      <c r="C17" s="6" t="s">
        <v>40</v>
      </c>
      <c r="D17" s="7">
        <v>115</v>
      </c>
      <c r="E17" s="4" t="s">
        <v>38</v>
      </c>
      <c r="F17" s="8" t="str">
        <f>"Τιμή αγοράς "&amp;ROUND(D17,2)&amp;" €/m³ | Όγκος = π × D²/4 × L × (1 + "&amp;ROUND(D27*100,0)&amp;"% απώλεια)"</f>
        <v>Τιμή αγοράς 115 €/m³ | Όγκος = π × D²/4 × L × (1 + 10% απώλεια)</v>
      </c>
    </row>
    <row r="18" spans="1:6" x14ac:dyDescent="0.35">
      <c r="A18" s="4" t="s">
        <v>41</v>
      </c>
      <c r="B18" s="5" t="s">
        <v>36</v>
      </c>
      <c r="C18" s="6" t="s">
        <v>42</v>
      </c>
      <c r="D18" s="7">
        <v>15</v>
      </c>
      <c r="E18" s="4" t="s">
        <v>38</v>
      </c>
      <c r="F18" s="8" t="str">
        <f>"Κανόνας Κανονικού Σκυροδέματος: ROUND(Τιμή Αγοράς + "&amp;ROUND(D18,2)&amp;" €/m³ + (Στήσιμο Αντλίας ÷ m³ ανά στήσιμο), 0)"</f>
        <v>Κανόνας Κανονικού Σκυροδέματος: ROUND(Τιμή Αγοράς + 15 €/m³ + (Στήσιμο Αντλίας ÷ m³ ανά στήσιμο), 0)</v>
      </c>
    </row>
    <row r="19" spans="1:6" x14ac:dyDescent="0.35">
      <c r="A19" s="4" t="s">
        <v>43</v>
      </c>
      <c r="B19" s="5" t="s">
        <v>44</v>
      </c>
      <c r="C19" s="6" t="s">
        <v>45</v>
      </c>
      <c r="D19" s="7">
        <v>1.1000000000000001</v>
      </c>
      <c r="E19" s="4" t="s">
        <v>46</v>
      </c>
      <c r="F19" s="8" t="str">
        <f>"Ενιαία τιμή ανά κιλό: Μήκος ράβδου (με starter/γωνίες/μάτιση) × kg/m × "&amp;ROUND(D19,2)&amp;" €/kg"</f>
        <v>Ενιαία τιμή ανά κιλό: Μήκος ράβδου (με starter/γωνίες/μάτιση) × kg/m × 1.1 €/kg</v>
      </c>
    </row>
    <row r="20" spans="1:6" x14ac:dyDescent="0.35">
      <c r="A20" s="4" t="s">
        <v>47</v>
      </c>
      <c r="B20" s="5" t="s">
        <v>44</v>
      </c>
      <c r="C20" s="6" t="s">
        <v>48</v>
      </c>
      <c r="D20" s="7">
        <v>1.1000000000000001</v>
      </c>
      <c r="E20" s="4" t="s">
        <v>46</v>
      </c>
      <c r="F20" s="8" t="str">
        <f>"Ενιαία τιμή ανά κιλό: Αριθμός σπειρών (με +1) × Περίμετρος × kg/m × "&amp;ROUND(D20,2)&amp;" €/kg"</f>
        <v>Ενιαία τιμή ανά κιλό: Αριθμός σπειρών (με +1) × Περίμετρος × kg/m × 1.1 €/kg</v>
      </c>
    </row>
    <row r="21" spans="1:6" x14ac:dyDescent="0.35">
      <c r="A21" s="4" t="s">
        <v>49</v>
      </c>
      <c r="B21" s="5" t="s">
        <v>44</v>
      </c>
      <c r="C21" s="6" t="s">
        <v>50</v>
      </c>
      <c r="D21" s="7">
        <v>1.5</v>
      </c>
      <c r="E21" s="4" t="s">
        <v>51</v>
      </c>
      <c r="F21" s="8" t="str">
        <f>"Τροχοειδείς αποστάτες ("&amp;ROUND(D21,2)&amp;" €/τεμ.) για εξασφάλιση επικάλυψης"</f>
        <v>Τροχοειδείς αποστάτες (1.5 €/τεμ.) για εξασφάλιση επικάλυψης</v>
      </c>
    </row>
    <row r="22" spans="1:6" x14ac:dyDescent="0.35">
      <c r="A22" s="4" t="s">
        <v>52</v>
      </c>
      <c r="B22" s="5" t="s">
        <v>53</v>
      </c>
      <c r="C22" s="6" t="s">
        <v>54</v>
      </c>
      <c r="D22" s="7">
        <f>ROUND((('5_Ανάλυση_Κόστους_Sleeves'!F6+'5_Ανάλυση_Κόστους_Sleeves'!F18)*'5_Ανάλυση_Κόστους_Sleeves'!D17)*2,0)/2</f>
        <v>3</v>
      </c>
      <c r="E22" s="4" t="s">
        <v>51</v>
      </c>
      <c r="F22" s="8" t="str">
        <f>"Δυναμικά ανά έργο: [(Χρεωστέο μήκος × €/m) + "&amp;ROUND('5_Ανάλυση_Κόστους_Sleeves'!F14,4)&amp;" € + "&amp;ROUND('5_Ανάλυση_Κόστους_Sleeves'!F16,4)&amp;" €] × "&amp;ROUND('5_Ανάλυση_Κόστους_Sleeves'!D17,2)&amp;" στρογγυλοποιημένο στο 0,50 € (π.χ. Φ20 1m = "&amp;ROUND(D22,2)&amp;" €)"</f>
        <v>Δυναμικά ανά έργο: [(Χρεωστέο μήκος × €/m) + 0.78 € + 0.0876 €] × 1.3 στρογγυλοποιημένο στο 0,50 € (π.χ. Φ20 1m = 3 €)</v>
      </c>
    </row>
    <row r="23" spans="1:6" x14ac:dyDescent="0.35">
      <c r="A23" s="4" t="s">
        <v>55</v>
      </c>
      <c r="B23" s="5" t="s">
        <v>53</v>
      </c>
      <c r="C23" s="6" t="s">
        <v>56</v>
      </c>
      <c r="D23" s="7">
        <v>150</v>
      </c>
      <c r="E23" s="4" t="s">
        <v>57</v>
      </c>
      <c r="F23" s="8" t="str">
        <f>"Καθαίρεση υπερυψωμένου σκυροδέματος μέχρι το Cut-Off Level ("&amp;ROUND(D23,2)&amp;" €/πάσσαλο — με κουμπί ΝΑΙ/ΟΧΙ στο Φύλλο 3)"</f>
        <v>Καθαίρεση υπερυψωμένου σκυροδέματος μέχρι το Cut-Off Level (150 €/πάσσαλο — με κουμπί ΝΑΙ/ΟΧΙ στο Φύλλο 3)</v>
      </c>
    </row>
    <row r="25" spans="1:6" ht="22" customHeight="1" x14ac:dyDescent="0.35">
      <c r="A25" s="55" t="s">
        <v>58</v>
      </c>
      <c r="B25" s="52"/>
      <c r="C25" s="52"/>
      <c r="D25" s="52"/>
      <c r="E25" s="52"/>
      <c r="F25" s="52"/>
    </row>
    <row r="26" spans="1:6" x14ac:dyDescent="0.35">
      <c r="A26" s="4" t="s">
        <v>59</v>
      </c>
      <c r="B26" s="5" t="s">
        <v>60</v>
      </c>
      <c r="C26" s="6" t="s">
        <v>61</v>
      </c>
      <c r="D26" s="9">
        <v>7850</v>
      </c>
      <c r="E26" s="4" t="s">
        <v>62</v>
      </c>
      <c r="F26" s="8" t="str">
        <f>"Φυσική σταθερά ("&amp;ROUND(D26,0)&amp;" kg/m³) για υπολογισμό κιλών ράβδων και σούστας"</f>
        <v>Φυσική σταθερά (7850 kg/m³) για υπολογισμό κιλών ράβδων και σούστας</v>
      </c>
    </row>
    <row r="27" spans="1:6" x14ac:dyDescent="0.35">
      <c r="A27" s="4" t="s">
        <v>59</v>
      </c>
      <c r="B27" s="5" t="s">
        <v>60</v>
      </c>
      <c r="C27" s="6" t="s">
        <v>63</v>
      </c>
      <c r="D27" s="10">
        <v>0.1</v>
      </c>
      <c r="E27" s="4" t="s">
        <v>64</v>
      </c>
      <c r="F27" s="8" t="str">
        <f>"Προστίθεται υποχρεωτικά +"&amp;ROUND(D27*100,0)&amp;"% στον γεωμετρικό όγκο (V_conc = V_exc × "&amp;ROUND(1+D27,2)&amp;")"</f>
        <v>Προστίθεται υποχρεωτικά +10% στον γεωμετρικό όγκο (V_conc = V_exc × 1.1)</v>
      </c>
    </row>
    <row r="28" spans="1:6" x14ac:dyDescent="0.35">
      <c r="A28" s="4" t="s">
        <v>59</v>
      </c>
      <c r="B28" s="5" t="s">
        <v>60</v>
      </c>
      <c r="C28" s="6" t="s">
        <v>65</v>
      </c>
      <c r="D28" s="9">
        <f>'6_Ανάλυση_Σκυροδέματος_&amp;_TODO'!D14</f>
        <v>10</v>
      </c>
      <c r="E28" s="4" t="s">
        <v>66</v>
      </c>
      <c r="F28" s="8" t="str">
        <f>"Κάθε "&amp;ROUND(D28,0)&amp;" km εκτός Λεμεσού χρεώνονται +"&amp;ROUND(D6,2)&amp;" €"</f>
        <v>Κάθε 10 km εκτός Λεμεσού χρεώνονται +200 €</v>
      </c>
    </row>
    <row r="29" spans="1:6" x14ac:dyDescent="0.35">
      <c r="A29" s="4" t="s">
        <v>59</v>
      </c>
      <c r="B29" s="5" t="s">
        <v>60</v>
      </c>
      <c r="C29" s="6" t="s">
        <v>67</v>
      </c>
      <c r="D29" s="11">
        <v>12</v>
      </c>
      <c r="E29" s="4" t="s">
        <v>68</v>
      </c>
      <c r="F29" s="8" t="str">
        <f>"Βέργες εμπορίου "&amp;ROUND(D29,0)&amp;" μέτρων (όριο πέραν του οποίου απαιτείται μάτιση)"</f>
        <v>Βέργες εμπορίου 12 μέτρων (όριο πέραν του οποίου απαιτείται μάτιση)</v>
      </c>
    </row>
    <row r="30" spans="1:6" x14ac:dyDescent="0.35">
      <c r="A30" s="4" t="s">
        <v>59</v>
      </c>
      <c r="B30" s="5" t="s">
        <v>60</v>
      </c>
      <c r="C30" s="6" t="s">
        <v>69</v>
      </c>
      <c r="D30" s="9">
        <v>50</v>
      </c>
      <c r="E30" s="4" t="s">
        <v>70</v>
      </c>
      <c r="F30" s="8" t="str">
        <f>"Κανόνας επικάλυψης "&amp;ROUND(D30,0)&amp;" φορές τη διάμετρο Φ (όταν δεν δίνεται ρητά στο σχέδιο)"</f>
        <v>Κανόνας επικάλυψης 50 φορές τη διάμετρο Φ (όταν δεν δίνεται ρητά στο σχέδιο)</v>
      </c>
    </row>
    <row r="31" spans="1:6" x14ac:dyDescent="0.35">
      <c r="A31" s="4" t="s">
        <v>59</v>
      </c>
      <c r="B31" s="5" t="s">
        <v>60</v>
      </c>
      <c r="C31" s="6" t="s">
        <v>71</v>
      </c>
      <c r="D31" s="11">
        <v>2</v>
      </c>
      <c r="E31" s="4" t="s">
        <v>68</v>
      </c>
      <c r="F31" s="8" t="str">
        <f>"Κανόνας καθαρού σκυροδέματος: έως +"&amp;ROUND(D31,2)&amp;"m πάνω από το Cut-Off αν υπάρχει κενή διάτρηση (Δh &gt; 0)"</f>
        <v>Κανόνας καθαρού σκυροδέματος: έως +2m πάνω από το Cut-Off αν υπάρχει κενή διάτρηση (Δh &gt; 0)</v>
      </c>
    </row>
    <row r="33" spans="1:6" x14ac:dyDescent="0.35">
      <c r="A33" s="53" t="s">
        <v>72</v>
      </c>
      <c r="B33" s="52"/>
      <c r="C33" s="52"/>
      <c r="D33" s="52"/>
      <c r="E33" s="52"/>
      <c r="F33" s="52"/>
    </row>
    <row r="34" spans="1:6" ht="24" customHeight="1" x14ac:dyDescent="0.35">
      <c r="A34" s="30" t="s">
        <v>73</v>
      </c>
      <c r="B34" s="31" t="s">
        <v>74</v>
      </c>
      <c r="C34" s="31" t="s">
        <v>75</v>
      </c>
      <c r="D34" s="32">
        <f>'5_Ανάλυση_Κόστους_Sleeves'!D6</f>
        <v>3</v>
      </c>
      <c r="E34" s="30" t="s">
        <v>68</v>
      </c>
      <c r="F34" s="31" t="str">
        <f>"Σωλήνας "&amp;ROUND(D34,2)&amp;" μέτρων (από Φύλλο 5 κελί D6)"</f>
        <v>Σωλήνας 3 μέτρων (από Φύλλο 5 κελί D6)</v>
      </c>
    </row>
    <row r="35" spans="1:6" ht="24" customHeight="1" x14ac:dyDescent="0.35">
      <c r="A35" s="30" t="s">
        <v>76</v>
      </c>
      <c r="B35" s="31" t="s">
        <v>74</v>
      </c>
      <c r="C35" s="31" t="s">
        <v>77</v>
      </c>
      <c r="D35" s="33">
        <f>'5_Ανάλυση_Κόστους_Sleeves'!E6</f>
        <v>4.0199999999999996</v>
      </c>
      <c r="E35" s="30" t="s">
        <v>78</v>
      </c>
      <c r="F35" s="31" t="str">
        <f>ROUND(D35,4)&amp;" € ανά σωλήνα "&amp;ROUND(D34,2)&amp;"m ("&amp;ROUND(D35/D34,4)&amp;" €/m — από Φύλλο 5 κελί E6)"</f>
        <v>4.02 € ανά σωλήνα 3m (1.34 €/m — από Φύλλο 5 κελί E6)</v>
      </c>
    </row>
    <row r="36" spans="1:6" ht="24" customHeight="1" x14ac:dyDescent="0.35">
      <c r="A36" s="30" t="s">
        <v>79</v>
      </c>
      <c r="B36" s="31" t="s">
        <v>74</v>
      </c>
      <c r="C36" s="31" t="s">
        <v>80</v>
      </c>
      <c r="D36" s="32">
        <f>'5_Ανάλυση_Κόστους_Sleeves'!D7</f>
        <v>3</v>
      </c>
      <c r="E36" s="30" t="s">
        <v>68</v>
      </c>
      <c r="F36" s="31" t="str">
        <f>"Σωλήνας "&amp;ROUND(D36,2)&amp;" μέτρων (από Φύλλο 5 κελί D7)"</f>
        <v>Σωλήνας 3 μέτρων (από Φύλλο 5 κελί D7)</v>
      </c>
    </row>
    <row r="37" spans="1:6" ht="24" customHeight="1" x14ac:dyDescent="0.35">
      <c r="A37" s="30" t="s">
        <v>81</v>
      </c>
      <c r="B37" s="31" t="s">
        <v>74</v>
      </c>
      <c r="C37" s="31" t="s">
        <v>82</v>
      </c>
      <c r="D37" s="33">
        <f>'5_Ανάλυση_Κόστους_Sleeves'!E7</f>
        <v>5.7240000000000002</v>
      </c>
      <c r="E37" s="30" t="s">
        <v>78</v>
      </c>
      <c r="F37" s="31" t="str">
        <f>ROUND(D37,4)&amp;" € ανά σωλήνα "&amp;ROUND(D36,2)&amp;"m ("&amp;ROUND(D37/D36,4)&amp;" €/m — από Φύλλο 5 κελί E7)"</f>
        <v>5.724 € ανά σωλήνα 3m (1.908 €/m — από Φύλλο 5 κελί E7)</v>
      </c>
    </row>
    <row r="38" spans="1:6" ht="24" customHeight="1" x14ac:dyDescent="0.35">
      <c r="A38" s="30" t="s">
        <v>83</v>
      </c>
      <c r="B38" s="31" t="s">
        <v>74</v>
      </c>
      <c r="C38" s="31" t="s">
        <v>84</v>
      </c>
      <c r="D38" s="32">
        <f>'5_Ανάλυση_Κόστους_Sleeves'!D8</f>
        <v>6</v>
      </c>
      <c r="E38" s="30" t="s">
        <v>68</v>
      </c>
      <c r="F38" s="31" t="str">
        <f>"Σωλήνας "&amp;ROUND(D38,2)&amp;" μέτρων (από Φύλλο 5 κελί D8)"</f>
        <v>Σωλήνας 6 μέτρων (από Φύλλο 5 κελί D8)</v>
      </c>
    </row>
    <row r="39" spans="1:6" ht="24" customHeight="1" x14ac:dyDescent="0.35">
      <c r="A39" s="30" t="s">
        <v>85</v>
      </c>
      <c r="B39" s="31" t="s">
        <v>74</v>
      </c>
      <c r="C39" s="31" t="s">
        <v>86</v>
      </c>
      <c r="D39" s="33">
        <f>'5_Ανάλυση_Κόστους_Sleeves'!E8</f>
        <v>12.061500000000001</v>
      </c>
      <c r="E39" s="30" t="s">
        <v>78</v>
      </c>
      <c r="F39" s="31" t="str">
        <f>ROUND(D39,4)&amp;" € ανά σωλήνα "&amp;ROUND(D38,2)&amp;"m ("&amp;ROUND(D39/D38,4)&amp;" €/m — από Φύλλο 5 κελί E8)"</f>
        <v>12.0615 € ανά σωλήνα 6m (2.0103 €/m — από Φύλλο 5 κελί E8)</v>
      </c>
    </row>
    <row r="40" spans="1:6" ht="24" customHeight="1" x14ac:dyDescent="0.35">
      <c r="A40" s="30" t="s">
        <v>87</v>
      </c>
      <c r="B40" s="31" t="s">
        <v>88</v>
      </c>
      <c r="C40" s="31" t="s">
        <v>89</v>
      </c>
      <c r="D40" s="34">
        <f>'5_Ανάλυση_Κόστους_Sleeves'!D12</f>
        <v>15.6</v>
      </c>
      <c r="E40" s="30" t="s">
        <v>90</v>
      </c>
      <c r="F40" s="31" t="str">
        <f>"Ωρομίσθιο εργάτη: "&amp;ROUND(D40,2)&amp;" €/ώρα (αλλάζει στο Φύλλο 5 κελί D12)"</f>
        <v>Ωρομίσθιο εργάτη: 15.6 €/ώρα (αλλάζει στο Φύλλο 5 κελί D12)</v>
      </c>
    </row>
    <row r="41" spans="1:6" ht="24" customHeight="1" x14ac:dyDescent="0.35">
      <c r="A41" s="30" t="s">
        <v>91</v>
      </c>
      <c r="B41" s="31" t="s">
        <v>88</v>
      </c>
      <c r="C41" s="31" t="s">
        <v>92</v>
      </c>
      <c r="D41" s="32">
        <f>'5_Ανάλυση_Κόστους_Sleeves'!D13</f>
        <v>1</v>
      </c>
      <c r="E41" s="30" t="s">
        <v>93</v>
      </c>
      <c r="F41" s="31" t="str">
        <f>"Συνεργείο "&amp;ROUND(D41,2)&amp;" ατόμων ("&amp;ROUND(D41*D40,2)&amp;" €/ώρα — αλλάζει στο Φύλλο 5 κελί D13)"</f>
        <v>Συνεργείο 1 ατόμων (15.6 €/ώρα — αλλάζει στο Φύλλο 5 κελί D13)</v>
      </c>
    </row>
    <row r="42" spans="1:6" ht="24" customHeight="1" x14ac:dyDescent="0.35">
      <c r="A42" s="35" t="s">
        <v>94</v>
      </c>
      <c r="B42" s="36" t="s">
        <v>88</v>
      </c>
      <c r="C42" s="36" t="s">
        <v>95</v>
      </c>
      <c r="D42" s="32">
        <f>'5_Ανάλυση_Κόστους_Sleeves'!D14</f>
        <v>3</v>
      </c>
      <c r="E42" s="35" t="s">
        <v>96</v>
      </c>
      <c r="F42" s="36" t="str">
        <f>ROUND(D42,2)&amp;" λεπτά ανά σίδερο (αλλάζει στο Φύλλο 5 κελί D14)"</f>
        <v>3 λεπτά ανά σίδερο (αλλάζει στο Φύλλο 5 κελί D14)</v>
      </c>
    </row>
    <row r="43" spans="1:6" ht="24" customHeight="1" x14ac:dyDescent="0.35">
      <c r="A43" s="35" t="s">
        <v>97</v>
      </c>
      <c r="B43" s="36" t="s">
        <v>88</v>
      </c>
      <c r="C43" s="36" t="s">
        <v>98</v>
      </c>
      <c r="D43" s="33">
        <f>'5_Ανάλυση_Κόστους_Sleeves'!F14</f>
        <v>0.78</v>
      </c>
      <c r="E43" s="35" t="s">
        <v>99</v>
      </c>
      <c r="F43" s="36" t="str">
        <f>"Αυτόματος τύπος: ("&amp;ROUND(D42,2)&amp;"/60) × "&amp;ROUND(D41,2)&amp;" άτομα × "&amp;ROUND(D40,2)&amp;" €/ώρα = "&amp;ROUND(D43,4)&amp;" €/σίδερο"</f>
        <v>Αυτόματος τύπος: (3/60) × 1 άτομα × 15.6 €/ώρα = 0.78 €/σίδερο</v>
      </c>
    </row>
    <row r="44" spans="1:6" ht="24" customHeight="1" x14ac:dyDescent="0.35">
      <c r="A44" s="35" t="s">
        <v>100</v>
      </c>
      <c r="B44" s="36" t="s">
        <v>101</v>
      </c>
      <c r="C44" s="36" t="s">
        <v>102</v>
      </c>
      <c r="D44" s="34">
        <f>'5_Ανάλυση_Κόστους_Sleeves'!D15</f>
        <v>2.19</v>
      </c>
      <c r="E44" s="35" t="s">
        <v>103</v>
      </c>
      <c r="F44" s="36" t="str">
        <f>"Τιμή αγοράς ρολού Τέλλας: "&amp;ROUND(D44,2)&amp;" €/ρολό (αλλάζει στο Φύλλο 5 κελί D15)"</f>
        <v>Τιμή αγοράς ρολού Τέλλας: 2.19 €/ρολό (αλλάζει στο Φύλλο 5 κελί D15)</v>
      </c>
    </row>
    <row r="45" spans="1:6" ht="24" customHeight="1" x14ac:dyDescent="0.35">
      <c r="A45" s="35" t="s">
        <v>104</v>
      </c>
      <c r="B45" s="36" t="s">
        <v>101</v>
      </c>
      <c r="C45" s="36" t="s">
        <v>105</v>
      </c>
      <c r="D45" s="32">
        <f>'5_Ανάλυση_Κόστους_Sleeves'!D16</f>
        <v>25</v>
      </c>
      <c r="E45" s="35" t="s">
        <v>106</v>
      </c>
      <c r="F45" s="36" t="str">
        <f>"Καλύπτει "&amp;ROUND(D45,0)&amp;" σίδερα ανά ρολό (αλλάζει στο Φύλλο 5 κελί D16)"</f>
        <v>Καλύπτει 25 σίδερα ανά ρολό (αλλάζει στο Φύλλο 5 κελί D16)</v>
      </c>
    </row>
    <row r="46" spans="1:6" ht="24" customHeight="1" x14ac:dyDescent="0.35">
      <c r="A46" s="35" t="s">
        <v>107</v>
      </c>
      <c r="B46" s="36" t="s">
        <v>101</v>
      </c>
      <c r="C46" s="36" t="s">
        <v>108</v>
      </c>
      <c r="D46" s="33">
        <f>'5_Ανάλυση_Κόστους_Sleeves'!F16</f>
        <v>8.7599999999999997E-2</v>
      </c>
      <c r="E46" s="35" t="s">
        <v>99</v>
      </c>
      <c r="F46" s="36" t="str">
        <f>"Αυτόματος τύπος: "&amp;ROUND(D44,2)&amp;" € ÷ "&amp;ROUND(D45,0)&amp;" σίδερα = "&amp;ROUND(D46,4)&amp;" €/σίδερο"</f>
        <v>Αυτόματος τύπος: 2.19 € ÷ 25 σίδερα = 0.0876 €/σίδερο</v>
      </c>
    </row>
    <row r="47" spans="1:6" ht="24" customHeight="1" x14ac:dyDescent="0.35">
      <c r="A47" s="35" t="s">
        <v>109</v>
      </c>
      <c r="B47" s="36" t="s">
        <v>110</v>
      </c>
      <c r="C47" s="36" t="s">
        <v>111</v>
      </c>
      <c r="D47" s="32">
        <f>'5_Ανάλυση_Κόστους_Sleeves'!F17</f>
        <v>1.3</v>
      </c>
      <c r="E47" s="35" t="s">
        <v>112</v>
      </c>
      <c r="F47" s="36" t="str">
        <f>"Πολλαπλασιάζεται πάντα × "&amp;ROUND(D47,2)&amp;" (+"&amp;ROUND((D47-1)*100,0)&amp;"%) και στρογγυλοποιείται στο πλησιέστερο 0,50 €"</f>
        <v>Πολλαπλασιάζεται πάντα × 1.3 (+30%) και στρογγυλοποιείται στο πλησιέστερο 0,50 €</v>
      </c>
    </row>
    <row r="48" spans="1:6" ht="24" customHeight="1" x14ac:dyDescent="0.35">
      <c r="A48" s="35" t="s">
        <v>113</v>
      </c>
      <c r="B48" s="36" t="s">
        <v>9</v>
      </c>
      <c r="C48" s="36" t="s">
        <v>114</v>
      </c>
      <c r="D48" s="34">
        <f>'6_Ανάλυση_Σκυροδέματος_&amp;_TODO'!D15</f>
        <v>8</v>
      </c>
      <c r="E48" s="35" t="s">
        <v>115</v>
      </c>
      <c r="F48" s="36" t="str">
        <f>"+"&amp;ROUND(D48,2)&amp;" € ανά χιλιόμετρο συνοδείας Αστυνομίας (αλλάζει στο Φύλλο 6 κελί D15)"</f>
        <v>+8 € ανά χιλιόμετρο συνοδείας Αστυνομίας (αλλάζει στο Φύλλο 6 κελί D15)</v>
      </c>
    </row>
    <row r="49" spans="1:6" ht="24" customHeight="1" x14ac:dyDescent="0.35">
      <c r="A49" s="35" t="s">
        <v>116</v>
      </c>
      <c r="B49" s="36" t="s">
        <v>117</v>
      </c>
      <c r="C49" s="36" t="s">
        <v>118</v>
      </c>
      <c r="D49" s="37">
        <v>15</v>
      </c>
      <c r="E49" s="35" t="s">
        <v>38</v>
      </c>
      <c r="F49" s="36" t="str">
        <f>"Χρέωση "&amp;ROUND(D49,2)&amp;" €/m³ επί των κυβικών εκσκαφής (V_exc) όταν είναι πάνω μας (Κουμπί ΝΑΙ/ΟΧΙ στο Φύλλο 3)"</f>
        <v>Χρέωση 15 €/m³ επί των κυβικών εκσκαφής (V_exc) όταν είναι πάνω μας (Κουμπί ΝΑΙ/ΟΧΙ στο Φύλλο 3)</v>
      </c>
    </row>
  </sheetData>
  <mergeCells count="4">
    <mergeCell ref="A2:F2"/>
    <mergeCell ref="A33:F33"/>
    <mergeCell ref="A1:F1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sqref="A1:E1"/>
    </sheetView>
  </sheetViews>
  <sheetFormatPr defaultRowHeight="14.5" x14ac:dyDescent="0.35"/>
  <cols>
    <col min="1" max="1" width="14" customWidth="1"/>
    <col min="2" max="2" width="26" customWidth="1"/>
    <col min="3" max="3" width="24" customWidth="1"/>
    <col min="4" max="4" width="28" customWidth="1"/>
    <col min="5" max="5" width="38" customWidth="1"/>
  </cols>
  <sheetData>
    <row r="1" spans="1:5" x14ac:dyDescent="0.35">
      <c r="A1" s="54" t="s">
        <v>119</v>
      </c>
      <c r="B1" s="52"/>
      <c r="C1" s="52"/>
      <c r="D1" s="52"/>
      <c r="E1" s="52"/>
    </row>
    <row r="3" spans="1:5" ht="26" customHeight="1" x14ac:dyDescent="0.35">
      <c r="A3" s="1" t="s">
        <v>120</v>
      </c>
      <c r="B3" s="1" t="s">
        <v>121</v>
      </c>
      <c r="C3" s="3" t="s">
        <v>122</v>
      </c>
      <c r="D3" s="3" t="s">
        <v>123</v>
      </c>
      <c r="E3" s="2" t="s">
        <v>124</v>
      </c>
    </row>
    <row r="4" spans="1:5" x14ac:dyDescent="0.35">
      <c r="A4" s="12" t="s">
        <v>125</v>
      </c>
      <c r="B4" s="13">
        <v>6</v>
      </c>
      <c r="C4" s="14">
        <f t="shared" ref="C4:C14" si="0">PI()*(B4^2)/4</f>
        <v>28.274333882308138</v>
      </c>
      <c r="D4" s="15">
        <f t="shared" ref="D4:D14" si="1">C4/1000000*7850</f>
        <v>0.22195352097611887</v>
      </c>
      <c r="E4" s="8" t="s">
        <v>126</v>
      </c>
    </row>
    <row r="5" spans="1:5" x14ac:dyDescent="0.35">
      <c r="A5" s="12" t="s">
        <v>127</v>
      </c>
      <c r="B5" s="13">
        <v>8</v>
      </c>
      <c r="C5" s="14">
        <f t="shared" si="0"/>
        <v>50.26548245743669</v>
      </c>
      <c r="D5" s="15">
        <f t="shared" si="1"/>
        <v>0.39458403729087804</v>
      </c>
      <c r="E5" s="8" t="s">
        <v>128</v>
      </c>
    </row>
    <row r="6" spans="1:5" x14ac:dyDescent="0.35">
      <c r="A6" s="12" t="s">
        <v>129</v>
      </c>
      <c r="B6" s="13">
        <v>10</v>
      </c>
      <c r="C6" s="14">
        <f t="shared" si="0"/>
        <v>78.539816339744831</v>
      </c>
      <c r="D6" s="15">
        <f t="shared" si="1"/>
        <v>0.61653755826699685</v>
      </c>
      <c r="E6" s="8" t="s">
        <v>130</v>
      </c>
    </row>
    <row r="7" spans="1:5" x14ac:dyDescent="0.35">
      <c r="A7" s="12" t="s">
        <v>131</v>
      </c>
      <c r="B7" s="13">
        <v>12</v>
      </c>
      <c r="C7" s="14">
        <f t="shared" si="0"/>
        <v>113.09733552923255</v>
      </c>
      <c r="D7" s="15">
        <f t="shared" si="1"/>
        <v>0.88781408390447547</v>
      </c>
      <c r="E7" s="8" t="s">
        <v>132</v>
      </c>
    </row>
    <row r="8" spans="1:5" x14ac:dyDescent="0.35">
      <c r="A8" s="12" t="s">
        <v>133</v>
      </c>
      <c r="B8" s="13">
        <v>14</v>
      </c>
      <c r="C8" s="14">
        <f t="shared" si="0"/>
        <v>153.93804002589985</v>
      </c>
      <c r="D8" s="15">
        <f t="shared" si="1"/>
        <v>1.2084136142033139</v>
      </c>
      <c r="E8" s="8" t="s">
        <v>134</v>
      </c>
    </row>
    <row r="9" spans="1:5" x14ac:dyDescent="0.35">
      <c r="A9" s="12" t="s">
        <v>135</v>
      </c>
      <c r="B9" s="13">
        <v>16</v>
      </c>
      <c r="C9" s="14">
        <f t="shared" si="0"/>
        <v>201.06192982974676</v>
      </c>
      <c r="D9" s="15">
        <f t="shared" si="1"/>
        <v>1.5783361491635122</v>
      </c>
      <c r="E9" s="8" t="s">
        <v>136</v>
      </c>
    </row>
    <row r="10" spans="1:5" x14ac:dyDescent="0.35">
      <c r="A10" s="12" t="s">
        <v>137</v>
      </c>
      <c r="B10" s="13">
        <v>20</v>
      </c>
      <c r="C10" s="14">
        <f t="shared" si="0"/>
        <v>314.15926535897933</v>
      </c>
      <c r="D10" s="15">
        <f t="shared" si="1"/>
        <v>2.4661502330679874</v>
      </c>
      <c r="E10" s="8" t="s">
        <v>138</v>
      </c>
    </row>
    <row r="11" spans="1:5" x14ac:dyDescent="0.35">
      <c r="A11" s="12" t="s">
        <v>139</v>
      </c>
      <c r="B11" s="13">
        <v>25</v>
      </c>
      <c r="C11" s="14">
        <f t="shared" si="0"/>
        <v>490.87385212340519</v>
      </c>
      <c r="D11" s="15">
        <f t="shared" si="1"/>
        <v>3.8533597391687309</v>
      </c>
      <c r="E11" s="8" t="s">
        <v>140</v>
      </c>
    </row>
    <row r="12" spans="1:5" x14ac:dyDescent="0.35">
      <c r="A12" s="12" t="s">
        <v>141</v>
      </c>
      <c r="B12" s="13">
        <v>28</v>
      </c>
      <c r="C12" s="14">
        <f t="shared" si="0"/>
        <v>615.75216010359941</v>
      </c>
      <c r="D12" s="15">
        <f t="shared" si="1"/>
        <v>4.8336544568132558</v>
      </c>
      <c r="E12" s="8" t="s">
        <v>142</v>
      </c>
    </row>
    <row r="13" spans="1:5" x14ac:dyDescent="0.35">
      <c r="A13" s="12" t="s">
        <v>143</v>
      </c>
      <c r="B13" s="13">
        <v>32</v>
      </c>
      <c r="C13" s="14">
        <f t="shared" si="0"/>
        <v>804.24771931898704</v>
      </c>
      <c r="D13" s="15">
        <f t="shared" si="1"/>
        <v>6.3133445966540487</v>
      </c>
      <c r="E13" s="8" t="s">
        <v>144</v>
      </c>
    </row>
    <row r="14" spans="1:5" x14ac:dyDescent="0.35">
      <c r="A14" s="12" t="s">
        <v>145</v>
      </c>
      <c r="B14" s="13">
        <v>40</v>
      </c>
      <c r="C14" s="14">
        <f t="shared" si="0"/>
        <v>1256.6370614359173</v>
      </c>
      <c r="D14" s="15">
        <f t="shared" si="1"/>
        <v>9.8646009322719497</v>
      </c>
      <c r="E14" s="8" t="s">
        <v>146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8"/>
  <sheetViews>
    <sheetView workbookViewId="0">
      <selection sqref="A1:F1"/>
    </sheetView>
  </sheetViews>
  <sheetFormatPr defaultRowHeight="14.5" x14ac:dyDescent="0.35"/>
  <cols>
    <col min="1" max="1" width="38" customWidth="1"/>
    <col min="2" max="2" width="16" customWidth="1"/>
    <col min="3" max="3" width="14" customWidth="1"/>
    <col min="4" max="4" width="38" customWidth="1"/>
    <col min="5" max="5" width="18" customWidth="1"/>
    <col min="6" max="6" width="44" customWidth="1"/>
  </cols>
  <sheetData>
    <row r="1" spans="1:6" x14ac:dyDescent="0.35">
      <c r="A1" s="54" t="s">
        <v>147</v>
      </c>
      <c r="B1" s="52"/>
      <c r="C1" s="52"/>
      <c r="D1" s="52"/>
      <c r="E1" s="52"/>
      <c r="F1" s="52"/>
    </row>
    <row r="2" spans="1:6" x14ac:dyDescent="0.35">
      <c r="A2" s="51" t="s">
        <v>148</v>
      </c>
      <c r="B2" s="52"/>
      <c r="C2" s="52"/>
      <c r="D2" s="52"/>
      <c r="E2" s="52"/>
      <c r="F2" s="52"/>
    </row>
    <row r="4" spans="1:6" ht="22" customHeight="1" x14ac:dyDescent="0.35">
      <c r="A4" s="56" t="s">
        <v>149</v>
      </c>
      <c r="B4" s="52"/>
      <c r="C4" s="52"/>
      <c r="D4" s="52"/>
      <c r="E4" s="52"/>
      <c r="F4" s="52"/>
    </row>
    <row r="5" spans="1:6" x14ac:dyDescent="0.35">
      <c r="A5" s="57" t="s">
        <v>150</v>
      </c>
      <c r="B5" s="52"/>
      <c r="C5" s="52"/>
      <c r="D5" s="52"/>
      <c r="E5" s="52"/>
      <c r="F5" s="52"/>
    </row>
    <row r="6" spans="1:6" ht="22" customHeight="1" x14ac:dyDescent="0.35">
      <c r="A6" s="2" t="s">
        <v>151</v>
      </c>
      <c r="B6" s="3" t="s">
        <v>152</v>
      </c>
      <c r="C6" s="1" t="s">
        <v>6</v>
      </c>
      <c r="D6" s="2" t="s">
        <v>153</v>
      </c>
      <c r="E6" s="3" t="s">
        <v>154</v>
      </c>
      <c r="F6" s="2" t="s">
        <v>155</v>
      </c>
    </row>
    <row r="7" spans="1:6" x14ac:dyDescent="0.35">
      <c r="A7" s="16" t="s">
        <v>156</v>
      </c>
      <c r="B7" s="17">
        <v>75</v>
      </c>
      <c r="C7" s="4" t="s">
        <v>66</v>
      </c>
      <c r="D7" s="8" t="s">
        <v>157</v>
      </c>
      <c r="E7" s="12" t="s">
        <v>59</v>
      </c>
      <c r="F7" s="8" t="str">
        <f>"Βασική Λεμεσού = "&amp;ROUND('1_Τιμές_Εταιρείας'!D5,2)&amp;" €"</f>
        <v>Βασική Λεμεσού = 1000 €</v>
      </c>
    </row>
    <row r="8" spans="1:6" x14ac:dyDescent="0.35">
      <c r="A8" s="16" t="str">
        <f>"Δεκάδες χιλιομέτρων εκτός Λεμεσού (ανά "&amp;ROUND('1_Τιμές_Εταιρείας'!D28,0)&amp;" km)"</f>
        <v>Δεκάδες χιλιομέτρων εκτός Λεμεσού (ανά 10 km)</v>
      </c>
      <c r="B8" s="18">
        <f>IF(B7&gt;0,ROUNDUP(B7/'1_Τιμές_Εταιρείας'!D28,0),0)</f>
        <v>8</v>
      </c>
      <c r="C8" s="4" t="s">
        <v>158</v>
      </c>
      <c r="D8" s="8" t="str">
        <f>"ROUNDUP(km / "&amp;ROUND('1_Τιμές_Εταιρείας'!D28,0)&amp;", 0)"</f>
        <v>ROUNDUP(km / 10, 0)</v>
      </c>
      <c r="E8" s="19">
        <f>B8</f>
        <v>8</v>
      </c>
      <c r="F8" s="8" t="str">
        <f>"Κάθε "&amp;ROUND('1_Τιμές_Εταιρείας'!D28,0)&amp;" km χρεώνονται +"&amp;ROUND('1_Τιμές_Εταιρείας'!D6,2)&amp;" €"</f>
        <v>Κάθε 10 km χρεώνονται +200 €</v>
      </c>
    </row>
    <row r="9" spans="1:6" x14ac:dyDescent="0.35">
      <c r="A9" s="5" t="s">
        <v>159</v>
      </c>
      <c r="B9" s="20">
        <f>'1_Τιμές_Εταιρείας'!D5 + (B8 * '1_Τιμές_Εταιρείας'!D6) + (B7 * '1_Τιμές_Εταιρείας'!D48)</f>
        <v>3200</v>
      </c>
      <c r="C9" s="4" t="s">
        <v>160</v>
      </c>
      <c r="D9" s="8" t="str">
        <f>"Βασική ("&amp;ROUND('1_Τιμές_Εταιρείας'!D5,0)&amp;"€) + Δεκάδες×"&amp;ROUND('1_Τιμές_Εταιρείας'!D6,0)&amp;"€ + Συνοδεία×"&amp;ROUND('1_Τιμές_Εταιρείας'!D48,0)&amp;"€/km"</f>
        <v>Βασική (1000€) + Δεκάδες×200€ + Συνοδεία×8€/km</v>
      </c>
      <c r="E9" s="20">
        <f>B9</f>
        <v>3200</v>
      </c>
      <c r="F9" s="8" t="s">
        <v>161</v>
      </c>
    </row>
    <row r="10" spans="1:6" x14ac:dyDescent="0.35">
      <c r="A10" s="16" t="s">
        <v>162</v>
      </c>
      <c r="B10" s="17">
        <v>8</v>
      </c>
      <c r="C10" s="4" t="s">
        <v>163</v>
      </c>
      <c r="D10" s="8" t="s">
        <v>164</v>
      </c>
      <c r="E10" s="12" t="s">
        <v>59</v>
      </c>
      <c r="F10" s="8" t="s">
        <v>165</v>
      </c>
    </row>
    <row r="11" spans="1:6" x14ac:dyDescent="0.35">
      <c r="A11" s="5" t="s">
        <v>166</v>
      </c>
      <c r="B11" s="20">
        <f>B9 / B10</f>
        <v>400</v>
      </c>
      <c r="C11" s="4" t="s">
        <v>167</v>
      </c>
      <c r="D11" s="8" t="s">
        <v>168</v>
      </c>
      <c r="E11" s="20">
        <f>B11</f>
        <v>400</v>
      </c>
      <c r="F11" s="8" t="s">
        <v>169</v>
      </c>
    </row>
    <row r="13" spans="1:6" ht="22" customHeight="1" x14ac:dyDescent="0.35">
      <c r="A13" s="56" t="s">
        <v>170</v>
      </c>
      <c r="B13" s="52"/>
      <c r="C13" s="52"/>
      <c r="D13" s="52"/>
      <c r="E13" s="52"/>
      <c r="F13" s="52"/>
    </row>
    <row r="14" spans="1:6" ht="22" customHeight="1" x14ac:dyDescent="0.35">
      <c r="A14" s="2" t="s">
        <v>151</v>
      </c>
      <c r="B14" s="3" t="s">
        <v>152</v>
      </c>
      <c r="C14" s="1" t="s">
        <v>6</v>
      </c>
      <c r="D14" s="2" t="s">
        <v>153</v>
      </c>
      <c r="E14" s="3" t="s">
        <v>154</v>
      </c>
      <c r="F14" s="2" t="s">
        <v>155</v>
      </c>
    </row>
    <row r="15" spans="1:6" x14ac:dyDescent="0.35">
      <c r="A15" s="16" t="s">
        <v>171</v>
      </c>
      <c r="B15" s="17">
        <v>600</v>
      </c>
      <c r="C15" s="4" t="s">
        <v>172</v>
      </c>
      <c r="D15" s="8" t="s">
        <v>173</v>
      </c>
      <c r="E15" s="12" t="s">
        <v>59</v>
      </c>
      <c r="F15" s="8" t="s">
        <v>174</v>
      </c>
    </row>
    <row r="16" spans="1:6" x14ac:dyDescent="0.35">
      <c r="A16" s="16" t="s">
        <v>175</v>
      </c>
      <c r="B16" s="21">
        <v>4</v>
      </c>
      <c r="C16" s="4" t="s">
        <v>68</v>
      </c>
      <c r="D16" s="8" t="s">
        <v>176</v>
      </c>
      <c r="E16" s="22" t="s">
        <v>59</v>
      </c>
      <c r="F16" s="8" t="s">
        <v>177</v>
      </c>
    </row>
    <row r="17" spans="1:6" x14ac:dyDescent="0.35">
      <c r="A17" s="16" t="s">
        <v>178</v>
      </c>
      <c r="B17" s="15">
        <f>B10</f>
        <v>8</v>
      </c>
      <c r="C17" s="4" t="s">
        <v>163</v>
      </c>
      <c r="D17" s="8" t="s">
        <v>179</v>
      </c>
      <c r="E17" s="12" t="s">
        <v>59</v>
      </c>
      <c r="F17" s="8" t="s">
        <v>180</v>
      </c>
    </row>
    <row r="18" spans="1:6" x14ac:dyDescent="0.35">
      <c r="A18" s="16" t="s">
        <v>181</v>
      </c>
      <c r="B18" s="11">
        <f>B16 * B17</f>
        <v>32</v>
      </c>
      <c r="C18" s="4" t="s">
        <v>68</v>
      </c>
      <c r="D18" s="8" t="s">
        <v>182</v>
      </c>
      <c r="E18" s="11">
        <f t="shared" ref="E18:E23" si="0">B18</f>
        <v>32</v>
      </c>
      <c r="F18" s="8" t="s">
        <v>183</v>
      </c>
    </row>
    <row r="19" spans="1:6" x14ac:dyDescent="0.35">
      <c r="A19" s="16" t="s">
        <v>184</v>
      </c>
      <c r="B19" s="20">
        <f>'1_Τιμές_Εταιρείας'!D9</f>
        <v>90</v>
      </c>
      <c r="C19" s="4" t="s">
        <v>185</v>
      </c>
      <c r="D19" s="8" t="str">
        <f>"Αντλείται από Τιμοκατάλογο (Ø600: "&amp;ROUND('1_Τιμές_Εταιρείας'!D9,2)&amp;" €/m)"</f>
        <v>Αντλείται από Τιμοκατάλογο (Ø600: 90 €/m)</v>
      </c>
      <c r="E19" s="20">
        <f t="shared" si="0"/>
        <v>90</v>
      </c>
      <c r="F19" s="8" t="s">
        <v>186</v>
      </c>
    </row>
    <row r="20" spans="1:6" x14ac:dyDescent="0.35">
      <c r="A20" s="5" t="s">
        <v>187</v>
      </c>
      <c r="B20" s="20">
        <f>B18 * B19</f>
        <v>2880</v>
      </c>
      <c r="C20" s="4" t="s">
        <v>188</v>
      </c>
      <c r="D20" s="8" t="s">
        <v>189</v>
      </c>
      <c r="E20" s="20">
        <f t="shared" si="0"/>
        <v>2880</v>
      </c>
      <c r="F20" s="8" t="s">
        <v>190</v>
      </c>
    </row>
    <row r="21" spans="1:6" x14ac:dyDescent="0.35">
      <c r="A21" s="16" t="s">
        <v>191</v>
      </c>
      <c r="B21" s="15">
        <f>PI()*((B15/1000)^2)/4 * B16</f>
        <v>1.1309733552923256</v>
      </c>
      <c r="C21" s="4" t="s">
        <v>192</v>
      </c>
      <c r="D21" s="8" t="s">
        <v>193</v>
      </c>
      <c r="E21" s="15">
        <f t="shared" si="0"/>
        <v>1.1309733552923256</v>
      </c>
      <c r="F21" s="8" t="s">
        <v>194</v>
      </c>
    </row>
    <row r="22" spans="1:6" x14ac:dyDescent="0.35">
      <c r="A22" s="16" t="s">
        <v>195</v>
      </c>
      <c r="B22" s="15">
        <f>B21 * (1 + '1_Τιμές_Εταιρείας'!D27)</f>
        <v>1.2440706908215582</v>
      </c>
      <c r="C22" s="4" t="s">
        <v>192</v>
      </c>
      <c r="D22" s="8" t="str">
        <f>"V_exc × "&amp;ROUND(1+'1_Τιμές_Εταιρείας'!D27,2)&amp;" (+"&amp;ROUND('1_Τιμές_Εταιρείας'!D27*100,0)&amp;"% απώλεια)"</f>
        <v>V_exc × 1.1 (+10% απώλεια)</v>
      </c>
      <c r="E22" s="15">
        <f t="shared" si="0"/>
        <v>1.2440706908215582</v>
      </c>
      <c r="F22" s="8" t="s">
        <v>196</v>
      </c>
    </row>
    <row r="23" spans="1:6" x14ac:dyDescent="0.35">
      <c r="A23" s="5" t="s">
        <v>197</v>
      </c>
      <c r="B23" s="20">
        <f>B22 * B17 * ('1_Τιμές_Εταιρείας'!D17 + '1_Τιμές_Εταιρείας'!D18)</f>
        <v>1293.8335184544205</v>
      </c>
      <c r="C23" s="4" t="s">
        <v>188</v>
      </c>
      <c r="D23" s="8" t="str">
        <f>"m³ × Πάσσαλοι × "&amp;ROUND('1_Τιμές_Εταιρείας'!D17+'1_Τιμές_Εταιρείας'!D18,2)&amp;" €/m³"</f>
        <v>m³ × Πάσσαλοι × 130 €/m³</v>
      </c>
      <c r="E23" s="20">
        <f t="shared" si="0"/>
        <v>1293.8335184544205</v>
      </c>
      <c r="F23" s="8" t="s">
        <v>198</v>
      </c>
    </row>
    <row r="25" spans="1:6" ht="22" customHeight="1" x14ac:dyDescent="0.35">
      <c r="A25" s="56" t="s">
        <v>199</v>
      </c>
      <c r="B25" s="52"/>
      <c r="C25" s="52"/>
      <c r="D25" s="52"/>
      <c r="E25" s="52"/>
      <c r="F25" s="52"/>
    </row>
    <row r="26" spans="1:6" ht="22" customHeight="1" x14ac:dyDescent="0.35">
      <c r="A26" s="2" t="s">
        <v>151</v>
      </c>
      <c r="B26" s="3" t="s">
        <v>152</v>
      </c>
      <c r="C26" s="1" t="s">
        <v>6</v>
      </c>
      <c r="D26" s="2" t="s">
        <v>153</v>
      </c>
      <c r="E26" s="3" t="s">
        <v>154</v>
      </c>
      <c r="F26" s="2" t="s">
        <v>155</v>
      </c>
    </row>
    <row r="27" spans="1:6" x14ac:dyDescent="0.35">
      <c r="A27" s="16" t="s">
        <v>200</v>
      </c>
      <c r="B27" s="17">
        <v>12</v>
      </c>
      <c r="C27" s="4" t="s">
        <v>163</v>
      </c>
      <c r="D27" s="8" t="s">
        <v>201</v>
      </c>
      <c r="E27" s="12" t="s">
        <v>59</v>
      </c>
      <c r="F27" s="8" t="s">
        <v>202</v>
      </c>
    </row>
    <row r="28" spans="1:6" x14ac:dyDescent="0.35">
      <c r="A28" s="16" t="s">
        <v>203</v>
      </c>
      <c r="B28" s="17">
        <v>20</v>
      </c>
      <c r="C28" s="4" t="s">
        <v>172</v>
      </c>
      <c r="D28" s="8" t="s">
        <v>201</v>
      </c>
      <c r="E28" s="12" t="s">
        <v>59</v>
      </c>
      <c r="F28" s="8" t="s">
        <v>204</v>
      </c>
    </row>
    <row r="29" spans="1:6" x14ac:dyDescent="0.35">
      <c r="A29" s="16" t="s">
        <v>205</v>
      </c>
      <c r="B29" s="21">
        <v>1</v>
      </c>
      <c r="C29" s="4" t="s">
        <v>68</v>
      </c>
      <c r="D29" s="8" t="s">
        <v>206</v>
      </c>
      <c r="E29" s="12" t="s">
        <v>59</v>
      </c>
      <c r="F29" s="8" t="s">
        <v>207</v>
      </c>
    </row>
    <row r="30" spans="1:6" x14ac:dyDescent="0.35">
      <c r="A30" s="16" t="s">
        <v>208</v>
      </c>
      <c r="B30" s="11">
        <f>IF((B16+B29)&gt;'1_Τιμές_Εταιρείας'!D29, '1_Τιμές_Εταιρείας'!D30*(B28/1000), 0)</f>
        <v>0</v>
      </c>
      <c r="C30" s="4" t="s">
        <v>68</v>
      </c>
      <c r="D30" s="8" t="str">
        <f>"Κανόνας "&amp;ROUND('1_Τιμές_Εταιρείας'!D30,0)&amp;"×Φ αν υπερβαίνει τα "&amp;ROUND('1_Τιμές_Εταιρείας'!D29,0)&amp;"m"</f>
        <v>Κανόνας 50×Φ αν υπερβαίνει τα 12m</v>
      </c>
      <c r="E30" s="19">
        <f>B30</f>
        <v>0</v>
      </c>
      <c r="F30" s="8" t="s">
        <v>209</v>
      </c>
    </row>
    <row r="31" spans="1:6" x14ac:dyDescent="0.35">
      <c r="A31" s="16" t="s">
        <v>210</v>
      </c>
      <c r="B31" s="11">
        <f>B16 + B29 + B30</f>
        <v>5</v>
      </c>
      <c r="C31" s="4" t="s">
        <v>68</v>
      </c>
      <c r="D31" s="8" t="s">
        <v>211</v>
      </c>
      <c r="E31" s="19">
        <f>B31</f>
        <v>5</v>
      </c>
      <c r="F31" s="8" t="s">
        <v>212</v>
      </c>
    </row>
    <row r="32" spans="1:6" x14ac:dyDescent="0.35">
      <c r="A32" s="16" t="s">
        <v>213</v>
      </c>
      <c r="B32" s="23">
        <f>B27 * B31 * (PI()*((B28/1000)^2)/4 * '1_Τιμές_Εταιρείας'!D26)</f>
        <v>147.96901398407925</v>
      </c>
      <c r="C32" s="4" t="s">
        <v>214</v>
      </c>
      <c r="D32" s="8" t="s">
        <v>215</v>
      </c>
      <c r="E32" s="23">
        <f>B32</f>
        <v>147.96901398407925</v>
      </c>
      <c r="F32" s="8" t="s">
        <v>216</v>
      </c>
    </row>
    <row r="33" spans="1:6" x14ac:dyDescent="0.35">
      <c r="A33" s="16" t="s">
        <v>217</v>
      </c>
      <c r="B33" s="17">
        <v>10</v>
      </c>
      <c r="C33" s="4" t="s">
        <v>172</v>
      </c>
      <c r="D33" s="8" t="s">
        <v>218</v>
      </c>
      <c r="E33" s="12" t="s">
        <v>59</v>
      </c>
      <c r="F33" s="8" t="s">
        <v>219</v>
      </c>
    </row>
    <row r="34" spans="1:6" x14ac:dyDescent="0.35">
      <c r="A34" s="16" t="s">
        <v>220</v>
      </c>
      <c r="B34" s="23">
        <f>(ROUNDUP(B16/0.15, 0)+1) * (PI()*((B15-150)/1000)) * (PI()*((B33/1000)^2)/4 * '1_Τιμές_Εταιρείας'!D26)</f>
        <v>24.405064282793706</v>
      </c>
      <c r="C34" s="4" t="s">
        <v>214</v>
      </c>
      <c r="D34" s="8" t="s">
        <v>221</v>
      </c>
      <c r="E34" s="23">
        <f>B34</f>
        <v>24.405064282793706</v>
      </c>
      <c r="F34" s="8" t="s">
        <v>222</v>
      </c>
    </row>
    <row r="35" spans="1:6" x14ac:dyDescent="0.35">
      <c r="A35" s="5" t="s">
        <v>223</v>
      </c>
      <c r="B35" s="23">
        <f>B32 + B34</f>
        <v>172.37407826687297</v>
      </c>
      <c r="C35" s="4" t="s">
        <v>214</v>
      </c>
      <c r="D35" s="8" t="s">
        <v>224</v>
      </c>
      <c r="E35" s="23">
        <f>B35</f>
        <v>172.37407826687297</v>
      </c>
      <c r="F35" s="8" t="s">
        <v>225</v>
      </c>
    </row>
    <row r="36" spans="1:6" x14ac:dyDescent="0.35">
      <c r="A36" s="5" t="s">
        <v>226</v>
      </c>
      <c r="B36" s="20">
        <f>B35 * B17 * '1_Τιμές_Εταιρείας'!D19</f>
        <v>1516.8918887484822</v>
      </c>
      <c r="C36" s="4" t="s">
        <v>188</v>
      </c>
      <c r="D36" s="8" t="str">
        <f>"kg/πάσσαλο × Πάσσαλοι × "&amp;ROUND('1_Τιμές_Εταιρείας'!D19,2)&amp;" €/kg"</f>
        <v>kg/πάσσαλο × Πάσσαλοι × 1.1 €/kg</v>
      </c>
      <c r="E36" s="20">
        <f>B36</f>
        <v>1516.8918887484822</v>
      </c>
      <c r="F36" s="8" t="s">
        <v>227</v>
      </c>
    </row>
    <row r="38" spans="1:6" ht="22" customHeight="1" x14ac:dyDescent="0.35">
      <c r="A38" s="56" t="s">
        <v>228</v>
      </c>
      <c r="B38" s="52"/>
      <c r="C38" s="52"/>
      <c r="D38" s="52"/>
      <c r="E38" s="52"/>
      <c r="F38" s="52"/>
    </row>
    <row r="39" spans="1:6" ht="22" customHeight="1" x14ac:dyDescent="0.35">
      <c r="A39" s="2" t="s">
        <v>151</v>
      </c>
      <c r="B39" s="3" t="s">
        <v>152</v>
      </c>
      <c r="C39" s="1" t="s">
        <v>6</v>
      </c>
      <c r="D39" s="2" t="s">
        <v>153</v>
      </c>
      <c r="E39" s="3" t="s">
        <v>154</v>
      </c>
      <c r="F39" s="2" t="s">
        <v>155</v>
      </c>
    </row>
    <row r="40" spans="1:6" x14ac:dyDescent="0.35">
      <c r="A40" s="16" t="s">
        <v>229</v>
      </c>
      <c r="B40" s="21">
        <v>0</v>
      </c>
      <c r="C40" s="4" t="s">
        <v>68</v>
      </c>
      <c r="D40" s="8" t="s">
        <v>230</v>
      </c>
      <c r="E40" s="22" t="s">
        <v>59</v>
      </c>
      <c r="F40" s="8" t="s">
        <v>231</v>
      </c>
    </row>
    <row r="41" spans="1:6" x14ac:dyDescent="0.35">
      <c r="A41" s="16" t="s">
        <v>232</v>
      </c>
      <c r="B41" s="21">
        <v>0</v>
      </c>
      <c r="C41" s="4" t="s">
        <v>68</v>
      </c>
      <c r="D41" s="8" t="s">
        <v>233</v>
      </c>
      <c r="E41" s="22" t="s">
        <v>59</v>
      </c>
      <c r="F41" s="8" t="s">
        <v>234</v>
      </c>
    </row>
    <row r="42" spans="1:6" x14ac:dyDescent="0.35">
      <c r="A42" s="5" t="s">
        <v>235</v>
      </c>
      <c r="B42" s="24">
        <f>B40-B41</f>
        <v>0</v>
      </c>
      <c r="C42" s="4" t="s">
        <v>68</v>
      </c>
      <c r="D42" s="8" t="s">
        <v>236</v>
      </c>
      <c r="E42" s="24">
        <f t="shared" ref="E42:E48" si="1">B42</f>
        <v>0</v>
      </c>
      <c r="F42" s="8" t="s">
        <v>237</v>
      </c>
    </row>
    <row r="43" spans="1:6" x14ac:dyDescent="0.35">
      <c r="A43" s="16" t="s">
        <v>238</v>
      </c>
      <c r="B43" s="11">
        <f>IF(B42&gt;0, MIN('1_Τιμές_Εταιρείας'!D31, B42), 0)</f>
        <v>0</v>
      </c>
      <c r="C43" s="4" t="s">
        <v>68</v>
      </c>
      <c r="D43" s="8" t="str">
        <f>"Έως +"&amp;ROUND('1_Τιμές_Εταιρείας'!D31,2)&amp;"m πάνω από cut-off αν Δh &gt; 0"</f>
        <v>Έως +2m πάνω από cut-off αν Δh &gt; 0</v>
      </c>
      <c r="E43" s="11">
        <f t="shared" si="1"/>
        <v>0</v>
      </c>
      <c r="F43" s="8" t="s">
        <v>239</v>
      </c>
    </row>
    <row r="44" spans="1:6" x14ac:dyDescent="0.35">
      <c r="A44" s="16" t="s">
        <v>240</v>
      </c>
      <c r="B44" s="11">
        <f>B16 + B42</f>
        <v>4</v>
      </c>
      <c r="C44" s="4" t="s">
        <v>68</v>
      </c>
      <c r="D44" s="8" t="s">
        <v>241</v>
      </c>
      <c r="E44" s="11">
        <f t="shared" si="1"/>
        <v>4</v>
      </c>
      <c r="F44" s="8" t="s">
        <v>242</v>
      </c>
    </row>
    <row r="45" spans="1:6" x14ac:dyDescent="0.35">
      <c r="A45" s="16" t="s">
        <v>243</v>
      </c>
      <c r="B45" s="9">
        <f>IF(B42&gt;0, B27, 0)</f>
        <v>0</v>
      </c>
      <c r="C45" s="4" t="s">
        <v>244</v>
      </c>
      <c r="D45" s="8" t="s">
        <v>245</v>
      </c>
      <c r="E45" s="19">
        <f t="shared" si="1"/>
        <v>0</v>
      </c>
      <c r="F45" s="8" t="s">
        <v>246</v>
      </c>
    </row>
    <row r="46" spans="1:6" x14ac:dyDescent="0.35">
      <c r="A46" s="5" t="s">
        <v>247</v>
      </c>
      <c r="B46" s="20">
        <f>B45 * '1_Τιμές_Εταιρείας'!D22</f>
        <v>0</v>
      </c>
      <c r="C46" s="4" t="s">
        <v>57</v>
      </c>
      <c r="D46" s="8" t="str">
        <f>"τεμ. sleeves × "&amp;ROUND('1_Τιμές_Εταιρείας'!D22,2)&amp;" €/τεμ."</f>
        <v>τεμ. sleeves × 3 €/τεμ.</v>
      </c>
      <c r="E46" s="20">
        <f t="shared" si="1"/>
        <v>0</v>
      </c>
      <c r="F46" s="8" t="s">
        <v>248</v>
      </c>
    </row>
    <row r="47" spans="1:6" x14ac:dyDescent="0.35">
      <c r="A47" s="16" t="s">
        <v>249</v>
      </c>
      <c r="B47" s="9">
        <f>IF(B42&gt;0, 1, 0)</f>
        <v>0</v>
      </c>
      <c r="C47" s="4" t="s">
        <v>244</v>
      </c>
      <c r="D47" s="8" t="s">
        <v>250</v>
      </c>
      <c r="E47" s="19">
        <f t="shared" si="1"/>
        <v>0</v>
      </c>
      <c r="F47" s="8" t="s">
        <v>251</v>
      </c>
    </row>
    <row r="48" spans="1:6" x14ac:dyDescent="0.35">
      <c r="A48" s="5" t="s">
        <v>252</v>
      </c>
      <c r="B48" s="20">
        <f>B47 * '1_Τιμές_Εταιρείας'!D23</f>
        <v>0</v>
      </c>
      <c r="C48" s="4" t="s">
        <v>57</v>
      </c>
      <c r="D48" s="8" t="str">
        <f>"1 τεμ. × "&amp;ROUND('1_Τιμές_Εταιρείας'!D23,2)&amp;" €/πάσσαλο"</f>
        <v>1 τεμ. × 150 €/πάσσαλο</v>
      </c>
      <c r="E48" s="20">
        <f t="shared" si="1"/>
        <v>0</v>
      </c>
      <c r="F48" s="8" t="s">
        <v>253</v>
      </c>
    </row>
  </sheetData>
  <mergeCells count="7">
    <mergeCell ref="A38:F38"/>
    <mergeCell ref="A2:F2"/>
    <mergeCell ref="A13:F13"/>
    <mergeCell ref="A1:F1"/>
    <mergeCell ref="A5:F5"/>
    <mergeCell ref="A4:F4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topLeftCell="A7" workbookViewId="0">
      <selection sqref="A1:B1"/>
    </sheetView>
  </sheetViews>
  <sheetFormatPr defaultRowHeight="14.5" x14ac:dyDescent="0.35"/>
  <cols>
    <col min="1" max="1" width="34" customWidth="1"/>
    <col min="2" max="2" width="115" customWidth="1"/>
  </cols>
  <sheetData>
    <row r="1" spans="1:2" x14ac:dyDescent="0.35">
      <c r="A1" s="54" t="s">
        <v>254</v>
      </c>
      <c r="B1" s="52"/>
    </row>
    <row r="3" spans="1:2" ht="24" customHeight="1" x14ac:dyDescent="0.35">
      <c r="A3" s="2" t="s">
        <v>255</v>
      </c>
      <c r="B3" s="2" t="s">
        <v>256</v>
      </c>
    </row>
    <row r="4" spans="1:2" ht="52" customHeight="1" x14ac:dyDescent="0.35">
      <c r="A4" s="5" t="s">
        <v>257</v>
      </c>
      <c r="B4" s="25" t="s">
        <v>258</v>
      </c>
    </row>
    <row r="5" spans="1:2" ht="39" customHeight="1" x14ac:dyDescent="0.35">
      <c r="A5" s="5" t="s">
        <v>259</v>
      </c>
      <c r="B5" s="25" t="str">
        <f>"Το ποσό μετακίνησης γεωτρύπανου είναι: "&amp;ROUND('1_Τιμές_Εταιρείας'!D5,2)&amp;" € εντός Λεμεσού + "&amp;ROUND('1_Τιμές_Εταιρείας'!D6,2)&amp;" € ανά "&amp;ROUND('1_Τιμές_Εταιρείας'!D28,0)&amp;" km εκτός Λεμεσού + "&amp;ROUND('1_Τιμές_Εταιρείας'!D48,2)&amp;" €/km Συνοδεία Αστυνομίας, και επιμερίζεται ισόποσα ανά πάσσαλο."</f>
        <v>Το ποσό μετακίνησης γεωτρύπανου είναι: 1000 € εντός Λεμεσού + 200 € ανά 10 km εκτός Λεμεσού + 8 €/km Συνοδεία Αστυνομίας, και επιμερίζεται ισόποσα ανά πάσσαλο.</v>
      </c>
    </row>
    <row r="6" spans="1:2" ht="52" customHeight="1" x14ac:dyDescent="0.35">
      <c r="A6" s="5" t="s">
        <v>260</v>
      </c>
      <c r="B6" s="25" t="s">
        <v>261</v>
      </c>
    </row>
    <row r="7" spans="1:2" ht="39" customHeight="1" x14ac:dyDescent="0.35">
      <c r="A7" s="5" t="s">
        <v>262</v>
      </c>
      <c r="B7" s="25" t="str">
        <f>"Για το κανονικό σκυρόδεμα: ROUND(Τιμή Αγοράς + "&amp;ROUND('1_Τιμές_Εταιρείας'!D18,2)&amp;" €/m³ τοποθέτηση + Στήσιμο Αντλίας/m³, 0). Στον γεωμετρικό όγκο προστίθεται απώλεια +"&amp;ROUND('1_Τιμές_Εταιρείας'!D27*100,0)&amp;"%."</f>
        <v>Για το κανονικό σκυρόδεμα: ROUND(Τιμή Αγοράς + 15 €/m³ τοποθέτηση + Στήσιμο Αντλίας/m³, 0). Στον γεωμετρικό όγκο προστίθεται απώλεια +10%.</v>
      </c>
    </row>
    <row r="8" spans="1:2" ht="65" customHeight="1" x14ac:dyDescent="0.35">
      <c r="A8" s="5" t="s">
        <v>263</v>
      </c>
      <c r="B8" s="25" t="str">
        <f>"Ο σίδηρος τιμολογείται ενιαία προς "&amp;ROUND('1_Τιμές_Εταιρείας'!D19,2)&amp;" €/kg. Αν η βέργα ξεπερνά τα "&amp;ROUND('1_Τιμές_Εταιρείας'!D29,0)&amp;" m, μπαίνει το μήκος μάτισης του σχεδίου (ή "&amp;ROUND('1_Τιμές_Εταιρείας'!D30,0)&amp;"×Φ αν δεν δίνεται στο σχέδιο)."</f>
        <v>Ο σίδηρος τιμολογείται ενιαία προς 1.1 €/kg. Αν η βέργα ξεπερνά τα 12 m, μπαίνει το μήκος μάτισης του σχεδίου (ή 50×Φ αν δεν δίνεται στο σχέδιο).</v>
      </c>
    </row>
    <row r="9" spans="1:2" ht="52" customHeight="1" x14ac:dyDescent="0.35">
      <c r="A9" s="5" t="s">
        <v>264</v>
      </c>
      <c r="B9" s="25" t="s">
        <v>265</v>
      </c>
    </row>
    <row r="10" spans="1:2" ht="39" customHeight="1" x14ac:dyDescent="0.35">
      <c r="A10" s="5" t="s">
        <v>266</v>
      </c>
      <c r="B10" s="25" t="str">
        <f>"Για καθαρό σκυρόδεμα στην κεφαλή, η σκυροδέτηση υπερβαίνει το Cut-Off κατά έως +"&amp;ROUND('1_Τιμές_Εταιρείας'!D31,2)&amp;" μέτρα (όταν Δh &gt; 0)."</f>
        <v>Για καθαρό σκυρόδεμα στην κεφαλή, η σκυροδέτηση υπερβαίνει το Cut-Off κατά έως +2 μέτρα (όταν Δh &gt; 0).</v>
      </c>
    </row>
    <row r="11" spans="1:2" ht="65" customHeight="1" x14ac:dyDescent="0.35">
      <c r="A11" s="5" t="s">
        <v>267</v>
      </c>
      <c r="B11" s="25" t="str">
        <f>"Τα Sleeves κοστολογούνται βάσει διαμέτρου Φ: [(Χρεωστέο μήκος × €/m) + Εργατικά ("&amp;ROUND('5_Ανάλυση_Κόστους_Sleeves'!D13,2)&amp;" άτομα × "&amp;ROUND('5_Ανάλυση_Κόστους_Sleeves'!D14,1)&amp;" λεπτά × "&amp;ROUND('5_Ανάλυση_Κόστους_Sleeves'!D12,2)&amp;" €/ώρα = "&amp;ROUND('5_Ανάλυση_Κόστους_Sleeves'!F14,4)&amp;" €) + Τέλλα ("&amp;ROUND('5_Ανάλυση_Κόστους_Sleeves'!F16,4)&amp;" €)] × "&amp;ROUND('5_Ανάλυση_Κόστους_Sleeves'!D17,2)&amp;" στρογγυλοποιημένο στο πλησιέστερο 0,50 €."</f>
        <v>Τα Sleeves κοστολογούνται βάσει διαμέτρου Φ: [(Χρεωστέο μήκος × €/m) + Εργατικά (1 άτομα × 3 λεπτά × 15.6 €/ώρα = 0.78 €) + Τέλλα (0.0876 €)] × 1.3 στρογγυλοποιημένο στο πλησιέστερο 0,50 €.</v>
      </c>
    </row>
    <row r="12" spans="1:2" ht="39" customHeight="1" x14ac:dyDescent="0.35">
      <c r="A12" s="5" t="s">
        <v>268</v>
      </c>
      <c r="B12" s="25" t="str">
        <f>"Κεφαλοκοπή πασσάλου: "&amp;ROUND('1_Τιμές_Εταιρείας'!D23,2)&amp;" €/πάσσαλο (με κουμπί ΝΑΙ/ΟΧΙ στο Φύλλο 3). Απομάκρυνση χώματος &amp; λατομικά τέλη: "&amp;ROUND('1_Τιμές_Εταιρείας'!D49,2)&amp;" €/m³ εκσκαφής (με κουμπί ΝΑΙ/ΟΧΙ στο Φύλλο 3)."</f>
        <v>Κεφαλοκοπή πασσάλου: 150 €/πάσσαλο (με κουμπί ΝΑΙ/ΟΧΙ στο Φύλλο 3). Απομάκρυνση χώματος &amp; λατομικά τέλη: 15 €/m³ εκσκαφής (με κουμπί ΝΑΙ/ΟΧΙ στο Φύλλο 3).</v>
      </c>
    </row>
    <row r="13" spans="1:2" ht="65" customHeight="1" x14ac:dyDescent="0.35">
      <c r="A13" s="26" t="s">
        <v>269</v>
      </c>
      <c r="B13" s="27" t="s">
        <v>270</v>
      </c>
    </row>
    <row r="14" spans="1:2" ht="78" customHeight="1" x14ac:dyDescent="0.35">
      <c r="A14" s="28" t="s">
        <v>271</v>
      </c>
      <c r="B14" s="29" t="s">
        <v>272</v>
      </c>
    </row>
    <row r="15" spans="1:2" ht="39" customHeight="1" x14ac:dyDescent="0.35">
      <c r="A15" s="5" t="s">
        <v>273</v>
      </c>
      <c r="B15" s="25" t="str">
        <f>"Αφετηρία: Άγιος Συλάς, Λεμεσός. Εντός Λεμεσού: "&amp;ROUND('1_Τιμές_Εταιρείας'!D5,2)&amp;" €. Εκτός Λεμεσού: +"&amp;ROUND('1_Τιμές_Εταιρείας'!D6,2)&amp;" € ανά "&amp;ROUND('1_Τιμές_Εταιρείας'!D28,0)&amp;" km + "&amp;ROUND('1_Τιμές_Εταιρείας'!D48,2)&amp;" €/km Συνοδεία Αστυνομίας."</f>
        <v>Αφετηρία: Άγιος Συλάς, Λεμεσός. Εντός Λεμεσού: 1000 €. Εκτός Λεμεσού: +200 € ανά 10 km + 8 €/km Συνοδεία Αστυνομίας.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6"/>
  <sheetViews>
    <sheetView workbookViewId="0">
      <selection activeCell="D15" sqref="D15"/>
    </sheetView>
  </sheetViews>
  <sheetFormatPr defaultRowHeight="14.5" x14ac:dyDescent="0.35"/>
  <cols>
    <col min="1" max="1" width="10" customWidth="1"/>
    <col min="2" max="2" width="38" customWidth="1"/>
    <col min="3" max="3" width="18" customWidth="1"/>
    <col min="4" max="4" width="22" customWidth="1"/>
    <col min="5" max="5" width="34" customWidth="1"/>
    <col min="6" max="6" width="22" customWidth="1"/>
    <col min="7" max="7" width="64" customWidth="1"/>
  </cols>
  <sheetData>
    <row r="1" spans="1:7" ht="28" customHeight="1" x14ac:dyDescent="0.35">
      <c r="A1" s="58" t="str">
        <f>"ΑΝΑΛΥΣΗ ΚΟΣΤΟΥΣ SLEEVES ΠΡΟΣΤΑΣΙΑΣ ΑΝΑΜΟΝΩΝ STARTER (ΥΛΙΚΑ + ΕΡΓΑΤΙΚΑ + ΤΕΛΛΑ) × "&amp;ROUND(D17,2)&amp;" (OVERHEAD, PROFIT &amp; DAMAGES)"</f>
        <v>ΑΝΑΛΥΣΗ ΚΟΣΤΟΥΣ SLEEVES ΠΡΟΣΤΑΣΙΑΣ ΑΝΑΜΟΝΩΝ STARTER (ΥΛΙΚΑ + ΕΡΓΑΤΙΚΑ + ΤΕΛΛΑ) × 1.3 (OVERHEAD, PROFIT &amp; DAMAGES)</v>
      </c>
      <c r="B1" s="52"/>
      <c r="C1" s="52"/>
      <c r="D1" s="52"/>
      <c r="E1" s="52"/>
      <c r="F1" s="52"/>
      <c r="G1" s="52"/>
    </row>
    <row r="2" spans="1:7" x14ac:dyDescent="0.35">
      <c r="A2" s="60" t="s">
        <v>274</v>
      </c>
      <c r="B2" s="52"/>
      <c r="C2" s="52"/>
      <c r="D2" s="52"/>
      <c r="E2" s="52"/>
      <c r="F2" s="52"/>
      <c r="G2" s="52"/>
    </row>
    <row r="4" spans="1:7" x14ac:dyDescent="0.35">
      <c r="A4" s="38" t="s">
        <v>275</v>
      </c>
    </row>
    <row r="5" spans="1:7" ht="30" customHeight="1" x14ac:dyDescent="0.35">
      <c r="A5" s="39" t="s">
        <v>276</v>
      </c>
      <c r="B5" s="39" t="s">
        <v>277</v>
      </c>
      <c r="C5" s="39" t="s">
        <v>278</v>
      </c>
      <c r="D5" s="39" t="s">
        <v>279</v>
      </c>
      <c r="E5" s="39" t="s">
        <v>280</v>
      </c>
      <c r="F5" s="39" t="s">
        <v>281</v>
      </c>
      <c r="G5" s="39" t="s">
        <v>282</v>
      </c>
    </row>
    <row r="6" spans="1:7" ht="26" customHeight="1" x14ac:dyDescent="0.35">
      <c r="A6" s="35" t="s">
        <v>283</v>
      </c>
      <c r="B6" s="36" t="s">
        <v>284</v>
      </c>
      <c r="C6" s="35" t="s">
        <v>285</v>
      </c>
      <c r="D6" s="40">
        <v>3</v>
      </c>
      <c r="E6" s="41">
        <v>4.0199999999999996</v>
      </c>
      <c r="F6" s="42">
        <f>E6/D6</f>
        <v>1.3399999999999999</v>
      </c>
      <c r="G6" s="36" t="str">
        <f>"Για κάθετη ράβδο έως Φ20 χρησιμοποιείται "&amp;C6&amp;" (έρχεται σε σωλήνες "&amp;ROUND(D6,2)&amp;"m προς "&amp;ROUND(E6,4)&amp;" € το ένα = "&amp;ROUND(F6,4)&amp;" €/m)"</f>
        <v>Για κάθετη ράβδο έως Φ20 χρησιμοποιείται Sleeve Φ32 (έρχεται σε σωλήνες 3m προς 4.02 € το ένα = 1.34 €/m)</v>
      </c>
    </row>
    <row r="7" spans="1:7" ht="26" customHeight="1" x14ac:dyDescent="0.35">
      <c r="A7" s="35" t="s">
        <v>286</v>
      </c>
      <c r="B7" s="36" t="s">
        <v>287</v>
      </c>
      <c r="C7" s="35" t="s">
        <v>288</v>
      </c>
      <c r="D7" s="40">
        <v>3</v>
      </c>
      <c r="E7" s="41">
        <v>5.7240000000000002</v>
      </c>
      <c r="F7" s="42">
        <f>E7/D7</f>
        <v>1.9080000000000001</v>
      </c>
      <c r="G7" s="36" t="str">
        <f>"Για κάθετη ράβδο Φ22–Φ25 χρησιμοποιείται "&amp;C7&amp;" (έρχεται σε σωλήνες "&amp;ROUND(D7,2)&amp;"m προς "&amp;ROUND(E7,4)&amp;" € το ένα = "&amp;ROUND(F7,4)&amp;" €/m)"</f>
        <v>Για κάθετη ράβδο Φ22–Φ25 χρησιμοποιείται Sleeve Φ38 (έρχεται σε σωλήνες 3m προς 5.724 € το ένα = 1.908 €/m)</v>
      </c>
    </row>
    <row r="8" spans="1:7" ht="26" customHeight="1" x14ac:dyDescent="0.35">
      <c r="A8" s="35" t="s">
        <v>289</v>
      </c>
      <c r="B8" s="36" t="s">
        <v>290</v>
      </c>
      <c r="C8" s="35" t="s">
        <v>291</v>
      </c>
      <c r="D8" s="40">
        <v>6</v>
      </c>
      <c r="E8" s="41">
        <v>12.061500000000001</v>
      </c>
      <c r="F8" s="42">
        <f>E8/D8</f>
        <v>2.0102500000000001</v>
      </c>
      <c r="G8" s="36" t="str">
        <f>"Για κάθετη ράβδο Φ26–Φ32 χρησιμοποιείται "&amp;C8&amp;" (έρχεται σε σωλήνες "&amp;ROUND(D8,2)&amp;"m προς "&amp;ROUND(E8,4)&amp;" € το ένα = "&amp;ROUND(F8,4)&amp;" €/m)"</f>
        <v>Για κάθετη ράβδο Φ26–Φ32 χρησιμοποιείται Sleeve Φ50 (έρχεται σε σωλήνες 6m προς 12.0615 € το ένα = 2.0103 €/m)</v>
      </c>
    </row>
    <row r="10" spans="1:7" x14ac:dyDescent="0.35">
      <c r="A10" s="38" t="str">
        <f>"Β. ΣΤΑΘΕΡΟ ΚΟΣΤΟΣ ΕΡΓΑΤΙΚΩΝ, ΤΕΛΛΑΣ &amp; ΣΥΝΤΕΛΕΣΤΗΣ OVERHEAD / PROFIT / DAMAGES (× "&amp;ROUND(D17,2)&amp;")"</f>
        <v>Β. ΣΤΑΘΕΡΟ ΚΟΣΤΟΣ ΕΡΓΑΤΙΚΩΝ, ΤΕΛΛΑΣ &amp; ΣΥΝΤΕΛΕΣΤΗΣ OVERHEAD / PROFIT / DAMAGES (× 1.3)</v>
      </c>
    </row>
    <row r="11" spans="1:7" ht="28" customHeight="1" x14ac:dyDescent="0.35">
      <c r="A11" s="39" t="s">
        <v>276</v>
      </c>
      <c r="B11" s="39" t="s">
        <v>292</v>
      </c>
      <c r="C11" s="39" t="s">
        <v>6</v>
      </c>
      <c r="D11" s="39" t="s">
        <v>293</v>
      </c>
      <c r="E11" s="39" t="s">
        <v>294</v>
      </c>
      <c r="F11" s="39" t="s">
        <v>295</v>
      </c>
      <c r="G11" s="39" t="s">
        <v>296</v>
      </c>
    </row>
    <row r="12" spans="1:7" ht="24" customHeight="1" x14ac:dyDescent="0.35">
      <c r="A12" s="35" t="s">
        <v>297</v>
      </c>
      <c r="B12" s="36" t="s">
        <v>298</v>
      </c>
      <c r="C12" s="35" t="s">
        <v>90</v>
      </c>
      <c r="D12" s="40">
        <v>15.6</v>
      </c>
      <c r="E12" s="36" t="str">
        <f>"Τιμή εργατοώρας = "&amp;ROUND(D12,2)&amp;" €/ώρα ανά άτομο"</f>
        <v>Τιμή εργατοώρας = 15.6 €/ώρα ανά άτομο</v>
      </c>
      <c r="F12" s="35" t="s">
        <v>59</v>
      </c>
      <c r="G12" s="36" t="str">
        <f>"Βασικό ωρομίσθιο εργάτη: "&amp;ROUND(D12,2)&amp;" €/ώρα"</f>
        <v>Βασικό ωρομίσθιο εργάτη: 15.6 €/ώρα</v>
      </c>
    </row>
    <row r="13" spans="1:7" ht="24" customHeight="1" x14ac:dyDescent="0.35">
      <c r="A13" s="35" t="s">
        <v>299</v>
      </c>
      <c r="B13" s="36" t="s">
        <v>300</v>
      </c>
      <c r="C13" s="35" t="s">
        <v>93</v>
      </c>
      <c r="D13" s="40">
        <v>1</v>
      </c>
      <c r="E13" s="36" t="str">
        <f>ROUND(D13,2)&amp;" άτομα → "&amp;ROUND(D13,2)&amp;" × "&amp;ROUND(D12,2)&amp;" € = "&amp;ROUND(D13*D12,2)&amp;" €/ώρα"</f>
        <v>1 άτομα → 1 × 15.6 € = 15.6 €/ώρα</v>
      </c>
      <c r="F13" s="35" t="s">
        <v>59</v>
      </c>
      <c r="G13" s="36" t="str">
        <f>"Συνεργείο "&amp;ROUND(D13,2)&amp;" ατόμων (συνολικό κόστος συνεργείου: "&amp;ROUND(D13*D12,2)&amp;" €/ώρα)"</f>
        <v>Συνεργείο 1 ατόμων (συνολικό κόστος συνεργείου: 15.6 €/ώρα)</v>
      </c>
    </row>
    <row r="14" spans="1:7" ht="24" customHeight="1" x14ac:dyDescent="0.35">
      <c r="A14" s="35" t="s">
        <v>301</v>
      </c>
      <c r="B14" s="36" t="s">
        <v>302</v>
      </c>
      <c r="C14" s="35" t="s">
        <v>96</v>
      </c>
      <c r="D14" s="40">
        <v>3</v>
      </c>
      <c r="E14" s="36" t="str">
        <f>ROUND(D14,2)&amp;" λεπτά = "&amp;ROUND(D14,2)&amp;"/60 της ώρας ("&amp;ROUND(D14/60,4)&amp;" ώρες)"</f>
        <v>3 λεπτά = 3/60 της ώρας (0.05 ώρες)</v>
      </c>
      <c r="F14" s="43">
        <f>(D14/60)*D13*D12</f>
        <v>0.78</v>
      </c>
      <c r="G14" s="36" t="str">
        <f>"Εργατικά ανά σίδερο = ("&amp;ROUND(D14,2)&amp;"/60) × "&amp;ROUND(D13,2)&amp;" άτομα × "&amp;ROUND(D12,2)&amp;" €/ώρα = "&amp;ROUND(F14,4)&amp;" €/σίδερο"</f>
        <v>Εργατικά ανά σίδερο = (3/60) × 1 άτομα × 15.6 €/ώρα = 0.78 €/σίδερο</v>
      </c>
    </row>
    <row r="15" spans="1:7" ht="24" customHeight="1" x14ac:dyDescent="0.35">
      <c r="A15" s="35" t="s">
        <v>303</v>
      </c>
      <c r="B15" s="36" t="s">
        <v>304</v>
      </c>
      <c r="C15" s="35" t="s">
        <v>103</v>
      </c>
      <c r="D15" s="40">
        <v>2.19</v>
      </c>
      <c r="E15" s="36" t="str">
        <f>"Τιμή προμηθευτή = "&amp;ROUND(D15,2)&amp;" €/ρολό"</f>
        <v>Τιμή προμηθευτή = 2.19 €/ρολό</v>
      </c>
      <c r="F15" s="35" t="s">
        <v>59</v>
      </c>
      <c r="G15" s="36" t="str">
        <f>"Μονωτική ταινία στεγανοποίησης sleeve ("&amp;ROUND(D15,2)&amp;" € το ρολό)"</f>
        <v>Μονωτική ταινία στεγανοποίησης sleeve (2.19 € το ρολό)</v>
      </c>
    </row>
    <row r="16" spans="1:7" ht="24" customHeight="1" x14ac:dyDescent="0.35">
      <c r="A16" s="35" t="s">
        <v>305</v>
      </c>
      <c r="B16" s="36" t="s">
        <v>306</v>
      </c>
      <c r="C16" s="35" t="s">
        <v>106</v>
      </c>
      <c r="D16" s="40">
        <v>25</v>
      </c>
      <c r="E16" s="36" t="str">
        <f>ROUND(D15,2)&amp;" € ÷ "&amp;ROUND(D16,0)&amp;" σίδερα"</f>
        <v>2.19 € ÷ 25 σίδερα</v>
      </c>
      <c r="F16" s="43">
        <f>D15/D16</f>
        <v>8.7599999999999997E-2</v>
      </c>
      <c r="G16" s="36" t="str">
        <f>"Κόστος Τέλλας ανά σίδερο = "&amp;ROUND(D15,2)&amp;" € / "&amp;ROUND(D16,0)&amp;" σίδερα = "&amp;ROUND(F16,4)&amp;" €/σίδερο"</f>
        <v>Κόστος Τέλλας ανά σίδερο = 2.19 € / 25 σίδερα = 0.0876 €/σίδερο</v>
      </c>
    </row>
    <row r="17" spans="1:7" ht="24" customHeight="1" x14ac:dyDescent="0.35">
      <c r="A17" s="35" t="s">
        <v>307</v>
      </c>
      <c r="B17" s="36" t="str">
        <f>"Συντελεστής Overhead, Profit &amp; Damages (× "&amp;ROUND(D17,2)&amp;")"</f>
        <v>Συντελεστής Overhead, Profit &amp; Damages (× 1.3)</v>
      </c>
      <c r="C17" s="35" t="s">
        <v>112</v>
      </c>
      <c r="D17" s="40">
        <v>1.3</v>
      </c>
      <c r="E17" s="36" t="str">
        <f>"Πολλαπλασιάζεται × "&amp;ROUND(D17,2)&amp;" επί του κόστους (Υλικό + Εργατικά + Τέλλα)"</f>
        <v>Πολλαπλασιάζεται × 1.3 επί του κόστους (Υλικό + Εργατικά + Τέλλα)</v>
      </c>
      <c r="F17" s="44">
        <f>D17</f>
        <v>1.3</v>
      </c>
      <c r="G17" s="36" t="str">
        <f>"Πάντα × "&amp;ROUND(D17,2)&amp;" (+"&amp;ROUND((D17-1)*100,0)&amp;"% Overhead, Κέρδος &amp; Ζημιές) στην τελική τιμή του Sleeve!"</f>
        <v>Πάντα × 1.3 (+30% Overhead, Κέρδος &amp; Ζημιές) στην τελική τιμή του Sleeve!</v>
      </c>
    </row>
    <row r="18" spans="1:7" ht="26" customHeight="1" x14ac:dyDescent="0.35">
      <c r="A18" s="61" t="str">
        <f>"ΣΥΝΟΛΙΚΟ ΣΤΑΘΕΡΟ ΕΣΩΤΕΡΙΚΟ ΚΟΣΤΟΣ ΑΝΑ ΣΙΔΕΡΟ (ΕΡΓΑΤΙΚΑ + ΤΕΛΛΑ — ΠΡΙΝ ΤΟ ×"&amp;ROUND(D17,2)&amp;"):"</f>
        <v>ΣΥΝΟΛΙΚΟ ΣΤΑΘΕΡΟ ΕΣΩΤΕΡΙΚΟ ΚΟΣΤΟΣ ΑΝΑ ΣΙΔΕΡΟ (ΕΡΓΑΤΙΚΑ + ΤΕΛΛΑ — ΠΡΙΝ ΤΟ ×1.3):</v>
      </c>
      <c r="B18" s="62"/>
      <c r="C18" s="62"/>
      <c r="D18" s="62"/>
      <c r="E18" s="62"/>
      <c r="F18" s="43">
        <f>F14+F16</f>
        <v>0.86760000000000004</v>
      </c>
      <c r="G18" s="36" t="str">
        <f>ROUND(F14,4)&amp;" € (Εργατικά: "&amp;ROUND(D13,2)&amp;" άτομα × "&amp;ROUND(D14,1)&amp;" λεπτά) + "&amp;ROUND(F16,4)&amp;" € (Τέλλα: "&amp;ROUND(D15,2)&amp;" € / "&amp;ROUND(D16,0)&amp;" σίδερα) = "&amp;ROUND(F18,4)&amp;" € ανά σίδερο"</f>
        <v>0.78 € (Εργατικά: 1 άτομα × 3 λεπτά) + 0.0876 € (Τέλλα: 2.19 € / 25 σίδερα) = 0.8676 € ανά σίδερο</v>
      </c>
    </row>
    <row r="20" spans="1:7" x14ac:dyDescent="0.35">
      <c r="A20" s="38" t="str">
        <f>"Γ. ΚΑΝΟΝΑΣ ΚΟΠΗΣ ΣΩΛΗΝΑ SLEEVE, ΣΤΡΟΓΓΥΛΟΠΟΙΗΣΗΣ ΦΥΡΑΣ, ΠΡΟΣΑΥΞΗΣΗΣ ×"&amp;ROUND(D17,2)&amp;" &amp; ΣΤΡΟΓΓΥΛΟΠΟΙΗΣΗΣ ΣΤΟ 0,50 €"</f>
        <v>Γ. ΚΑΝΟΝΑΣ ΚΟΠΗΣ ΣΩΛΗΝΑ SLEEVE, ΣΤΡΟΓΓΥΛΟΠΟΙΗΣΗΣ ΦΥΡΑΣ, ΠΡΟΣΑΥΞΗΣΗΣ ×1.3 &amp; ΣΤΡΟΓΓΥΛΟΠΟΙΗΣΗΣ ΣΤΟ 0,50 €</v>
      </c>
    </row>
    <row r="21" spans="1:7" ht="22" customHeight="1" x14ac:dyDescent="0.35">
      <c r="A21" s="59" t="s">
        <v>308</v>
      </c>
      <c r="B21" s="52"/>
      <c r="C21" s="52"/>
      <c r="D21" s="52"/>
      <c r="E21" s="52"/>
      <c r="F21" s="52"/>
      <c r="G21" s="52"/>
    </row>
    <row r="22" spans="1:7" ht="22" customHeight="1" x14ac:dyDescent="0.35">
      <c r="A22" s="59" t="str">
        <f>"2. Αν το L_req διαιρεί ακριβώς το εμπορικό μήκος του σωλήνα L_pipe (π.χ. L_req = 1,00 m σε σωλήνα "&amp;ROUND(D6,2)&amp;" m), δεν υπάρχει φύρα: Χρεωστέο μήκος L_billed = L_req."</f>
        <v>2. Αν το L_req διαιρεί ακριβώς το εμπορικό μήκος του σωλήνα L_pipe (π.χ. L_req = 1,00 m σε σωλήνα 3 m), δεν υπάρχει φύρα: Χρεωστέο μήκος L_billed = L_req.</v>
      </c>
      <c r="B22" s="52"/>
      <c r="C22" s="52"/>
      <c r="D22" s="52"/>
      <c r="E22" s="52"/>
      <c r="F22" s="52"/>
      <c r="G22" s="52"/>
    </row>
    <row r="23" spans="1:7" ht="22" customHeight="1" x14ac:dyDescent="0.35">
      <c r="A23" s="59" t="s">
        <v>309</v>
      </c>
      <c r="B23" s="52"/>
      <c r="C23" s="52"/>
      <c r="D23" s="52"/>
      <c r="E23" s="52"/>
      <c r="F23" s="52"/>
      <c r="G23" s="52"/>
    </row>
    <row r="24" spans="1:7" ht="22" customHeight="1" x14ac:dyDescent="0.35">
      <c r="A24" s="59" t="str">
        <f>"4. Εσωτερικό Κόστος Sleeve ανά σίδερο (€/τεμ.) = (L_billed × Κόστος Σωλήνα ανά μέτρο) + "&amp;ROUND(F14,4)&amp;" € (Εργατικά: "&amp;ROUND(D13,2)&amp;" άτομα × "&amp;ROUND(D14,1)&amp;" λεπτά × "&amp;ROUND(D12,2)&amp;" €/ώρα) + "&amp;ROUND(F16,4)&amp;" € (Τέλλα: "&amp;ROUND(D15,2)&amp;" € / "&amp;ROUND(D16,0)&amp;" σίδερα)."</f>
        <v>4. Εσωτερικό Κόστος Sleeve ανά σίδερο (€/τεμ.) = (L_billed × Κόστος Σωλήνα ανά μέτρο) + 0.78 € (Εργατικά: 1 άτομα × 3 λεπτά × 15.6 €/ώρα) + 0.0876 € (Τέλλα: 2.19 € / 25 σίδερα).</v>
      </c>
      <c r="B24" s="52"/>
      <c r="C24" s="52"/>
      <c r="D24" s="52"/>
      <c r="E24" s="52"/>
      <c r="F24" s="52"/>
      <c r="G24" s="52"/>
    </row>
    <row r="25" spans="1:7" ht="22" customHeight="1" x14ac:dyDescent="0.35">
      <c r="A25" s="59" t="str">
        <f>"5. Προσαύξηση × "&amp;ROUND(D17,2)&amp;" (Overhead, Profit &amp; Damages): Ακριβής Τιμή = Εσωτερικό Κόστος Sleeve × "&amp;ROUND(D17,2)&amp;"."</f>
        <v>5. Προσαύξηση × 1.3 (Overhead, Profit &amp; Damages): Ακριβής Τιμή = Εσωτερικό Κόστος Sleeve × 1.3.</v>
      </c>
      <c r="B25" s="52"/>
      <c r="C25" s="52"/>
      <c r="D25" s="52"/>
      <c r="E25" s="52"/>
      <c r="F25" s="52"/>
      <c r="G25" s="52"/>
    </row>
    <row r="26" spans="1:7" ht="22" customHeight="1" x14ac:dyDescent="0.35">
      <c r="A26" s="59" t="str">
        <f>"6. ΣΤΡΟΓΓΥΛΟΠΟΙΗΣΗ ΣΤΟ ΠΛΗΣΙΕΣΤΕΡΟ 0,50 €: Η τελική τιμή προσφοράς του Sleeve ανά σίδερο στρογγυλοποιείται πάντα στο πλησιέστερο 0,50 € με τον τύπο ROUND(Ακριβής_Τιμή × 2, 0) / 2. Π.χ. για Φ20 με L_billed = 1,00m: ("&amp;ROUND(F6,4)&amp;" + "&amp;ROUND(F18,4)&amp;") × "&amp;ROUND(D17,2)&amp;" = "&amp;ROUND((F6+F18)*D17,4)&amp;" € → "&amp;ROUND(ROUND((F6+F18)*D17*2,0)/2,2)&amp;" €/τεμ.!"</f>
        <v>6. ΣΤΡΟΓΓΥΛΟΠΟΙΗΣΗ ΣΤΟ ΠΛΗΣΙΕΣΤΕΡΟ 0,50 €: Η τελική τιμή προσφοράς του Sleeve ανά σίδερο στρογγυλοποιείται πάντα στο πλησιέστερο 0,50 € με τον τύπο ROUND(Ακριβής_Τιμή × 2, 0) / 2. Π.χ. για Φ20 με L_billed = 1,00m: (1.34 + 0.8676) × 1.3 = 2.8699 € → 3 €/τεμ.!</v>
      </c>
      <c r="B26" s="52"/>
      <c r="C26" s="52"/>
      <c r="D26" s="52"/>
      <c r="E26" s="52"/>
      <c r="F26" s="52"/>
      <c r="G26" s="52"/>
    </row>
  </sheetData>
  <mergeCells count="9">
    <mergeCell ref="A1:G1"/>
    <mergeCell ref="A21:G21"/>
    <mergeCell ref="A22:G22"/>
    <mergeCell ref="A26:G26"/>
    <mergeCell ref="A24:G24"/>
    <mergeCell ref="A2:G2"/>
    <mergeCell ref="A25:G25"/>
    <mergeCell ref="A18:E18"/>
    <mergeCell ref="A23:G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2"/>
  <sheetViews>
    <sheetView workbookViewId="0">
      <selection sqref="A1:F1"/>
    </sheetView>
  </sheetViews>
  <sheetFormatPr defaultRowHeight="14.5" x14ac:dyDescent="0.35"/>
  <cols>
    <col min="1" max="1" width="12" customWidth="1"/>
    <col min="2" max="2" width="42" customWidth="1"/>
    <col min="3" max="3" width="18" customWidth="1"/>
    <col min="4" max="4" width="64" customWidth="1"/>
    <col min="5" max="5" width="48" customWidth="1"/>
  </cols>
  <sheetData>
    <row r="1" spans="1:6" ht="28" customHeight="1" x14ac:dyDescent="0.35">
      <c r="A1" s="58" t="s">
        <v>310</v>
      </c>
      <c r="B1" s="52"/>
      <c r="C1" s="52"/>
      <c r="D1" s="52"/>
      <c r="E1" s="52"/>
      <c r="F1" s="52"/>
    </row>
    <row r="3" spans="1:6" x14ac:dyDescent="0.35">
      <c r="A3" s="38" t="s">
        <v>311</v>
      </c>
    </row>
    <row r="4" spans="1:6" ht="26" customHeight="1" x14ac:dyDescent="0.35">
      <c r="A4" s="39" t="s">
        <v>276</v>
      </c>
      <c r="B4" s="39" t="s">
        <v>312</v>
      </c>
      <c r="C4" s="39" t="s">
        <v>6</v>
      </c>
      <c r="D4" s="39" t="s">
        <v>313</v>
      </c>
      <c r="E4" s="39" t="s">
        <v>314</v>
      </c>
    </row>
    <row r="5" spans="1:6" ht="26" customHeight="1" x14ac:dyDescent="0.35">
      <c r="A5" s="35" t="s">
        <v>315</v>
      </c>
      <c r="B5" s="36" t="s">
        <v>316</v>
      </c>
      <c r="C5" s="35" t="s">
        <v>38</v>
      </c>
      <c r="D5" s="35" t="s">
        <v>317</v>
      </c>
      <c r="E5" s="36" t="s">
        <v>318</v>
      </c>
    </row>
    <row r="6" spans="1:6" ht="26" customHeight="1" x14ac:dyDescent="0.35">
      <c r="A6" s="35" t="s">
        <v>319</v>
      </c>
      <c r="B6" s="36" t="s">
        <v>320</v>
      </c>
      <c r="C6" s="35" t="s">
        <v>38</v>
      </c>
      <c r="D6" s="45">
        <f>'1_Τιμές_Εταιρείας'!D18</f>
        <v>15</v>
      </c>
      <c r="E6" s="36" t="str">
        <f>"Σταθερή επιβάρυνση τοποθέτησης = +"&amp;ROUND(D6,2)&amp;" €/m³ (από τον Τιμοκατάλογο Εταιρείας, κελί D18)"</f>
        <v>Σταθερή επιβάρυνση τοποθέτησης = +15 €/m³ (από τον Τιμοκατάλογο Εταιρείας, κελί D18)</v>
      </c>
    </row>
    <row r="7" spans="1:6" ht="26" customHeight="1" x14ac:dyDescent="0.35">
      <c r="A7" s="35" t="s">
        <v>321</v>
      </c>
      <c r="B7" s="36" t="s">
        <v>322</v>
      </c>
      <c r="C7" s="35" t="s">
        <v>323</v>
      </c>
      <c r="D7" s="35" t="s">
        <v>317</v>
      </c>
      <c r="E7" s="36" t="s">
        <v>324</v>
      </c>
    </row>
    <row r="8" spans="1:6" ht="26" customHeight="1" x14ac:dyDescent="0.35">
      <c r="A8" s="35" t="s">
        <v>325</v>
      </c>
      <c r="B8" s="36" t="s">
        <v>326</v>
      </c>
      <c r="C8" s="35" t="s">
        <v>38</v>
      </c>
      <c r="D8" s="35" t="str">
        <f>"ROUND(Τιμή Αγοράς + "&amp;ROUND(D6,2)&amp;" € + (Στήσιμο Αντλίας ÷ m³ ανά στήσιμο), 0)"</f>
        <v>ROUND(Τιμή Αγοράς + 15 € + (Στήσιμο Αντλίας ÷ m³ ανά στήσιμο), 0)</v>
      </c>
      <c r="E8" s="36" t="s">
        <v>327</v>
      </c>
    </row>
    <row r="10" spans="1:6" x14ac:dyDescent="0.35">
      <c r="A10" s="38" t="s">
        <v>328</v>
      </c>
    </row>
    <row r="11" spans="1:6" ht="26" customHeight="1" x14ac:dyDescent="0.35">
      <c r="A11" s="39" t="s">
        <v>276</v>
      </c>
      <c r="B11" s="39" t="s">
        <v>329</v>
      </c>
      <c r="C11" s="39" t="s">
        <v>6</v>
      </c>
      <c r="D11" s="39" t="s">
        <v>293</v>
      </c>
      <c r="E11" s="39" t="s">
        <v>330</v>
      </c>
    </row>
    <row r="12" spans="1:6" ht="24" customHeight="1" x14ac:dyDescent="0.35">
      <c r="A12" s="35" t="s">
        <v>331</v>
      </c>
      <c r="B12" s="36" t="s">
        <v>332</v>
      </c>
      <c r="C12" s="35" t="s">
        <v>11</v>
      </c>
      <c r="D12" s="37">
        <v>1000</v>
      </c>
      <c r="E12" s="36" t="str">
        <f>"Βασική χρέωση "&amp;ROUND(D12,2)&amp;" € για έργα εντός Λεμεσού"</f>
        <v>Βασική χρέωση 1000 € για έργα εντός Λεμεσού</v>
      </c>
    </row>
    <row r="13" spans="1:6" ht="24" customHeight="1" x14ac:dyDescent="0.35">
      <c r="A13" s="35" t="s">
        <v>333</v>
      </c>
      <c r="B13" s="36" t="str">
        <f>"Επιβάρυνση εκτός Λεμεσού ανά "&amp;ROUND(D14,0)&amp;" χιλιόμετρα"</f>
        <v>Επιβάρυνση εκτός Λεμεσού ανά 10 χιλιόμετρα</v>
      </c>
      <c r="C13" s="35" t="str">
        <f>"€/"&amp;ROUND(D14,0)&amp;" km"</f>
        <v>€/10 km</v>
      </c>
      <c r="D13" s="37">
        <v>200</v>
      </c>
      <c r="E13" s="36" t="str">
        <f>"+"&amp;ROUND(D13,2)&amp;" € για κάθε "&amp;ROUND(D14,0)&amp;" km εκτός Λεμεσού"</f>
        <v>+200 € για κάθε 10 km εκτός Λεμεσού</v>
      </c>
    </row>
    <row r="14" spans="1:6" ht="24" customHeight="1" x14ac:dyDescent="0.35">
      <c r="A14" s="35" t="s">
        <v>334</v>
      </c>
      <c r="B14" s="36" t="s">
        <v>335</v>
      </c>
      <c r="C14" s="35" t="s">
        <v>66</v>
      </c>
      <c r="D14" s="46">
        <v>10</v>
      </c>
      <c r="E14" s="36" t="str">
        <f>"Υπολογισμός ανά "&amp;ROUND(D14,0)&amp;" km: ROUNDUP(Χιλιόμετρα εκτός Λεμεσού / "&amp;ROUND(D14,0)&amp;", 0) × "&amp;ROUND(D13,2)&amp;" €"</f>
        <v>Υπολογισμός ανά 10 km: ROUNDUP(Χιλιόμετρα εκτός Λεμεσού / 10, 0) × 200 €</v>
      </c>
    </row>
    <row r="15" spans="1:6" ht="24" customHeight="1" x14ac:dyDescent="0.35">
      <c r="A15" s="35" t="s">
        <v>336</v>
      </c>
      <c r="B15" s="36" t="s">
        <v>114</v>
      </c>
      <c r="C15" s="35" t="s">
        <v>115</v>
      </c>
      <c r="D15" s="37">
        <v>8</v>
      </c>
      <c r="E15" s="36" t="str">
        <f>"+"&amp;ROUND(D15,2)&amp;" € ανά χιλιόμετρο συνοδείας Αστυνομίας (όταν έχουμε Πασσάλους Θεμελίωσης ή Νέφκες στις αγκυρώσεις)"</f>
        <v>+8 € ανά χιλιόμετρο συνοδείας Αστυνομίας (όταν έχουμε Πασσάλους Θεμελίωσης ή Νέφκες στις αγκυρώσεις)</v>
      </c>
    </row>
    <row r="17" spans="1:5" x14ac:dyDescent="0.35">
      <c r="A17" s="38" t="s">
        <v>337</v>
      </c>
    </row>
    <row r="18" spans="1:5" ht="26" customHeight="1" x14ac:dyDescent="0.35">
      <c r="A18" s="39" t="s">
        <v>2</v>
      </c>
      <c r="B18" s="39" t="s">
        <v>338</v>
      </c>
      <c r="C18" s="39" t="s">
        <v>339</v>
      </c>
      <c r="D18" s="39" t="s">
        <v>340</v>
      </c>
      <c r="E18" s="39" t="s">
        <v>341</v>
      </c>
    </row>
    <row r="19" spans="1:5" ht="34" customHeight="1" x14ac:dyDescent="0.35">
      <c r="A19" s="47" t="s">
        <v>342</v>
      </c>
      <c r="B19" s="48" t="s">
        <v>343</v>
      </c>
      <c r="C19" s="49" t="s">
        <v>344</v>
      </c>
      <c r="D19" s="36" t="s">
        <v>345</v>
      </c>
      <c r="E19" s="36" t="s">
        <v>346</v>
      </c>
    </row>
    <row r="20" spans="1:5" ht="34" customHeight="1" x14ac:dyDescent="0.35">
      <c r="A20" s="47" t="s">
        <v>347</v>
      </c>
      <c r="B20" s="48" t="str">
        <f>"Μετακινήσεις Γεωτρύπανου ("&amp;ROUND(D12,0)&amp;"€ Λεμεσός + "&amp;ROUND(D13,0)&amp;"€/"&amp;ROUND(D14,0)&amp;"km) &amp; Συνοδεία Αστυνομίας ("&amp;ROUND(D15,0)&amp;"€/km)"</f>
        <v>Μετακινήσεις Γεωτρύπανου (1000€ Λεμεσός + 200€/10km) &amp; Συνοδεία Αστυνομίας (8€/km)</v>
      </c>
      <c r="C20" s="50" t="s">
        <v>348</v>
      </c>
      <c r="D20" s="36" t="str">
        <f>"Ενσωματώθηκε στον Τιμοκατάλογο και στη Μηχανή v5.8: "&amp;ROUND(D12,0)&amp;"€ εντός Λεμεσού + "&amp;ROUND(D13,0)&amp;"€ ανά "&amp;ROUND(D14,0)&amp;"km + "&amp;ROUND(D15,0)&amp;"€/km συνοδεία Αστυνομίας."</f>
        <v>Ενσωματώθηκε στον Τιμοκατάλογο και στη Μηχανή v5.8: 1000€ εντός Λεμεσού + 200€ ανά 10km + 8€/km συνοδεία Αστυνομίας.</v>
      </c>
      <c r="E20" s="36" t="s">
        <v>349</v>
      </c>
    </row>
    <row r="21" spans="1:5" ht="34" customHeight="1" x14ac:dyDescent="0.35">
      <c r="A21" s="47" t="s">
        <v>350</v>
      </c>
      <c r="B21" s="48" t="s">
        <v>351</v>
      </c>
      <c r="C21" s="49" t="s">
        <v>344</v>
      </c>
      <c r="D21" s="36" t="s">
        <v>352</v>
      </c>
      <c r="E21" s="36" t="s">
        <v>353</v>
      </c>
    </row>
    <row r="22" spans="1:5" ht="34" customHeight="1" x14ac:dyDescent="0.35">
      <c r="A22" s="47" t="s">
        <v>354</v>
      </c>
      <c r="B22" s="48" t="str">
        <f>"Απομάκρυνση Εκσκαπτόμενου Χώματος &amp; Λατομικά Τέλη (Προσωρινά "&amp;ROUND('1_Τιμές_Εταιρείας'!D49,2)&amp;" €/m³ εκσκαφής)"</f>
        <v>Απομάκρυνση Εκσκαπτόμενου Χώματος &amp; Λατομικά Τέλη (Προσωρινά 15 €/m³ εκσκαφής)</v>
      </c>
      <c r="C22" s="49" t="s">
        <v>344</v>
      </c>
      <c r="D22" s="36" t="str">
        <f>"Προσωρινή τιμή "&amp;ROUND('1_Τιμές_Εταιρείας'!D49,2)&amp;" €/m³ επί του γεωμετρικού όγκου εκσκαφής (V_exc) με κουμπί επιλογής ΝΑΙ/ΟΧΙ στο Φύλλο 3. Εκκρεμεί η αναλυτική φόρμουλα εσωτερικού κόστους."</f>
        <v>Προσωρινή τιμή 15 €/m³ επί του γεωμετρικού όγκου εκσκαφής (V_exc) με κουμπί επιλογής ΝΑΙ/ΟΧΙ στο Φύλλο 3. Εκκρεμεί η αναλυτική φόρμουλα εσωτερικού κόστους.</v>
      </c>
      <c r="E22" s="36" t="s">
        <v>355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1_Τιμές_Εταιρείας</vt:lpstr>
      <vt:lpstr>2_Βάρη_Διατομών_Χάλυβα</vt:lpstr>
      <vt:lpstr>3_Υπολογιστές_Έργων_&amp;_Math</vt:lpstr>
      <vt:lpstr>4_Κανόνες_&amp;_Πολιτική</vt:lpstr>
      <vt:lpstr>5_Ανάλυση_Κόστους_Sleeves</vt:lpstr>
      <vt:lpstr>6_Ανάλυση_Σκυροδέματος_&amp;_TODO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Polys Argyrides</cp:lastModifiedBy>
  <dcterms:created xsi:type="dcterms:W3CDTF">2026-10-14T10:23:48Z</dcterms:created>
  <dcterms:modified xsi:type="dcterms:W3CDTF">2026-10-23T08:30:57Z</dcterms:modified>
</cp:coreProperties>
</file>