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nikth\.gemini\antigravity\scratch\pricing_edafoiloseis\"/>
    </mc:Choice>
  </mc:AlternateContent>
  <xr:revisionPtr revIDLastSave="0" documentId="13_ncr:1_{8589A161-80E4-431F-8596-A0A8CF54A8A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1_Τιμές_Εταιρείας" sheetId="1" r:id="rId1"/>
    <sheet name="2_Βάρη_Διατομών_Χάλυβα" sheetId="2" r:id="rId2"/>
    <sheet name="3_Υπολογιστές_Έργων_&amp;_Math" sheetId="3" r:id="rId3"/>
    <sheet name="4_Κανόνες_&amp;_Πολιτική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5" i="3" l="1"/>
  <c r="E25" i="3" s="1"/>
  <c r="F25" i="3" s="1"/>
  <c r="B19" i="3"/>
  <c r="E19" i="3" s="1"/>
  <c r="D16" i="3"/>
  <c r="E16" i="3" s="1"/>
  <c r="D15" i="3"/>
  <c r="B8" i="3"/>
  <c r="D15" i="2"/>
  <c r="C15" i="2"/>
  <c r="E15" i="2" s="1"/>
  <c r="D14" i="2"/>
  <c r="C14" i="2"/>
  <c r="E14" i="2" s="1"/>
  <c r="D13" i="2"/>
  <c r="C13" i="2"/>
  <c r="E13" i="2" s="1"/>
  <c r="D12" i="2"/>
  <c r="C12" i="2"/>
  <c r="E12" i="2" s="1"/>
  <c r="D11" i="2"/>
  <c r="C11" i="2"/>
  <c r="E11" i="2" s="1"/>
  <c r="D10" i="2"/>
  <c r="C10" i="2"/>
  <c r="E10" i="2" s="1"/>
  <c r="D9" i="2"/>
  <c r="C9" i="2"/>
  <c r="E9" i="2" s="1"/>
  <c r="D8" i="2"/>
  <c r="C8" i="2"/>
  <c r="E8" i="2" s="1"/>
  <c r="D7" i="2"/>
  <c r="C7" i="2"/>
  <c r="E7" i="2" s="1"/>
  <c r="D6" i="2"/>
  <c r="C6" i="2"/>
  <c r="E6" i="2" s="1"/>
  <c r="D5" i="2"/>
  <c r="C5" i="2"/>
  <c r="E5" i="2" s="1"/>
  <c r="D17" i="3" l="1"/>
  <c r="E15" i="3"/>
  <c r="E17" i="3" s="1"/>
  <c r="B18" i="3" s="1"/>
  <c r="B10" i="3"/>
  <c r="E10" i="3" s="1"/>
  <c r="B9" i="3"/>
  <c r="E9" i="3" s="1"/>
  <c r="E8" i="3"/>
  <c r="E18" i="3" l="1"/>
  <c r="B20" i="3"/>
  <c r="E20" i="3" s="1"/>
</calcChain>
</file>

<file path=xl/sharedStrings.xml><?xml version="1.0" encoding="utf-8"?>
<sst xmlns="http://schemas.openxmlformats.org/spreadsheetml/2006/main" count="192" uniqueCount="159">
  <si>
    <t>ΚΕΝΤΡΙΚΟΣ ΤΙΜΟΚΑΤΑΛΟΓΟΣ ΕΤΑΙΡΕΙΑΣ — ΕΔΡΑ: ΑΓΙΟΣ ΣΥΛΑΣ, ΛΕΜΕΣΟΣ</t>
  </si>
  <si>
    <t>ΚΙΤΡΙΝΟ = Τιμές μονάδας που αλλάζουν με την αγορά  |  ΛΕΥΚΟ = Φυσικές σταθερές &amp; τύποι (δεν αγγίζονται)</t>
  </si>
  <si>
    <t>Α/Α</t>
  </si>
  <si>
    <t>Πυλώνας Κόστους</t>
  </si>
  <si>
    <t>Είδος Υλικού / Εργασίας</t>
  </si>
  <si>
    <t>Τιμή Μονάδας (€)
[ΚΙΤΡΙΝΟ = ΑΛΛΑΖΕΙ]</t>
  </si>
  <si>
    <t>Μονάδα</t>
  </si>
  <si>
    <t>Κανόνας &amp; Χρήση στην Κοστολόγηση</t>
  </si>
  <si>
    <t>1. Μετακινήσεις</t>
  </si>
  <si>
    <t>Στράτα Shotcrete — Βασική τιμή (Ζώνη 1: 0–50 km)</t>
  </si>
  <si>
    <t>€/στράτα</t>
  </si>
  <si>
    <t>Βάση: Άγιος Συλάς. Στράτες shotcrete = σειρές ήλων + 1</t>
  </si>
  <si>
    <t>Στράτα Εδαφοηλώσεων — Βασική τιμή (Ζώνη 1: 0–50 km)</t>
  </si>
  <si>
    <t>Βάση: Άγιος Συλάς. Στράτες εδαφοηλώσεων = σειρές ήλων</t>
  </si>
  <si>
    <t>Επιβάρυνση ανά επιπλέον 50 km (έξω από τα 50 km)</t>
  </si>
  <si>
    <t>Υπολογίζεται αυτόματα: +50 € ανά ζώνη 50km πάνω από τη βασική</t>
  </si>
  <si>
    <t>2. Σχάρες</t>
  </si>
  <si>
    <t>Σίδηρος σχάρας — Αγορά χάλυβα</t>
  </si>
  <si>
    <t>€/kg</t>
  </si>
  <si>
    <t>Υπολογίζεται με kg/m² επί m² μετώπου (ίδια τιμή για όλα τα Y)</t>
  </si>
  <si>
    <t>Σχάρα — Τοποθέτηση / Εργατικά</t>
  </si>
  <si>
    <t>€/m²</t>
  </si>
  <si>
    <t>Ενιαία τιμή τοποθέτησης ανά m² μετώπου εκσκαφής</t>
  </si>
  <si>
    <t>3. Εκτοξευόμενο</t>
  </si>
  <si>
    <t>Σκυρόδεμα C30/37 — Αγορά κουγκριού</t>
  </si>
  <si>
    <t>€/m³</t>
  </si>
  <si>
    <t>Όγκος = m² μετώπου × (ονομαστικό πάχος + 0,05 m απώλεια)</t>
  </si>
  <si>
    <t>Εκτοξευόμενο — Τοποθέτηση / Εκτόξευση</t>
  </si>
  <si>
    <t>Ενιαία τιμή τοποθέτησης &amp; άντλησης ανά m³</t>
  </si>
  <si>
    <t>4. Εδαφοηλώσεις</t>
  </si>
  <si>
    <t>Τρύπημα (Διάτρηση) — Ήλοι μήκους ≥ 6.0 m</t>
  </si>
  <si>
    <t>€/m</t>
  </si>
  <si>
    <t>Συνολικά μέτρα διάτρησης ήλων ≥ 6m (π.χ. ALDO SQ1: 25 €/m)</t>
  </si>
  <si>
    <t>Τρύπημα (Διάτρηση) — Ήλοι μήκους &lt; 6.0 m</t>
  </si>
  <si>
    <t>Συνολικά μέτρα διάτρησης ήλων &lt; 6m</t>
  </si>
  <si>
    <t>Τρύπημα (Διάτρηση) — Μικρές δουλειές (≤ 5 ήλοι)</t>
  </si>
  <si>
    <t>Εφαρμόζεται σε μικρές επεμβάσεις έως 5 εδαφοηλώσεις</t>
  </si>
  <si>
    <t>Grout (Τσιμεντένεμα) πλήρωσης οπών</t>
  </si>
  <si>
    <t>Όγκος = π × R² × μήκος οπής (υπολογίζεται και ανά έναν ήλο)</t>
  </si>
  <si>
    <t>Σίδηρος ήλωσης — Αγορά + Τοποθέτηση + Επεξεργασία</t>
  </si>
  <si>
    <t>Ενιαία τιμή για όλες τις ράβδους B500C (μήκος × kg/m × 1,50 €)</t>
  </si>
  <si>
    <t>Σχηματισμός πάσου (σπείρωμα για το nut)</t>
  </si>
  <si>
    <t>€/τεμ.</t>
  </si>
  <si>
    <t>Χρέωση ανά κεφαλή ήλου για τη διαμόρφωση σπειρώματος</t>
  </si>
  <si>
    <t>Πλάκα έδρασης κεφαλής</t>
  </si>
  <si>
    <t>Βάρος = ύψος × πλάτος × πάχος × 7850 kg/m³ × 2,00 €/kg</t>
  </si>
  <si>
    <t>Nut (Περικόχλιο) &amp; Ροδέλα</t>
  </si>
  <si>
    <t>1 σετ περικοχλίου &amp; ροδέλας ανά ήλο</t>
  </si>
  <si>
    <t>Β. ΦΥΣΙΚΕΣ ΣΤΑΘΕΡΕΣ &amp; ΠΑΓΙΟΙ ΚΑΝΟΝΕΣ (ΛΕΥΚΟ — ΔΕΝ ΑΛΛΑΖΟΥΝ ΠΟΤΕ)</t>
  </si>
  <si>
    <t>—</t>
  </si>
  <si>
    <t>Σταθερά</t>
  </si>
  <si>
    <t>Πυκνότητα χάλυβα (ρ)</t>
  </si>
  <si>
    <t>kg/m³</t>
  </si>
  <si>
    <t>Φυσική σταθερά για υπολογισμό κιλών ράβδων, σχαρών, πλακών</t>
  </si>
  <si>
    <t>Πάγια απώλεια πάχους εκτοξευόμενου (+5cm)</t>
  </si>
  <si>
    <t>m</t>
  </si>
  <si>
    <t>Προστίθεται υποχρεωτικά στο ονομαστικό πάχος της μελέτης</t>
  </si>
  <si>
    <t>Βασική ακτίνα απόστασης (Ζώνη 1)</t>
  </si>
  <si>
    <t>km</t>
  </si>
  <si>
    <t>Καλύπτει ακτίνα 50 km από Άγιο Συλά, Σπύρου Κυπριανού 32, Λεμεσό</t>
  </si>
  <si>
    <t>ΜΗΤΡΩΟ ΔΙΑΤΟΜΩΝ ΧΑΛΥΒΑ (Y6 ΕΩΣ Y40) — ΘΕΩΡΗΤΙΚΟ ΒΑΡΟΣ kg/m</t>
  </si>
  <si>
    <t>Φυσικός τύπος: kg/m = π × (d/1000)² / 4 × 7.850 kg/m³  |  Ίδια τιμή €/kg για όλες τις διατομές</t>
  </si>
  <si>
    <t>Διατομή (Y)</t>
  </si>
  <si>
    <t>Διάμετρος d (mm)</t>
  </si>
  <si>
    <t>Θεωρητικό Βάρος (kg/m)</t>
  </si>
  <si>
    <t>Τιμή Σιδήρου Ήλωσης (€/kg)</t>
  </si>
  <si>
    <t>Κόστος ράβδου ανά τρέχον μέτρο (€/m)</t>
  </si>
  <si>
    <t>Συνήθης Χρήση</t>
  </si>
  <si>
    <t>Y6</t>
  </si>
  <si>
    <t>Σχάρες μετώπου ελαφρού τύπου</t>
  </si>
  <si>
    <t>Y8</t>
  </si>
  <si>
    <t>Σχάρες μετώπου τυπικού τύπου</t>
  </si>
  <si>
    <t>Y10</t>
  </si>
  <si>
    <t>Σχάρες μετώπου (π.χ. ALDO SQ1 Y10/150)</t>
  </si>
  <si>
    <t>Y12</t>
  </si>
  <si>
    <t>Βαριές σχάρες μετώπου / μικροί ήλοι</t>
  </si>
  <si>
    <t>Y14</t>
  </si>
  <si>
    <t>Ειδικοί οπλισμοί</t>
  </si>
  <si>
    <t>Y16</t>
  </si>
  <si>
    <t>Ήλοι μικρού μήκους</t>
  </si>
  <si>
    <t>Y20</t>
  </si>
  <si>
    <t>Εδαφοηλώσεις μέσου φορτίου / βαριά grids</t>
  </si>
  <si>
    <t>Y25</t>
  </si>
  <si>
    <t>Κύριος οπλισμός ήλων (π.χ. ALDO SQ1 Y25)</t>
  </si>
  <si>
    <t>Y28</t>
  </si>
  <si>
    <t>Εδαφοηλώσεις υψηλού φορτίου</t>
  </si>
  <si>
    <t>Y32</t>
  </si>
  <si>
    <t>Βαριές εδαφοηλώσεις / μόνιμα αγκύρια</t>
  </si>
  <si>
    <t>Y40</t>
  </si>
  <si>
    <t>Πολύ βαριά αγκύρια / μικροπάσσαλοι</t>
  </si>
  <si>
    <t>ΕΡΓΑΛΕΙΑ ΥΠΟΛΟΓΙΣΜΟΥ ΕΡΓΩΝ &amp; ΕΠΕΞΗΓΗΣΗ ΜΑΘΗΜΑΤΙΚΩΝ (SANDBOX)</t>
  </si>
  <si>
    <t>ΓΑΛΑΖΙΑ ΚΕΛΙΑ = Εισαγωγή στοιχείων από τη μελέτη μηχανικού  |  Οι τιμές μονάδας αντλούνται αυτόματα από τον Τιμοκατάλογο (Φύλλο 1)</t>
  </si>
  <si>
    <t>1. ΥΠΟΛΟΓΙΣΤΗΣ ΤΙΜΗΣ ΣΤΡΑΤΑΣ ΑΝΑ ΑΠΟΣΤΑΣΗ ΕΡΓΟΤΑΞΙΟΥ</t>
  </si>
  <si>
    <t>Εισάγετε τη χιλιομετρική απόσταση του έργου από την έδρα (Άγιος Συλάς, Σπύρου Κυπριανού 32):</t>
  </si>
  <si>
    <t>Παράμετρος Έργου</t>
  </si>
  <si>
    <t>Τιμή / Εισαγωγή</t>
  </si>
  <si>
    <t>Τύπος Υπολογισμού</t>
  </si>
  <si>
    <t>Αποτέλεσμα</t>
  </si>
  <si>
    <t>Παρατηρήσεις</t>
  </si>
  <si>
    <t>Οδική Απόσταση Έργου από Άγιο Συλά</t>
  </si>
  <si>
    <t>Εισαγωγή από μελέτη / Google Maps</t>
  </si>
  <si>
    <t>Βασική ζώνη έως 50 km</t>
  </si>
  <si>
    <t>Επιπλέον Ζώνες των 50 km</t>
  </si>
  <si>
    <t>ζώνες</t>
  </si>
  <si>
    <t>MAX(0, ROUNDUP((km − 50)/50, 0))</t>
  </si>
  <si>
    <t>0 = έως 50km, 1 = 51-100km, 2 = 101-150km</t>
  </si>
  <si>
    <t>Τελική Τιμή Στράτας Shotcrete για το Έργο</t>
  </si>
  <si>
    <t>€ / στράτα</t>
  </si>
  <si>
    <t>Βασική (350 €) + Ζώνες × 50 €</t>
  </si>
  <si>
    <t>Χρησιμοποιείται στην κοστολόγηση shotcrete</t>
  </si>
  <si>
    <t>Τελική Τιμή Στράτας Εδαφοηλώσεων για το Έργο</t>
  </si>
  <si>
    <t>Βασική (450 €) + Ζώνες × 50 €</t>
  </si>
  <si>
    <t>Χρησιμοποιείται στην κοστολόγηση ήλων</t>
  </si>
  <si>
    <t>2. ΥΠΟΛΟΓΙΣΤΗΣ ΒΑΡΟΥΣ &amp; ΚΟΣΤΟΥΣ ΣΧΑΡΑΣ ΜΕΛΕΤΗΣ (CUSTOM GRID CALCULATOR)</t>
  </si>
  <si>
    <t>Εισάγετε τη διάμετρο Y και το βήμα (απόσταση σε mm) για τις οριζόντιες και κάθετες ράβδους:</t>
  </si>
  <si>
    <t>Διεύθυνση Οπλισμού</t>
  </si>
  <si>
    <t>Διάμετρος Y (mm)</t>
  </si>
  <si>
    <t>Βήμα s (mm)</t>
  </si>
  <si>
    <t>Μέτρα Ράβδων ανά m²</t>
  </si>
  <si>
    <t>Βάρος Ράβδων (kg/m²)</t>
  </si>
  <si>
    <t>Τρόπος Υπολογισμού</t>
  </si>
  <si>
    <t>Οριζόντιες Ράβδοι Μετώπου</t>
  </si>
  <si>
    <t>1000/s × kg/m του Y</t>
  </si>
  <si>
    <t>Κάθετες Ράβδοι Μετώπου</t>
  </si>
  <si>
    <t>ΣΥΝΟΛΙΚΟ ΒΑΡΟΣ ΧΑΛΥΒΑ ΣΧΑΡΑΣ</t>
  </si>
  <si>
    <t>kg χάλυβα ανά m² επιφάνειας μετώπου</t>
  </si>
  <si>
    <t>Κόστος Αγοράς Σιδήρου Σχάρας ανά m²</t>
  </si>
  <si>
    <t>€ / m²</t>
  </si>
  <si>
    <t>kg/m² × 2,50 €/kg (από Τιμοκατάλογο)</t>
  </si>
  <si>
    <t>Κόστος υλικού</t>
  </si>
  <si>
    <t>Κόστος Τοποθέτησης Σχάρας ανά m²</t>
  </si>
  <si>
    <t>15,00 €/m² (από Τιμοκατάλογο)</t>
  </si>
  <si>
    <t>Εργατικά τοποθέτησης</t>
  </si>
  <si>
    <t>ΤΕΛΙΚΟ ΚΟΣΤΟΣ ΣΧΑΡΑΣ ΑΝΑ m² (ΑΓΟΡΑ + ΤΟΠΟΘΕΤΗΣΗ)</t>
  </si>
  <si>
    <t>Αγορά + Τοποθέτηση</t>
  </si>
  <si>
    <t>Συνολικό κόστος ανά m² για την κοστολόγηση</t>
  </si>
  <si>
    <t>3. ΥΠΟΛΟΓΙΣΤΗΣ ΒΑΡΟΥΣ &amp; ΚΟΣΤΟΥΣ ΠΛΑΚΑΣ ΕΔΡΑΣΗΣ</t>
  </si>
  <si>
    <t>Εισάγετε τις διαστάσεις της χαλύβδινης πλάκας έδρασης κεφαλής από το σχέδιο (σε mm):</t>
  </si>
  <si>
    <t>Ύψος H (mm)</t>
  </si>
  <si>
    <t>Πλάτος W (mm)</t>
  </si>
  <si>
    <t>Πάχος T (mm)</t>
  </si>
  <si>
    <t>Όγκος Πλάκας (m³)</t>
  </si>
  <si>
    <t>Βάρος Πλάκας (kg/τεμ)</t>
  </si>
  <si>
    <t>Κόστος Πλάκας (€/τεμ)</t>
  </si>
  <si>
    <t>ΚΑΝΟΝΕΣ ΤΙΜΟΚΑΤΑΛΟΓΟΥ &amp; ΠΟΛΙΤΙΚΗ ΑΠΟΥΣΙΑΣ ΥΛΙΚΟΥ (MISSING MATERIAL POLICY)</t>
  </si>
  <si>
    <t>Θέμα / Πεδίο</t>
  </si>
  <si>
    <t>Κανόνας Λειτουργίας &amp; Οδηγία για το AI</t>
  </si>
  <si>
    <t>Κανόνας Χρωματισμού</t>
  </si>
  <si>
    <t>• ΚΙΤΡΙΝΟ (#FFF2CC): Τιμές μονάδας που αλλάζουν με τους καιρούς / συνθήκες αγοράς.
• ΛΕΥΚΟ (Χωρίς γέμισμα): Φυσικές σταθερές (7850 kg/m³, π), γεωμετρία και δυναμικοί τύποι.
• ΓΑΛΑΖΙΟ (#DDEBF7): Εισαγωγή στοιχείων ανά έργο στους διαδραστικούς υπολογιστές.</t>
  </si>
  <si>
    <t>Κανόνας Σιδήρου (Σχάρες &amp; Ήλοι)</t>
  </si>
  <si>
    <t>Ο σίδηρος τιμολογείται ΑΠΟΚΛΕΙΣΤΙΚΑ με βάση το βάρος σε ευρώ ανά κιλό (€/kg):
• Σχάρες: 2,50 €/kg αγορά + 15,00 €/m² τοποθέτηση.
• Ήλοι: 1,50 €/kg (αγορά + τοποθέτηση + επεξεργασία όλα μαζί).
ΔΕΝ υπάρχουν διαφορετικές τιμές ανά Y ούτε λίστα προκατασκευασμένων πλεγμάτων. Τα κιλά υπολογίζονται από τον ενιαίο πίνακα βαρών (Φύλλο 2).</t>
  </si>
  <si>
    <t>Κανόνας Εκτοξευόμενου Σκυροδέματος</t>
  </si>
  <si>
    <t>Προς το παρόν υπάρχει μία κατηγορία: C30/37 με 90,00 €/m³ αγορά και 160,00 €/m³ τοποθέτηση. Το πάχος υπολογισμού είναι πάντα: Ονομαστικό πάχος μελέτης + 0,05 m (+5cm απώλεια).</t>
  </si>
  <si>
    <t>Κανόνας Grout (Τσιμεντένεμα)</t>
  </si>
  <si>
    <t>Μία ενιαία τιμή: 500,00 €/m³. Ο όγκος υπολογίζεται ως π × R² × L ανά οπή και συνολικά.</t>
  </si>
  <si>
    <t>ΚΑΝΟΝΑΣ ΑΠΟΥΣΙΑΣ ΥΛΙΚΟΥ (ΥΠΟΧΡΕΩΤΙΚΟ ΜΗΝΥΜΑ AI)</t>
  </si>
  <si>
    <t>Εάν ο μελετητής ζητήσει υλικό που ΔΕΝ υπάρχει στον παρόντα τιμοκατάλογο (π.χ. άλλη κατηγορία σκυροδέματος C35/45, διατομή εκτός πίνακα Y6–Y40, κοίλες ράβδους, ειδικές ίνες):
-&gt; Το σύστημα AI ΑΠΑΓΟΡΕΥΕΤΑΙ ΑΥΣΤΗΡΑ να μαντέψει ή να εφεύρει τιμή!
-&gt; Το σύστημα ΣΤΑΜΑΤΑΕΙ και εμφανίζει στον χρήστη ρητά το μήνυμα:
   «Δεν υπάρχει αυτό το είδος ([Όνομα Είδους]) στον τιμοκατάλογο. Καθοδήγησέ με με τιμή να ξέρω.»
-&gt; Μόνο αφού ο χρήστης δώσει την τιμή, η κοστολόγηση προχωρά.</t>
  </si>
  <si>
    <t>Κανόνας Απόστασης (Έδρα Άγιος Συλάς)</t>
  </si>
  <si>
    <t>Αφετηρία: Άγιος Συλάς, Σπύρου Κυπριανού 32, Λεμεσός.
• Ζώνη 1 (0 – 50 km): Βασική τιμή στράτας (350 € shotcrete, 450 € ήλοι).
• Κάθε επιπλέον 50 km (ή μέρος αυτών): +50,00 € ανά στράτα αυτόματα.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</si>
</sst>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&quot;€&quot;"/>
    <numFmt numFmtId="165" formatCode="#,##0.000"/>
    <numFmt numFmtId="166" formatCode="#,##0.000000"/>
  </numFmts>
  <fonts count="6" x14ac:knownFonts="1">
    <font>
      <sz val="11"/>
      <color theme="1"/>
      <name val="Calibri"/>
      <family val="2"/>
      <scheme val="minor"/>
    </font>
    <font>
      <b/>
      <sz val="15"/>
      <color rgb="FF1F4E78"/>
      <name val="Calibri"/>
      <family val="2"/>
    </font>
    <font>
      <i/>
      <sz val="10"/>
      <color rgb="FF595959"/>
      <name val="Calibri"/>
      <family val="2"/>
    </font>
    <font>
      <b/>
      <sz val="11"/>
      <color rgb="FFFFFFFF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C6EFCE"/>
      </patternFill>
    </fill>
    <fill>
      <patternFill patternType="solid">
        <fgColor rgb="FFFCE4D6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medium">
        <color rgb="FF1F4E78"/>
      </top>
      <bottom style="medium">
        <color rgb="FF1F4E78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/>
    <xf numFmtId="0" fontId="4" fillId="0" borderId="2" xfId="0" applyFont="1" applyBorder="1"/>
    <xf numFmtId="164" fontId="5" fillId="3" borderId="2" xfId="0" applyNumberFormat="1" applyFont="1" applyFill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/>
    <xf numFmtId="0" fontId="3" fillId="4" borderId="1" xfId="0" applyFont="1" applyFill="1" applyBorder="1"/>
    <xf numFmtId="0" fontId="0" fillId="4" borderId="1" xfId="0" applyFill="1" applyBorder="1"/>
    <xf numFmtId="3" fontId="5" fillId="0" borderId="2" xfId="0" applyNumberFormat="1" applyFont="1" applyBorder="1" applyAlignment="1">
      <alignment horizontal="right" vertical="center" wrapText="1"/>
    </xf>
    <xf numFmtId="4" fontId="5" fillId="0" borderId="2" xfId="0" applyNumberFormat="1" applyFont="1" applyBorder="1" applyAlignment="1">
      <alignment horizontal="right" vertical="center" wrapText="1"/>
    </xf>
    <xf numFmtId="0" fontId="5" fillId="0" borderId="2" xfId="0" applyFont="1" applyBorder="1" applyAlignment="1">
      <alignment horizontal="center" vertical="center" wrapText="1"/>
    </xf>
    <xf numFmtId="3" fontId="4" fillId="0" borderId="2" xfId="0" applyNumberFormat="1" applyFont="1" applyBorder="1" applyAlignment="1">
      <alignment horizontal="right" vertical="center" wrapText="1"/>
    </xf>
    <xf numFmtId="165" fontId="5" fillId="0" borderId="2" xfId="0" applyNumberFormat="1" applyFont="1" applyBorder="1" applyAlignment="1">
      <alignment horizontal="right" vertical="center" wrapText="1"/>
    </xf>
    <xf numFmtId="164" fontId="4" fillId="0" borderId="2" xfId="0" applyNumberFormat="1" applyFont="1" applyBorder="1" applyAlignment="1">
      <alignment horizontal="right" vertical="center" wrapText="1"/>
    </xf>
    <xf numFmtId="164" fontId="5" fillId="5" borderId="2" xfId="0" applyNumberFormat="1" applyFont="1" applyFill="1" applyBorder="1" applyAlignment="1">
      <alignment horizontal="right" vertical="center" wrapText="1"/>
    </xf>
    <xf numFmtId="3" fontId="5" fillId="6" borderId="2" xfId="0" applyNumberFormat="1" applyFont="1" applyFill="1" applyBorder="1" applyAlignment="1">
      <alignment horizontal="right" vertical="center" wrapText="1"/>
    </xf>
    <xf numFmtId="3" fontId="5" fillId="5" borderId="2" xfId="0" applyNumberFormat="1" applyFont="1" applyFill="1" applyBorder="1" applyAlignment="1">
      <alignment horizontal="right" vertical="center" wrapText="1"/>
    </xf>
    <xf numFmtId="164" fontId="5" fillId="7" borderId="2" xfId="0" applyNumberFormat="1" applyFont="1" applyFill="1" applyBorder="1" applyAlignment="1">
      <alignment horizontal="right" vertical="center" wrapText="1"/>
    </xf>
    <xf numFmtId="164" fontId="5" fillId="0" borderId="2" xfId="0" applyNumberFormat="1" applyFont="1" applyBorder="1" applyAlignment="1">
      <alignment horizontal="right" vertical="center" wrapText="1"/>
    </xf>
    <xf numFmtId="4" fontId="4" fillId="0" borderId="2" xfId="0" applyNumberFormat="1" applyFont="1" applyBorder="1" applyAlignment="1">
      <alignment horizontal="right" vertical="center" wrapText="1"/>
    </xf>
    <xf numFmtId="165" fontId="5" fillId="7" borderId="2" xfId="0" applyNumberFormat="1" applyFont="1" applyFill="1" applyBorder="1" applyAlignment="1">
      <alignment horizontal="right" vertical="center" wrapText="1"/>
    </xf>
    <xf numFmtId="166" fontId="4" fillId="0" borderId="2" xfId="0" applyNumberFormat="1" applyFont="1" applyBorder="1" applyAlignment="1">
      <alignment horizontal="right" vertical="center" wrapText="1"/>
    </xf>
    <xf numFmtId="165" fontId="5" fillId="5" borderId="2" xfId="0" applyNumberFormat="1" applyFont="1" applyFill="1" applyBorder="1" applyAlignment="1">
      <alignment horizontal="right" vertical="center" wrapText="1"/>
    </xf>
    <xf numFmtId="0" fontId="5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5" fillId="8" borderId="2" xfId="0" applyFont="1" applyFill="1" applyBorder="1" applyAlignment="1">
      <alignment horizontal="left" vertical="center" wrapText="1"/>
    </xf>
    <xf numFmtId="0" fontId="4" fillId="8" borderId="2" xfId="0" applyFont="1" applyFill="1" applyBorder="1" applyAlignment="1">
      <alignment horizontal="left" vertical="center" wrapText="1"/>
    </xf>
    <xf numFmtId="0" fontId="2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workbookViewId="0">
      <pane ySplit="4" topLeftCell="A5" activePane="bottomLeft" state="frozen"/>
      <selection pane="bottomLeft" activeCell="D7" sqref="D7"/>
    </sheetView>
  </sheetViews>
  <sheetFormatPr defaultRowHeight="14.5" x14ac:dyDescent="0.35"/>
  <cols>
    <col min="1" max="1" width="8" customWidth="1"/>
    <col min="2" max="2" width="22" customWidth="1"/>
    <col min="3" max="3" width="54" customWidth="1"/>
    <col min="4" max="4" width="22" customWidth="1"/>
    <col min="5" max="5" width="14" customWidth="1"/>
    <col min="6" max="6" width="62" customWidth="1"/>
  </cols>
  <sheetData>
    <row r="1" spans="1:6" ht="19.5" x14ac:dyDescent="0.45">
      <c r="A1" s="1" t="s">
        <v>0</v>
      </c>
    </row>
    <row r="2" spans="1:6" x14ac:dyDescent="0.35">
      <c r="A2" s="2" t="s">
        <v>1</v>
      </c>
    </row>
    <row r="4" spans="1:6" ht="29" x14ac:dyDescent="0.3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35">
      <c r="A5" s="4">
        <v>1</v>
      </c>
      <c r="B5" s="5" t="s">
        <v>8</v>
      </c>
      <c r="C5" s="6" t="s">
        <v>9</v>
      </c>
      <c r="D5" s="7">
        <v>200</v>
      </c>
      <c r="E5" s="8" t="s">
        <v>10</v>
      </c>
      <c r="F5" s="9" t="s">
        <v>11</v>
      </c>
    </row>
    <row r="6" spans="1:6" x14ac:dyDescent="0.35">
      <c r="A6" s="4">
        <v>2</v>
      </c>
      <c r="B6" s="5" t="s">
        <v>8</v>
      </c>
      <c r="C6" s="6" t="s">
        <v>12</v>
      </c>
      <c r="D6" s="7">
        <v>300</v>
      </c>
      <c r="E6" s="8" t="s">
        <v>10</v>
      </c>
      <c r="F6" s="9" t="s">
        <v>13</v>
      </c>
    </row>
    <row r="7" spans="1:6" x14ac:dyDescent="0.35">
      <c r="A7" s="4">
        <v>3</v>
      </c>
      <c r="B7" s="5" t="s">
        <v>8</v>
      </c>
      <c r="C7" s="6" t="s">
        <v>14</v>
      </c>
      <c r="D7" s="7">
        <v>50</v>
      </c>
      <c r="E7" s="8" t="s">
        <v>10</v>
      </c>
      <c r="F7" s="9" t="s">
        <v>15</v>
      </c>
    </row>
    <row r="8" spans="1:6" x14ac:dyDescent="0.35">
      <c r="A8" s="4">
        <v>4</v>
      </c>
      <c r="B8" s="5" t="s">
        <v>16</v>
      </c>
      <c r="C8" s="6" t="s">
        <v>17</v>
      </c>
      <c r="D8" s="7">
        <v>2.5</v>
      </c>
      <c r="E8" s="8" t="s">
        <v>18</v>
      </c>
      <c r="F8" s="9" t="s">
        <v>19</v>
      </c>
    </row>
    <row r="9" spans="1:6" x14ac:dyDescent="0.35">
      <c r="A9" s="4">
        <v>5</v>
      </c>
      <c r="B9" s="5" t="s">
        <v>16</v>
      </c>
      <c r="C9" s="6" t="s">
        <v>20</v>
      </c>
      <c r="D9" s="7">
        <v>15</v>
      </c>
      <c r="E9" s="8" t="s">
        <v>21</v>
      </c>
      <c r="F9" s="9" t="s">
        <v>22</v>
      </c>
    </row>
    <row r="10" spans="1:6" x14ac:dyDescent="0.35">
      <c r="A10" s="4">
        <v>6</v>
      </c>
      <c r="B10" s="5" t="s">
        <v>23</v>
      </c>
      <c r="C10" s="6" t="s">
        <v>24</v>
      </c>
      <c r="D10" s="7">
        <v>90</v>
      </c>
      <c r="E10" s="8" t="s">
        <v>25</v>
      </c>
      <c r="F10" s="9" t="s">
        <v>26</v>
      </c>
    </row>
    <row r="11" spans="1:6" x14ac:dyDescent="0.35">
      <c r="A11" s="4">
        <v>7</v>
      </c>
      <c r="B11" s="5" t="s">
        <v>23</v>
      </c>
      <c r="C11" s="6" t="s">
        <v>27</v>
      </c>
      <c r="D11" s="7">
        <v>160</v>
      </c>
      <c r="E11" s="8" t="s">
        <v>25</v>
      </c>
      <c r="F11" s="9" t="s">
        <v>28</v>
      </c>
    </row>
    <row r="12" spans="1:6" x14ac:dyDescent="0.35">
      <c r="A12" s="4">
        <v>8</v>
      </c>
      <c r="B12" s="5" t="s">
        <v>29</v>
      </c>
      <c r="C12" s="6" t="s">
        <v>30</v>
      </c>
      <c r="D12" s="7">
        <v>25</v>
      </c>
      <c r="E12" s="8" t="s">
        <v>31</v>
      </c>
      <c r="F12" s="9" t="s">
        <v>32</v>
      </c>
    </row>
    <row r="13" spans="1:6" x14ac:dyDescent="0.35">
      <c r="A13" s="4">
        <v>9</v>
      </c>
      <c r="B13" s="5" t="s">
        <v>29</v>
      </c>
      <c r="C13" s="6" t="s">
        <v>33</v>
      </c>
      <c r="D13" s="7">
        <v>30</v>
      </c>
      <c r="E13" s="8" t="s">
        <v>31</v>
      </c>
      <c r="F13" s="9" t="s">
        <v>34</v>
      </c>
    </row>
    <row r="14" spans="1:6" x14ac:dyDescent="0.35">
      <c r="A14" s="4">
        <v>10</v>
      </c>
      <c r="B14" s="5" t="s">
        <v>29</v>
      </c>
      <c r="C14" s="6" t="s">
        <v>35</v>
      </c>
      <c r="D14" s="7">
        <v>35</v>
      </c>
      <c r="E14" s="8" t="s">
        <v>31</v>
      </c>
      <c r="F14" s="9" t="s">
        <v>36</v>
      </c>
    </row>
    <row r="15" spans="1:6" x14ac:dyDescent="0.35">
      <c r="A15" s="4">
        <v>11</v>
      </c>
      <c r="B15" s="5" t="s">
        <v>29</v>
      </c>
      <c r="C15" s="6" t="s">
        <v>37</v>
      </c>
      <c r="D15" s="7">
        <v>500</v>
      </c>
      <c r="E15" s="8" t="s">
        <v>25</v>
      </c>
      <c r="F15" s="9" t="s">
        <v>38</v>
      </c>
    </row>
    <row r="16" spans="1:6" x14ac:dyDescent="0.35">
      <c r="A16" s="4">
        <v>12</v>
      </c>
      <c r="B16" s="5" t="s">
        <v>29</v>
      </c>
      <c r="C16" s="6" t="s">
        <v>39</v>
      </c>
      <c r="D16" s="7">
        <v>1.5</v>
      </c>
      <c r="E16" s="8" t="s">
        <v>18</v>
      </c>
      <c r="F16" s="9" t="s">
        <v>40</v>
      </c>
    </row>
    <row r="17" spans="1:6" x14ac:dyDescent="0.35">
      <c r="A17" s="4">
        <v>13</v>
      </c>
      <c r="B17" s="5" t="s">
        <v>29</v>
      </c>
      <c r="C17" s="6" t="s">
        <v>41</v>
      </c>
      <c r="D17" s="7">
        <v>20</v>
      </c>
      <c r="E17" s="8" t="s">
        <v>42</v>
      </c>
      <c r="F17" s="9" t="s">
        <v>43</v>
      </c>
    </row>
    <row r="18" spans="1:6" x14ac:dyDescent="0.35">
      <c r="A18" s="4">
        <v>14</v>
      </c>
      <c r="B18" s="5" t="s">
        <v>29</v>
      </c>
      <c r="C18" s="6" t="s">
        <v>44</v>
      </c>
      <c r="D18" s="7">
        <v>2</v>
      </c>
      <c r="E18" s="8" t="s">
        <v>18</v>
      </c>
      <c r="F18" s="9" t="s">
        <v>45</v>
      </c>
    </row>
    <row r="19" spans="1:6" x14ac:dyDescent="0.35">
      <c r="A19" s="4">
        <v>15</v>
      </c>
      <c r="B19" s="5" t="s">
        <v>29</v>
      </c>
      <c r="C19" s="6" t="s">
        <v>46</v>
      </c>
      <c r="D19" s="7">
        <v>5</v>
      </c>
      <c r="E19" s="8" t="s">
        <v>42</v>
      </c>
      <c r="F19" s="9" t="s">
        <v>47</v>
      </c>
    </row>
    <row r="21" spans="1:6" x14ac:dyDescent="0.35">
      <c r="A21" s="10" t="s">
        <v>48</v>
      </c>
      <c r="B21" s="11"/>
      <c r="C21" s="11"/>
      <c r="D21" s="11"/>
      <c r="E21" s="11"/>
      <c r="F21" s="11"/>
    </row>
    <row r="22" spans="1:6" x14ac:dyDescent="0.35">
      <c r="A22" s="4" t="s">
        <v>49</v>
      </c>
      <c r="B22" s="5" t="s">
        <v>50</v>
      </c>
      <c r="C22" s="6" t="s">
        <v>51</v>
      </c>
      <c r="D22" s="12">
        <v>7850</v>
      </c>
      <c r="E22" s="8" t="s">
        <v>52</v>
      </c>
      <c r="F22" s="9" t="s">
        <v>53</v>
      </c>
    </row>
    <row r="23" spans="1:6" x14ac:dyDescent="0.35">
      <c r="A23" s="4" t="s">
        <v>49</v>
      </c>
      <c r="B23" s="5" t="s">
        <v>50</v>
      </c>
      <c r="C23" s="6" t="s">
        <v>54</v>
      </c>
      <c r="D23" s="13">
        <v>0.05</v>
      </c>
      <c r="E23" s="8" t="s">
        <v>55</v>
      </c>
      <c r="F23" s="9" t="s">
        <v>56</v>
      </c>
    </row>
    <row r="24" spans="1:6" x14ac:dyDescent="0.35">
      <c r="A24" s="4" t="s">
        <v>49</v>
      </c>
      <c r="B24" s="5" t="s">
        <v>50</v>
      </c>
      <c r="C24" s="6" t="s">
        <v>57</v>
      </c>
      <c r="D24" s="12">
        <v>50</v>
      </c>
      <c r="E24" s="8" t="s">
        <v>58</v>
      </c>
      <c r="F24" s="9" t="s">
        <v>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workbookViewId="0">
      <pane ySplit="4" topLeftCell="A5" activePane="bottomLeft" state="frozen"/>
      <selection pane="bottomLeft"/>
    </sheetView>
  </sheetViews>
  <sheetFormatPr defaultRowHeight="14.5" x14ac:dyDescent="0.35"/>
  <cols>
    <col min="1" max="1" width="16" customWidth="1"/>
    <col min="2" max="2" width="18" customWidth="1"/>
    <col min="3" max="3" width="24" customWidth="1"/>
    <col min="4" max="4" width="26" customWidth="1"/>
    <col min="5" max="5" width="34" customWidth="1"/>
    <col min="6" max="6" width="46" customWidth="1"/>
  </cols>
  <sheetData>
    <row r="1" spans="1:6" ht="19.5" x14ac:dyDescent="0.45">
      <c r="A1" s="1" t="s">
        <v>60</v>
      </c>
    </row>
    <row r="2" spans="1:6" x14ac:dyDescent="0.35">
      <c r="A2" s="2" t="s">
        <v>61</v>
      </c>
    </row>
    <row r="4" spans="1:6" ht="29" x14ac:dyDescent="0.35">
      <c r="A4" s="3" t="s">
        <v>62</v>
      </c>
      <c r="B4" s="3" t="s">
        <v>63</v>
      </c>
      <c r="C4" s="3" t="s">
        <v>64</v>
      </c>
      <c r="D4" s="3" t="s">
        <v>65</v>
      </c>
      <c r="E4" s="3" t="s">
        <v>66</v>
      </c>
      <c r="F4" s="3" t="s">
        <v>67</v>
      </c>
    </row>
    <row r="5" spans="1:6" x14ac:dyDescent="0.35">
      <c r="A5" s="14" t="s">
        <v>68</v>
      </c>
      <c r="B5" s="15">
        <v>6</v>
      </c>
      <c r="C5" s="16">
        <f>ROUND(PI()*(B5/1000)^2/4*'1_Τιμές_Εταιρείας'!$D$22, 3)</f>
        <v>0.222</v>
      </c>
      <c r="D5" s="17">
        <f>'1_Τιμές_Εταιρείας'!$D$16</f>
        <v>1.5</v>
      </c>
      <c r="E5" s="18">
        <f t="shared" ref="E5:E15" si="0">ROUND(C5*D5, 2)</f>
        <v>0.33</v>
      </c>
      <c r="F5" s="9" t="s">
        <v>69</v>
      </c>
    </row>
    <row r="6" spans="1:6" x14ac:dyDescent="0.35">
      <c r="A6" s="14" t="s">
        <v>70</v>
      </c>
      <c r="B6" s="15">
        <v>8</v>
      </c>
      <c r="C6" s="16">
        <f>ROUND(PI()*(B6/1000)^2/4*'1_Τιμές_Εταιρείας'!$D$22, 3)</f>
        <v>0.39500000000000002</v>
      </c>
      <c r="D6" s="17">
        <f>'1_Τιμές_Εταιρείας'!$D$16</f>
        <v>1.5</v>
      </c>
      <c r="E6" s="18">
        <f t="shared" si="0"/>
        <v>0.59</v>
      </c>
      <c r="F6" s="9" t="s">
        <v>71</v>
      </c>
    </row>
    <row r="7" spans="1:6" x14ac:dyDescent="0.35">
      <c r="A7" s="14" t="s">
        <v>72</v>
      </c>
      <c r="B7" s="15">
        <v>10</v>
      </c>
      <c r="C7" s="16">
        <f>ROUND(PI()*(B7/1000)^2/4*'1_Τιμές_Εταιρείας'!$D$22, 3)</f>
        <v>0.61699999999999999</v>
      </c>
      <c r="D7" s="17">
        <f>'1_Τιμές_Εταιρείας'!$D$16</f>
        <v>1.5</v>
      </c>
      <c r="E7" s="18">
        <f t="shared" si="0"/>
        <v>0.93</v>
      </c>
      <c r="F7" s="9" t="s">
        <v>73</v>
      </c>
    </row>
    <row r="8" spans="1:6" x14ac:dyDescent="0.35">
      <c r="A8" s="14" t="s">
        <v>74</v>
      </c>
      <c r="B8" s="15">
        <v>12</v>
      </c>
      <c r="C8" s="16">
        <f>ROUND(PI()*(B8/1000)^2/4*'1_Τιμές_Εταιρείας'!$D$22, 3)</f>
        <v>0.88800000000000001</v>
      </c>
      <c r="D8" s="17">
        <f>'1_Τιμές_Εταιρείας'!$D$16</f>
        <v>1.5</v>
      </c>
      <c r="E8" s="18">
        <f t="shared" si="0"/>
        <v>1.33</v>
      </c>
      <c r="F8" s="9" t="s">
        <v>75</v>
      </c>
    </row>
    <row r="9" spans="1:6" x14ac:dyDescent="0.35">
      <c r="A9" s="14" t="s">
        <v>76</v>
      </c>
      <c r="B9" s="15">
        <v>14</v>
      </c>
      <c r="C9" s="16">
        <f>ROUND(PI()*(B9/1000)^2/4*'1_Τιμές_Εταιρείας'!$D$22, 3)</f>
        <v>1.208</v>
      </c>
      <c r="D9" s="17">
        <f>'1_Τιμές_Εταιρείας'!$D$16</f>
        <v>1.5</v>
      </c>
      <c r="E9" s="18">
        <f t="shared" si="0"/>
        <v>1.81</v>
      </c>
      <c r="F9" s="9" t="s">
        <v>77</v>
      </c>
    </row>
    <row r="10" spans="1:6" x14ac:dyDescent="0.35">
      <c r="A10" s="14" t="s">
        <v>78</v>
      </c>
      <c r="B10" s="15">
        <v>16</v>
      </c>
      <c r="C10" s="16">
        <f>ROUND(PI()*(B10/1000)^2/4*'1_Τιμές_Εταιρείας'!$D$22, 3)</f>
        <v>1.5780000000000001</v>
      </c>
      <c r="D10" s="17">
        <f>'1_Τιμές_Εταιρείας'!$D$16</f>
        <v>1.5</v>
      </c>
      <c r="E10" s="18">
        <f t="shared" si="0"/>
        <v>2.37</v>
      </c>
      <c r="F10" s="9" t="s">
        <v>79</v>
      </c>
    </row>
    <row r="11" spans="1:6" x14ac:dyDescent="0.35">
      <c r="A11" s="14" t="s">
        <v>80</v>
      </c>
      <c r="B11" s="15">
        <v>20</v>
      </c>
      <c r="C11" s="16">
        <f>ROUND(PI()*(B11/1000)^2/4*'1_Τιμές_Εταιρείας'!$D$22, 3)</f>
        <v>2.4660000000000002</v>
      </c>
      <c r="D11" s="17">
        <f>'1_Τιμές_Εταιρείας'!$D$16</f>
        <v>1.5</v>
      </c>
      <c r="E11" s="18">
        <f t="shared" si="0"/>
        <v>3.7</v>
      </c>
      <c r="F11" s="9" t="s">
        <v>81</v>
      </c>
    </row>
    <row r="12" spans="1:6" x14ac:dyDescent="0.35">
      <c r="A12" s="14" t="s">
        <v>82</v>
      </c>
      <c r="B12" s="15">
        <v>25</v>
      </c>
      <c r="C12" s="16">
        <f>ROUND(PI()*(B12/1000)^2/4*'1_Τιμές_Εταιρείας'!$D$22, 3)</f>
        <v>3.8530000000000002</v>
      </c>
      <c r="D12" s="17">
        <f>'1_Τιμές_Εταιρείας'!$D$16</f>
        <v>1.5</v>
      </c>
      <c r="E12" s="18">
        <f t="shared" si="0"/>
        <v>5.78</v>
      </c>
      <c r="F12" s="9" t="s">
        <v>83</v>
      </c>
    </row>
    <row r="13" spans="1:6" x14ac:dyDescent="0.35">
      <c r="A13" s="14" t="s">
        <v>84</v>
      </c>
      <c r="B13" s="15">
        <v>28</v>
      </c>
      <c r="C13" s="16">
        <f>ROUND(PI()*(B13/1000)^2/4*'1_Τιμές_Εταιρείας'!$D$22, 3)</f>
        <v>4.8339999999999996</v>
      </c>
      <c r="D13" s="17">
        <f>'1_Τιμές_Εταιρείας'!$D$16</f>
        <v>1.5</v>
      </c>
      <c r="E13" s="18">
        <f t="shared" si="0"/>
        <v>7.25</v>
      </c>
      <c r="F13" s="9" t="s">
        <v>85</v>
      </c>
    </row>
    <row r="14" spans="1:6" x14ac:dyDescent="0.35">
      <c r="A14" s="14" t="s">
        <v>86</v>
      </c>
      <c r="B14" s="15">
        <v>32</v>
      </c>
      <c r="C14" s="16">
        <f>ROUND(PI()*(B14/1000)^2/4*'1_Τιμές_Εταιρείας'!$D$22, 3)</f>
        <v>6.3129999999999997</v>
      </c>
      <c r="D14" s="17">
        <f>'1_Τιμές_Εταιρείας'!$D$16</f>
        <v>1.5</v>
      </c>
      <c r="E14" s="18">
        <f t="shared" si="0"/>
        <v>9.4700000000000006</v>
      </c>
      <c r="F14" s="9" t="s">
        <v>87</v>
      </c>
    </row>
    <row r="15" spans="1:6" x14ac:dyDescent="0.35">
      <c r="A15" s="14" t="s">
        <v>88</v>
      </c>
      <c r="B15" s="15">
        <v>40</v>
      </c>
      <c r="C15" s="16">
        <f>ROUND(PI()*(B15/1000)^2/4*'1_Τιμές_Εταιρείας'!$D$22, 3)</f>
        <v>9.8650000000000002</v>
      </c>
      <c r="D15" s="17">
        <f>'1_Τιμές_Εταιρείας'!$D$16</f>
        <v>1.5</v>
      </c>
      <c r="E15" s="18">
        <f t="shared" si="0"/>
        <v>14.8</v>
      </c>
      <c r="F15" s="9" t="s">
        <v>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5"/>
  <sheetViews>
    <sheetView workbookViewId="0">
      <pane ySplit="4" topLeftCell="A5" activePane="bottomLeft" state="frozen"/>
      <selection pane="bottomLeft" activeCell="B9" sqref="B9"/>
    </sheetView>
  </sheetViews>
  <sheetFormatPr defaultRowHeight="14.5" x14ac:dyDescent="0.35"/>
  <cols>
    <col min="1" max="1" width="74" customWidth="1"/>
    <col min="2" max="2" width="20" customWidth="1"/>
    <col min="3" max="3" width="16" customWidth="1"/>
    <col min="4" max="4" width="26" customWidth="1"/>
    <col min="5" max="5" width="24" customWidth="1"/>
    <col min="6" max="6" width="46" customWidth="1"/>
  </cols>
  <sheetData>
    <row r="1" spans="1:6" ht="19.5" x14ac:dyDescent="0.45">
      <c r="A1" s="1" t="s">
        <v>90</v>
      </c>
    </row>
    <row r="2" spans="1:6" x14ac:dyDescent="0.35">
      <c r="A2" s="2" t="s">
        <v>91</v>
      </c>
    </row>
    <row r="4" spans="1:6" x14ac:dyDescent="0.35">
      <c r="A4" s="10" t="s">
        <v>92</v>
      </c>
      <c r="B4" s="11"/>
      <c r="C4" s="11"/>
      <c r="D4" s="11"/>
      <c r="E4" s="11"/>
      <c r="F4" s="11"/>
    </row>
    <row r="5" spans="1:6" x14ac:dyDescent="0.35">
      <c r="A5" s="31" t="s">
        <v>93</v>
      </c>
      <c r="B5" s="32"/>
      <c r="C5" s="32"/>
      <c r="D5" s="32"/>
      <c r="E5" s="32"/>
      <c r="F5" s="32"/>
    </row>
    <row r="6" spans="1:6" x14ac:dyDescent="0.35">
      <c r="A6" s="3" t="s">
        <v>94</v>
      </c>
      <c r="B6" s="3" t="s">
        <v>95</v>
      </c>
      <c r="C6" s="3" t="s">
        <v>6</v>
      </c>
      <c r="D6" s="3" t="s">
        <v>96</v>
      </c>
      <c r="E6" s="3" t="s">
        <v>97</v>
      </c>
      <c r="F6" s="3" t="s">
        <v>98</v>
      </c>
    </row>
    <row r="7" spans="1:6" x14ac:dyDescent="0.35">
      <c r="A7" s="5" t="s">
        <v>99</v>
      </c>
      <c r="B7" s="19">
        <v>50</v>
      </c>
      <c r="C7" s="8" t="s">
        <v>58</v>
      </c>
      <c r="D7" s="9" t="s">
        <v>100</v>
      </c>
      <c r="E7" s="8" t="s">
        <v>49</v>
      </c>
      <c r="F7" s="9" t="s">
        <v>101</v>
      </c>
    </row>
    <row r="8" spans="1:6" x14ac:dyDescent="0.35">
      <c r="A8" s="5" t="s">
        <v>102</v>
      </c>
      <c r="B8" s="20">
        <f>MAX(0, ROUNDUP((B7-'1_Τιμές_Εταιρείας'!$D$24)/'1_Τιμές_Εταιρείας'!$D$24, 0))</f>
        <v>0</v>
      </c>
      <c r="C8" s="8" t="s">
        <v>103</v>
      </c>
      <c r="D8" s="9" t="s">
        <v>104</v>
      </c>
      <c r="E8" s="12">
        <f>B8</f>
        <v>0</v>
      </c>
      <c r="F8" s="9" t="s">
        <v>105</v>
      </c>
    </row>
    <row r="9" spans="1:6" x14ac:dyDescent="0.35">
      <c r="A9" s="5" t="s">
        <v>106</v>
      </c>
      <c r="B9" s="21">
        <f>'1_Τιμές_Εταιρείας'!$D$5 + B8*'1_Τιμές_Εταιρείας'!$D$7</f>
        <v>200</v>
      </c>
      <c r="C9" s="8" t="s">
        <v>107</v>
      </c>
      <c r="D9" s="9" t="s">
        <v>108</v>
      </c>
      <c r="E9" s="22">
        <f>B9</f>
        <v>200</v>
      </c>
      <c r="F9" s="9" t="s">
        <v>109</v>
      </c>
    </row>
    <row r="10" spans="1:6" x14ac:dyDescent="0.35">
      <c r="A10" s="5" t="s">
        <v>110</v>
      </c>
      <c r="B10" s="21">
        <f>'1_Τιμές_Εταιρείας'!$D$6 + B8*'1_Τιμές_Εταιρείας'!$D$7</f>
        <v>300</v>
      </c>
      <c r="C10" s="8" t="s">
        <v>107</v>
      </c>
      <c r="D10" s="9" t="s">
        <v>111</v>
      </c>
      <c r="E10" s="22">
        <f>B10</f>
        <v>300</v>
      </c>
      <c r="F10" s="9" t="s">
        <v>112</v>
      </c>
    </row>
    <row r="12" spans="1:6" x14ac:dyDescent="0.35">
      <c r="A12" s="10" t="s">
        <v>113</v>
      </c>
      <c r="B12" s="11"/>
      <c r="C12" s="11"/>
      <c r="D12" s="11"/>
      <c r="E12" s="11"/>
      <c r="F12" s="11"/>
    </row>
    <row r="13" spans="1:6" x14ac:dyDescent="0.35">
      <c r="A13" s="31" t="s">
        <v>114</v>
      </c>
      <c r="B13" s="32"/>
      <c r="C13" s="32"/>
      <c r="D13" s="32"/>
      <c r="E13" s="32"/>
      <c r="F13" s="32"/>
    </row>
    <row r="14" spans="1:6" x14ac:dyDescent="0.35">
      <c r="A14" s="3" t="s">
        <v>115</v>
      </c>
      <c r="B14" s="3" t="s">
        <v>116</v>
      </c>
      <c r="C14" s="3" t="s">
        <v>117</v>
      </c>
      <c r="D14" s="3" t="s">
        <v>118</v>
      </c>
      <c r="E14" s="3" t="s">
        <v>119</v>
      </c>
      <c r="F14" s="3" t="s">
        <v>120</v>
      </c>
    </row>
    <row r="15" spans="1:6" x14ac:dyDescent="0.35">
      <c r="A15" s="5" t="s">
        <v>121</v>
      </c>
      <c r="B15" s="19">
        <v>10</v>
      </c>
      <c r="C15" s="19">
        <v>150</v>
      </c>
      <c r="D15" s="23">
        <f>ROUND(1000/C15, 2)</f>
        <v>6.67</v>
      </c>
      <c r="E15" s="16">
        <f>ROUND(D15*VLOOKUP(B15, '2_Βάρη_Διατομών_Χάλυβα'!$B$5:$C$15, 2, FALSE), 3)</f>
        <v>4.1150000000000002</v>
      </c>
      <c r="F15" s="9" t="s">
        <v>122</v>
      </c>
    </row>
    <row r="16" spans="1:6" x14ac:dyDescent="0.35">
      <c r="A16" s="5" t="s">
        <v>123</v>
      </c>
      <c r="B16" s="19">
        <v>10</v>
      </c>
      <c r="C16" s="19">
        <v>150</v>
      </c>
      <c r="D16" s="23">
        <f>ROUND(1000/C16, 2)</f>
        <v>6.67</v>
      </c>
      <c r="E16" s="16">
        <f>ROUND(D16*VLOOKUP(B16, '2_Βάρη_Διατομών_Χάλυβα'!$B$5:$C$15, 2, FALSE), 3)</f>
        <v>4.1150000000000002</v>
      </c>
      <c r="F16" s="9" t="s">
        <v>122</v>
      </c>
    </row>
    <row r="17" spans="1:6" x14ac:dyDescent="0.35">
      <c r="A17" s="5" t="s">
        <v>124</v>
      </c>
      <c r="B17" s="8" t="s">
        <v>49</v>
      </c>
      <c r="C17" s="8" t="s">
        <v>49</v>
      </c>
      <c r="D17" s="13">
        <f>D15+D16</f>
        <v>13.34</v>
      </c>
      <c r="E17" s="24">
        <f>E15+E16</f>
        <v>8.23</v>
      </c>
      <c r="F17" s="9" t="s">
        <v>125</v>
      </c>
    </row>
    <row r="18" spans="1:6" x14ac:dyDescent="0.35">
      <c r="A18" s="5" t="s">
        <v>126</v>
      </c>
      <c r="B18" s="18">
        <f>ROUND(E17*'1_Τιμές_Εταιρείας'!$D$8, 2)</f>
        <v>20.58</v>
      </c>
      <c r="C18" s="8" t="s">
        <v>127</v>
      </c>
      <c r="D18" s="9" t="s">
        <v>128</v>
      </c>
      <c r="E18" s="22">
        <f>B18</f>
        <v>20.58</v>
      </c>
      <c r="F18" s="9" t="s">
        <v>129</v>
      </c>
    </row>
    <row r="19" spans="1:6" x14ac:dyDescent="0.35">
      <c r="A19" s="5" t="s">
        <v>130</v>
      </c>
      <c r="B19" s="22">
        <f>'1_Τιμές_Εταιρείας'!$D$9</f>
        <v>15</v>
      </c>
      <c r="C19" s="8" t="s">
        <v>127</v>
      </c>
      <c r="D19" s="9" t="s">
        <v>131</v>
      </c>
      <c r="E19" s="22">
        <f>B19</f>
        <v>15</v>
      </c>
      <c r="F19" s="9" t="s">
        <v>132</v>
      </c>
    </row>
    <row r="20" spans="1:6" x14ac:dyDescent="0.35">
      <c r="A20" s="5" t="s">
        <v>133</v>
      </c>
      <c r="B20" s="21">
        <f>B18+B19</f>
        <v>35.58</v>
      </c>
      <c r="C20" s="8" t="s">
        <v>127</v>
      </c>
      <c r="D20" s="9" t="s">
        <v>134</v>
      </c>
      <c r="E20" s="22">
        <f>B20</f>
        <v>35.58</v>
      </c>
      <c r="F20" s="9" t="s">
        <v>135</v>
      </c>
    </row>
    <row r="22" spans="1:6" x14ac:dyDescent="0.35">
      <c r="A22" s="10" t="s">
        <v>136</v>
      </c>
      <c r="B22" s="11"/>
      <c r="C22" s="11"/>
      <c r="D22" s="11"/>
      <c r="E22" s="11"/>
      <c r="F22" s="11"/>
    </row>
    <row r="23" spans="1:6" x14ac:dyDescent="0.35">
      <c r="A23" s="31" t="s">
        <v>137</v>
      </c>
      <c r="B23" s="32"/>
      <c r="C23" s="32"/>
      <c r="D23" s="32"/>
      <c r="E23" s="32"/>
      <c r="F23" s="32"/>
    </row>
    <row r="24" spans="1:6" x14ac:dyDescent="0.35">
      <c r="A24" s="3" t="s">
        <v>138</v>
      </c>
      <c r="B24" s="3" t="s">
        <v>139</v>
      </c>
      <c r="C24" s="3" t="s">
        <v>140</v>
      </c>
      <c r="D24" s="3" t="s">
        <v>141</v>
      </c>
      <c r="E24" s="3" t="s">
        <v>142</v>
      </c>
      <c r="F24" s="3" t="s">
        <v>143</v>
      </c>
    </row>
    <row r="25" spans="1:6" x14ac:dyDescent="0.35">
      <c r="A25" s="19">
        <v>200</v>
      </c>
      <c r="B25" s="19">
        <v>200</v>
      </c>
      <c r="C25" s="19">
        <v>12</v>
      </c>
      <c r="D25" s="25">
        <f>ROUND((A25/1000)*(B25/1000)*(C25/1000), 6)</f>
        <v>4.8000000000000001E-4</v>
      </c>
      <c r="E25" s="26">
        <f>ROUND(D25*'1_Τιμές_Εταιρείας'!$D$22, 3)</f>
        <v>3.7679999999999998</v>
      </c>
      <c r="F25" s="21">
        <f>ROUND(E25*'1_Τιμές_Εταιρείας'!$D$18, 2)</f>
        <v>7.54</v>
      </c>
    </row>
  </sheetData>
  <mergeCells count="3">
    <mergeCell ref="A13:F13"/>
    <mergeCell ref="A5:F5"/>
    <mergeCell ref="A23:F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8" customWidth="1"/>
    <col min="2" max="2" width="110" customWidth="1"/>
  </cols>
  <sheetData>
    <row r="1" spans="1:2" ht="19.5" x14ac:dyDescent="0.45">
      <c r="A1" s="1" t="s">
        <v>144</v>
      </c>
    </row>
    <row r="3" spans="1:2" x14ac:dyDescent="0.35">
      <c r="A3" s="3" t="s">
        <v>145</v>
      </c>
      <c r="B3" s="3" t="s">
        <v>146</v>
      </c>
    </row>
    <row r="4" spans="1:2" ht="45" customHeight="1" x14ac:dyDescent="0.35">
      <c r="A4" s="27" t="s">
        <v>147</v>
      </c>
      <c r="B4" s="28" t="s">
        <v>148</v>
      </c>
    </row>
    <row r="5" spans="1:2" ht="55" customHeight="1" x14ac:dyDescent="0.35">
      <c r="A5" s="27" t="s">
        <v>149</v>
      </c>
      <c r="B5" s="28" t="s">
        <v>150</v>
      </c>
    </row>
    <row r="6" spans="1:2" ht="55" customHeight="1" x14ac:dyDescent="0.35">
      <c r="A6" s="27" t="s">
        <v>151</v>
      </c>
      <c r="B6" s="28" t="s">
        <v>152</v>
      </c>
    </row>
    <row r="7" spans="1:2" ht="55" customHeight="1" x14ac:dyDescent="0.35">
      <c r="A7" s="27" t="s">
        <v>153</v>
      </c>
      <c r="B7" s="28" t="s">
        <v>154</v>
      </c>
    </row>
    <row r="8" spans="1:2" ht="55" customHeight="1" x14ac:dyDescent="0.35">
      <c r="A8" s="29" t="s">
        <v>155</v>
      </c>
      <c r="B8" s="30" t="s">
        <v>156</v>
      </c>
    </row>
    <row r="9" spans="1:2" ht="45" customHeight="1" x14ac:dyDescent="0.35">
      <c r="A9" s="27" t="s">
        <v>157</v>
      </c>
      <c r="B9" s="28" t="s">
        <v>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1_Τιμές_Εταιρείας</vt:lpstr>
      <vt:lpstr>2_Βάρη_Διατομών_Χάλυβα</vt:lpstr>
      <vt:lpstr>3_Υπολογιστές_Έργων_&amp;_Math</vt:lpstr>
      <vt:lpstr>4_Κανόνες_&amp;_Πολιτική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Polys Argyrides</cp:lastModifiedBy>
  <dcterms:created xsi:type="dcterms:W3CDTF">2026-10-07T13:17:15Z</dcterms:created>
  <dcterms:modified xsi:type="dcterms:W3CDTF">2026-10-09T05:58:42Z</dcterms:modified>
</cp:coreProperties>
</file>