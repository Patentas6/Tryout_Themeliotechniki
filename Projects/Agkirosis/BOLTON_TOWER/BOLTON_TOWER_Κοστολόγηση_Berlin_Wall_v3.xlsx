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0.0%"/>
    <numFmt numFmtId="167" formatCode="0.0000"/>
    <numFmt numFmtId="168" formatCode="0.000000"/>
    <numFmt numFmtId="169" formatCode="#,##0.00 €"/>
  </numFmts>
  <fonts count="21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F497D"/>
      <sz val="10.5"/>
    </font>
    <font>
      <name val="Segoe UI"/>
      <color rgb="00000000"/>
      <sz val="10"/>
    </font>
    <font>
      <name val="Segoe UI"/>
      <i val="1"/>
      <color rgb="00404040"/>
      <sz val="9.5"/>
    </font>
    <font>
      <name val="Segoe UI"/>
      <b val="1"/>
      <color rgb="00000000"/>
      <sz val="10"/>
    </font>
    <font>
      <name val="Segoe UI"/>
      <b val="1"/>
      <color rgb="001F497D"/>
      <sz val="10"/>
    </font>
    <font>
      <name val="Segoe UI"/>
      <b val="1"/>
      <color rgb="00274E13"/>
      <sz val="11"/>
    </font>
    <font>
      <name val="Segoe UI"/>
      <b val="1"/>
      <color rgb="00000000"/>
      <sz val="11"/>
    </font>
    <font>
      <name val="Segoe UI"/>
      <b val="1"/>
      <color rgb="001F497D"/>
      <sz val="11"/>
    </font>
    <font>
      <name val="Segoe UI"/>
      <b val="1"/>
      <color rgb="001F497D"/>
      <sz val="12"/>
    </font>
    <font>
      <name val="Segoe UI"/>
      <b val="1"/>
      <color rgb="00000000"/>
      <sz val="12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1"/>
    </font>
  </fonts>
  <fills count="1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03764"/>
        <bgColor rgb="0020376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EDF2F8"/>
        <bgColor rgb="00EDF2F8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A9D08E"/>
        <bgColor rgb="00A9D08E"/>
      </patternFill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/>
      <right/>
      <top/>
      <bottom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6" fillId="0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1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6" borderId="0" pivotButton="0" quotePrefix="0" xfId="0"/>
    <xf numFmtId="1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8" fillId="0" borderId="1" pivotButton="0" quotePrefix="0" xfId="0"/>
    <xf numFmtId="4" fontId="10" fillId="8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6" fontId="8" fillId="7" borderId="1" applyAlignment="1" pivotButton="0" quotePrefix="0" xfId="0">
      <alignment horizontal="right" vertical="center"/>
    </xf>
    <xf numFmtId="167" fontId="8" fillId="7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68" fontId="8" fillId="7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9" fontId="11" fillId="9" borderId="1" applyAlignment="1" pivotButton="0" quotePrefix="0" xfId="0">
      <alignment horizontal="right" vertical="center"/>
    </xf>
    <xf numFmtId="169" fontId="8" fillId="7" borderId="1" applyAlignment="1" pivotButton="0" quotePrefix="0" xfId="0">
      <alignment horizontal="right" vertical="center"/>
    </xf>
    <xf numFmtId="0" fontId="8" fillId="0" borderId="2" pivotButton="0" quotePrefix="0" xfId="0"/>
    <xf numFmtId="0" fontId="0" fillId="0" borderId="2" pivotButton="0" quotePrefix="0" xfId="0"/>
    <xf numFmtId="169" fontId="10" fillId="8" borderId="2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9" fontId="11" fillId="10" borderId="1" applyAlignment="1" pivotButton="0" quotePrefix="0" xfId="0">
      <alignment horizontal="right" vertical="center"/>
    </xf>
    <xf numFmtId="0" fontId="12" fillId="0" borderId="1" pivotButton="0" quotePrefix="0" xfId="0"/>
    <xf numFmtId="0" fontId="0" fillId="0" borderId="1" pivotButton="0" quotePrefix="0" xfId="0"/>
    <xf numFmtId="169" fontId="13" fillId="11" borderId="1" applyAlignment="1" pivotButton="0" quotePrefix="0" xfId="0">
      <alignment horizontal="right" vertical="center"/>
    </xf>
    <xf numFmtId="0" fontId="14" fillId="0" borderId="2" pivotButton="0" quotePrefix="0" xfId="0"/>
    <xf numFmtId="169" fontId="14" fillId="12" borderId="2" applyAlignment="1" pivotButton="0" quotePrefix="0" xfId="0">
      <alignment horizontal="right" vertical="center"/>
    </xf>
    <xf numFmtId="0" fontId="7" fillId="0" borderId="2" pivotButton="0" quotePrefix="0" xfId="0"/>
    <xf numFmtId="0" fontId="15" fillId="13" borderId="3" applyAlignment="1" pivotButton="0" quotePrefix="0" xfId="0">
      <alignment horizontal="left" vertical="center"/>
    </xf>
    <xf numFmtId="0" fontId="16" fillId="0" borderId="3" pivotButton="0" quotePrefix="0" xfId="0"/>
    <xf numFmtId="0" fontId="17" fillId="14" borderId="3" pivotButton="0" quotePrefix="0" xfId="0"/>
    <xf numFmtId="0" fontId="18" fillId="15" borderId="4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/>
    </xf>
    <xf numFmtId="3" fontId="20" fillId="0" borderId="1" applyAlignment="1" pivotButton="0" quotePrefix="0" xfId="0">
      <alignment horizontal="right"/>
    </xf>
    <xf numFmtId="4" fontId="20" fillId="0" borderId="1" applyAlignment="1" pivotButton="0" quotePrefix="0" xfId="0">
      <alignment horizontal="right"/>
    </xf>
    <xf numFmtId="4" fontId="19" fillId="1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5" customWidth="1" min="3" max="3"/>
    <col width="44" customWidth="1" min="4" max="4"/>
    <col width="54" customWidth="1" min="5" max="5"/>
    <col width="15" customWidth="1" min="6" max="6"/>
  </cols>
  <sheetData>
    <row r="1">
      <c r="A1" s="1" t="inlineStr">
        <is>
          <t>ΕΡΓΟ: BOLTON TOWER (BERLIN WALL &amp; ΑΓΚΥΡΩΣΕΙΣ) — ΣΤΟΙΧΕΙΑ ΜΕΛΕΤΗΣ &amp; ΦΥΣΙΚΕΣ ΠΟΣΟΤΗΤΕΣ (ΧΩΡΙΣ ΕΥΡΩ)</t>
        </is>
      </c>
    </row>
    <row r="2">
      <c r="A2" s="2" t="inlineStr">
        <is>
          <t>ΧΩΡΙΣΜΕΝΟ ΣΕ 2 ΜΕΓΑΛΑ ΚΕΦΑΛΑΙΑ: [ΚΕΦΑΛΑΙΟ Α] = ΜΟΝΟ ΣΤΟΙΧΕΙΑ ΜΕΛΕΤΗΣ (RAW INPUTS) | [ΚΕΦΑΛΑΙΟ Β] = ΟΛΟΙ ΟΙ ΥΠΟΛΟΓΙΣΜΟΙ</t>
        </is>
      </c>
    </row>
    <row r="4">
      <c r="A4" s="3" t="inlineStr">
        <is>
          <t>🏛️ ΚΕΦΑΛΑΙΟ Α: ΜΟΝΟ ΣΤΟΙΧΕΙΑ ΠΟΥ ΔΙΑΒΑΣΤΗΚΑΝ ΑΠΟ ΤΗ ΜΕΛΕΤΗ (RAW INPUTS)</t>
        </is>
      </c>
    </row>
    <row r="5">
      <c r="A5" s="4" t="inlineStr">
        <is>
          <t>Περιγραφή Στοιχείου Μελέτης</t>
        </is>
      </c>
      <c r="B5" s="5" t="inlineStr">
        <is>
          <t>Τιμή / Εισαγωγή</t>
        </is>
      </c>
      <c r="C5" s="5" t="inlineStr">
        <is>
          <t>Μονάδα</t>
        </is>
      </c>
      <c r="D5" s="4" t="inlineStr">
        <is>
          <t>Πηγή Μελέτης (Σχέδιο / Σελίδα)</t>
        </is>
      </c>
      <c r="E5" s="4" t="inlineStr">
        <is>
          <t>Τεχνική Σημείωση / Έλεγχος Κανόνα</t>
        </is>
      </c>
    </row>
    <row r="6">
      <c r="A6" s="6" t="inlineStr">
        <is>
          <t>Α.1 Τοποθεσία Εργοταξίου, Έδρα &amp; Σειρές Αγκυρώσεων</t>
        </is>
      </c>
    </row>
    <row r="7">
      <c r="A7" s="7" t="inlineStr">
        <is>
          <t>Έδρα Εταιρείας (Αφετηρία)</t>
        </is>
      </c>
      <c r="B7" s="8" t="inlineStr">
        <is>
          <t>Άγιος Συλάς, Σπύρου Κυπριανού 32, Λεμεσός</t>
        </is>
      </c>
      <c r="C7" s="9" t="inlineStr">
        <is>
          <t>-</t>
        </is>
      </c>
      <c r="D7" s="10" t="inlineStr">
        <is>
          <t>Βάση Εταιρείας</t>
        </is>
      </c>
      <c r="E7" s="10" t="inlineStr">
        <is>
          <t>Σταθερή βάση εκκίνησης συνεργείων &amp; μηχανημάτων</t>
        </is>
      </c>
    </row>
    <row r="8">
      <c r="A8" s="7" t="inlineStr">
        <is>
          <t>Τοποθεσία Εργοταξίου</t>
        </is>
      </c>
      <c r="B8" s="8" t="inlineStr">
        <is>
          <t>Λεμεσός (Bolton Tower)</t>
        </is>
      </c>
      <c r="C8" s="9" t="inlineStr">
        <is>
          <t>-</t>
        </is>
      </c>
      <c r="D8" s="10" t="inlineStr">
        <is>
          <t>Σχέδιο ΘΕΜ/1 &amp; ΘΕΜ/6</t>
        </is>
      </c>
      <c r="E8" s="10" t="inlineStr">
        <is>
          <t>Ανάπτυξη Bolton Tower, Λακέμια Κτηματική Λτδ</t>
        </is>
      </c>
    </row>
    <row r="9">
      <c r="A9" s="7" t="inlineStr">
        <is>
          <t>Χιλιομετρική Απόσταση από Έδρα</t>
        </is>
      </c>
      <c r="B9" s="11" t="n">
        <v>12</v>
      </c>
      <c r="C9" s="9" t="inlineStr">
        <is>
          <t>km</t>
        </is>
      </c>
      <c r="D9" s="10" t="inlineStr">
        <is>
          <t>Google Maps / Οδικό Δίκτυο</t>
        </is>
      </c>
      <c r="E9" s="10" t="inlineStr">
        <is>
          <t>Βασική ζώνη 0-40 km (εντός Λεμεσού, βασικές τιμές μετακινήσεων)</t>
        </is>
      </c>
    </row>
    <row r="10">
      <c r="A10" s="7" t="inlineStr">
        <is>
          <t>Μέγιστο Πλήθος Οριζόντιων Σειρών Αγκυρώσεων Μελέτης</t>
        </is>
      </c>
      <c r="B10" s="11" t="n">
        <v>4</v>
      </c>
      <c r="C10" s="9" t="inlineStr">
        <is>
          <t>σειρές</t>
        </is>
      </c>
      <c r="D10" s="10" t="inlineStr">
        <is>
          <t>Σχέδιο ΘΕΜ/6, Τομές A, B, Γ</t>
        </is>
      </c>
      <c r="E10" s="10" t="inlineStr">
        <is>
          <t>Τοίχοι Α &amp; Β: 4 σειρές, Τοίχος Γ: 3 σειρές</t>
        </is>
      </c>
    </row>
    <row r="11">
      <c r="A11" s="6" t="inlineStr">
        <is>
          <t>Α.2 Γεωμετρία Μετώπου Εκσκαφής ανά Τύπο Τοίχου (Wall Breakout)</t>
        </is>
      </c>
    </row>
    <row r="12">
      <c r="A12" s="7" t="inlineStr">
        <is>
          <t>Αξονική Απόσταση Πασσάλων (s_c/c)</t>
        </is>
      </c>
      <c r="B12" s="12" t="n">
        <v>1.5</v>
      </c>
      <c r="C12" s="9" t="inlineStr">
        <is>
          <t>m</t>
        </is>
      </c>
      <c r="D12" s="10" t="inlineStr">
        <is>
          <t>Σχέδιο ΘΕΜ/1 &amp; ΘΕΜ/6</t>
        </is>
      </c>
      <c r="E12" s="10" t="inlineStr">
        <is>
          <t>[!!! ΣΥΓΚΡΟΥΣΗ ΜΕΛΕΤΗΣ !!!]: Αναγράφονται 2 διαφορετικοί αριθμοί για την αξονική απόσταση: @ 2000mm στο κείμενο λεπτομέρειας τοίχου vs (1500) στη διάσταση CL και 1.50m στις τομές. Επιλέχθηκε ο πιο ασφαλής στατικά αριθμός s = 1.50 m.</t>
        </is>
      </c>
    </row>
    <row r="13">
      <c r="A13" s="7" t="inlineStr">
        <is>
          <t>Πλήθος Πασσάλων Τοίχου Α (N_piles_A)</t>
        </is>
      </c>
      <c r="B13" s="11" t="n">
        <v>24</v>
      </c>
      <c r="C13" s="9" t="inlineStr">
        <is>
          <t>πάσσαλοι</t>
        </is>
      </c>
      <c r="D13" s="10" t="inlineStr">
        <is>
          <t>Σχέδιο ΘΕΜ/1 (Κάτοψη) &amp; OpenCV</t>
        </is>
      </c>
      <c r="E13" s="10" t="inlineStr">
        <is>
          <t>24 πάσσαλοι (Ανατολικό &amp; Νότιο τμήμα Τοίχου Α)</t>
        </is>
      </c>
    </row>
    <row r="14">
      <c r="A14" s="7" t="inlineStr">
        <is>
          <t>Μήκος Τοίχου Α (L_A)</t>
        </is>
      </c>
      <c r="B14" s="12">
        <f>B13*B12</f>
        <v/>
      </c>
      <c r="C14" s="9" t="inlineStr">
        <is>
          <t>m</t>
        </is>
      </c>
      <c r="D14" s="10" t="inlineStr">
        <is>
          <t>Σχέδιο ΘΕΜ/1 (Intervals)</t>
        </is>
      </c>
      <c r="E14" s="10">
        <f>"=" &amp; B13 &amp; " πάσσαλοι × " &amp; TEXT(B12, "0.00") &amp; " m = " &amp; TEXT(B13*B12, "0.00") &amp; " m"</f>
        <v/>
      </c>
    </row>
    <row r="15">
      <c r="A15" s="7" t="inlineStr">
        <is>
          <t>Ελεύθερο Ύψος Εκσκαφής Τοίχου Α (H_exc_A)</t>
        </is>
      </c>
      <c r="B15" s="12" t="n">
        <v>17</v>
      </c>
      <c r="C15" s="9" t="inlineStr">
        <is>
          <t>m</t>
        </is>
      </c>
      <c r="D15" s="10" t="inlineStr">
        <is>
          <t>Σχέδιο ΘΕΜ/6, Τομή Τοίχου Α</t>
        </is>
      </c>
      <c r="E15" s="10" t="inlineStr">
        <is>
          <t>Αναγραφόμενο ύψος 17000 mm (17.0 m)</t>
        </is>
      </c>
    </row>
    <row r="16">
      <c r="A16" s="7" t="inlineStr">
        <is>
          <t>Βάθος Πάκτωσης Νέφκας Τοίχου Α (H_embed_A)</t>
        </is>
      </c>
      <c r="B16" s="12" t="n">
        <v>2</v>
      </c>
      <c r="C16" s="9" t="inlineStr">
        <is>
          <t>m</t>
        </is>
      </c>
      <c r="D16" s="10" t="inlineStr">
        <is>
          <t>Σχέδιο ΘΕΜ/6, Τομή Τοίχου Α</t>
        </is>
      </c>
      <c r="E16" s="10" t="inlineStr">
        <is>
          <t>Αναγραφόμενο βάθος πάκτωσης 2000 mm (2.0 m)</t>
        </is>
      </c>
    </row>
    <row r="17">
      <c r="A17" s="7" t="inlineStr">
        <is>
          <t>Πλήθος Πασσάλων Τοίχου Β (N_piles_B)</t>
        </is>
      </c>
      <c r="B17" s="11" t="n">
        <v>63</v>
      </c>
      <c r="C17" s="9" t="inlineStr">
        <is>
          <t>πάσσαλοι</t>
        </is>
      </c>
      <c r="D17" s="10" t="inlineStr">
        <is>
          <t>Σχέδιο ΘΕΜ/1 (Κάτοψη) &amp; OpenCV</t>
        </is>
      </c>
      <c r="E17" s="10" t="inlineStr">
        <is>
          <t>63 πάσσαλοι (Βόρειο, Βορειοανατολικό &amp; Νότιο τμήμα Τοίχου Β)</t>
        </is>
      </c>
    </row>
    <row r="18">
      <c r="A18" s="7" t="inlineStr">
        <is>
          <t>Μήκος Τοίχου Β (L_B)</t>
        </is>
      </c>
      <c r="B18" s="12">
        <f>B17*B12</f>
        <v/>
      </c>
      <c r="C18" s="9" t="inlineStr">
        <is>
          <t>m</t>
        </is>
      </c>
      <c r="D18" s="10" t="inlineStr">
        <is>
          <t>Σχέδιο ΘΕΜ/1 (Intervals)</t>
        </is>
      </c>
      <c r="E18" s="10">
        <f>"=" &amp; B17 &amp; " πάσσαλοι × " &amp; TEXT(B12, "0.00") &amp; " m = " &amp; TEXT(B17*B12, "0.00") &amp; " m"</f>
        <v/>
      </c>
    </row>
    <row r="19">
      <c r="A19" s="7" t="inlineStr">
        <is>
          <t>Ελεύθερο Ύψος Εκσκαφής Τοίχου Β (H_exc_B)</t>
        </is>
      </c>
      <c r="B19" s="12" t="n">
        <v>15.6</v>
      </c>
      <c r="C19" s="9" t="inlineStr">
        <is>
          <t>m</t>
        </is>
      </c>
      <c r="D19" s="10" t="inlineStr">
        <is>
          <t>Σχέδιο ΘΕΜ/6, Τομή Τοίχου Β</t>
        </is>
      </c>
      <c r="E19" s="10" t="inlineStr">
        <is>
          <t>Αναγραφόμενο ύψος 15600 mm (15.6 m)</t>
        </is>
      </c>
    </row>
    <row r="20">
      <c r="A20" s="7" t="inlineStr">
        <is>
          <t>Βάθος Πάκτωσης Νέφκας Τοίχου Β (H_embed_B)</t>
        </is>
      </c>
      <c r="B20" s="12" t="n">
        <v>2</v>
      </c>
      <c r="C20" s="9" t="inlineStr">
        <is>
          <t>m</t>
        </is>
      </c>
      <c r="D20" s="10" t="inlineStr">
        <is>
          <t>Σχέδιο ΘΕΜ/6, Τομή Τοίχου Β</t>
        </is>
      </c>
      <c r="E20" s="10" t="inlineStr">
        <is>
          <t>Αναγραφόμενο βάθος πάκτωσης 2000 mm (2.0 m)</t>
        </is>
      </c>
    </row>
    <row r="21">
      <c r="A21" s="7" t="inlineStr">
        <is>
          <t>Πλήθος Πασσάλων Τοίχου Γ (N_piles_C)</t>
        </is>
      </c>
      <c r="B21" s="11" t="n">
        <v>11</v>
      </c>
      <c r="C21" s="9" t="inlineStr">
        <is>
          <t>πάσσαλοι</t>
        </is>
      </c>
      <c r="D21" s="10" t="inlineStr">
        <is>
          <t>Σχέδιο ΘΕΜ/1 (Κάτοψη) &amp; OpenCV</t>
        </is>
      </c>
      <c r="E21" s="10" t="inlineStr">
        <is>
          <t>11 πάσσαλοι (Βορειοδυτικό τμήμα Τοίχου Γ)</t>
        </is>
      </c>
    </row>
    <row r="22">
      <c r="A22" s="7" t="inlineStr">
        <is>
          <t>Μήκος Τοίχου Γ (L_C)</t>
        </is>
      </c>
      <c r="B22" s="12">
        <f>B21*B12</f>
        <v/>
      </c>
      <c r="C22" s="9" t="inlineStr">
        <is>
          <t>m</t>
        </is>
      </c>
      <c r="D22" s="10" t="inlineStr">
        <is>
          <t>Σχέδιο ΘΕΜ/1 (Intervals)</t>
        </is>
      </c>
      <c r="E22" s="10">
        <f>"=" &amp; B21 &amp; " πάσσαλοι × " &amp; TEXT(B12, "0.00") &amp; " m = " &amp; TEXT(B21*B12, "0.00") &amp; " m"</f>
        <v/>
      </c>
    </row>
    <row r="23">
      <c r="A23" s="7" t="inlineStr">
        <is>
          <t>Ελεύθερο Ύψος Εκσκαφής Τοίχου Γ (H_exc_C)</t>
        </is>
      </c>
      <c r="B23" s="12" t="n">
        <v>11.1</v>
      </c>
      <c r="C23" s="9" t="inlineStr">
        <is>
          <t>m</t>
        </is>
      </c>
      <c r="D23" s="10" t="inlineStr">
        <is>
          <t>Σχέδιο ΘΕΜ/6, Τομή Τοίχου Γ</t>
        </is>
      </c>
      <c r="E23" s="10" t="inlineStr">
        <is>
          <t>Αναγραφόμενο ύψος 11100 mm (11.1 m)</t>
        </is>
      </c>
    </row>
    <row r="24">
      <c r="A24" s="7" t="inlineStr">
        <is>
          <t>Βάθος Πάκτωσης Νέφκας Τοίχου Γ (H_embed_C)</t>
        </is>
      </c>
      <c r="B24" s="12" t="n">
        <v>2</v>
      </c>
      <c r="C24" s="9" t="inlineStr">
        <is>
          <t>m</t>
        </is>
      </c>
      <c r="D24" s="10" t="inlineStr">
        <is>
          <t>Σχέδιο ΘΕΜ/6, Τομή Τοίχου Γ</t>
        </is>
      </c>
      <c r="E24" s="10" t="inlineStr">
        <is>
          <t>Αναγραφόμενο βάθος πάκτωσης 2000 mm (2.0 m)</t>
        </is>
      </c>
    </row>
    <row r="26">
      <c r="A26" s="6" t="inlineStr">
        <is>
          <t>Α.3 Σχάρες &amp; Εκτοξευόμενο Σκυρόδεμα (Shotcrete)</t>
        </is>
      </c>
    </row>
    <row r="27">
      <c r="A27" s="7" t="inlineStr">
        <is>
          <t>Τύπος Χάλυβα Σχάρας</t>
        </is>
      </c>
      <c r="B27" s="8" t="inlineStr">
        <is>
          <t>B500C Δομικός Χάλυβας</t>
        </is>
      </c>
      <c r="C27" s="9" t="inlineStr">
        <is>
          <t>-</t>
        </is>
      </c>
      <c r="D27" s="10" t="inlineStr">
        <is>
          <t>Σχέδιο ΘΕΜ/6, Λεπτομέρεια</t>
        </is>
      </c>
      <c r="E27" s="10" t="inlineStr">
        <is>
          <t>Συγκόλληση ράβδων σχάρας στις γωνιές 70x70x6mm</t>
        </is>
      </c>
    </row>
    <row r="28">
      <c r="A28" s="7" t="inlineStr">
        <is>
          <t>Διάμετρος Οριζόντιων Ράβδων Σχάρας (Y_horiz)</t>
        </is>
      </c>
      <c r="B28" s="11" t="n">
        <v>8</v>
      </c>
      <c r="C28" s="9" t="inlineStr">
        <is>
          <t>mm</t>
        </is>
      </c>
      <c r="D28" s="10" t="inlineStr">
        <is>
          <t>Σχέδιο ΘΕΜ/6, Λεπτομέρεια</t>
        </is>
      </c>
      <c r="E28" s="10" t="inlineStr">
        <is>
          <t>Αναγράφεται ρητά #Y8/150 (αυστηρή τήρηση Y8 βάσει κανόνα 2.3)</t>
        </is>
      </c>
    </row>
    <row r="29">
      <c r="A29" s="7" t="inlineStr">
        <is>
          <t>Οριζόντιο Βήμα Ράβδων Σχάρας (s_horiz)</t>
        </is>
      </c>
      <c r="B29" s="11" t="n">
        <v>150</v>
      </c>
      <c r="C29" s="9" t="inlineStr">
        <is>
          <t>mm</t>
        </is>
      </c>
      <c r="D29" s="10" t="inlineStr">
        <is>
          <t>Σχέδιο ΘΕΜ/6, Λεπτομέρεια</t>
        </is>
      </c>
      <c r="E29" s="10" t="inlineStr">
        <is>
          <t>Βήμα οριζόντιων ράβδων ανά 0.15m (6.67 m/m²)</t>
        </is>
      </c>
    </row>
    <row r="30">
      <c r="A30" s="7" t="inlineStr">
        <is>
          <t>Διάμετρος Κατακόρυφων Ράβδων Σχάρας (Y_vert)</t>
        </is>
      </c>
      <c r="B30" s="11" t="n">
        <v>8</v>
      </c>
      <c r="C30" s="9" t="inlineStr">
        <is>
          <t>mm</t>
        </is>
      </c>
      <c r="D30" s="10" t="inlineStr">
        <is>
          <t>Σχέδιο ΘΕΜ/6, Λεπτομέρεια</t>
        </is>
      </c>
      <c r="E30" s="10" t="inlineStr">
        <is>
          <t>Αναγράφεται ρητά #Y8/150 (αυστηρή τήρηση Y8 βάσει κανόνα 2.3)</t>
        </is>
      </c>
    </row>
    <row r="31">
      <c r="A31" s="7" t="inlineStr">
        <is>
          <t>Κατακόρυφο Βήμα Ράβδων Σχάρας (s_vert)</t>
        </is>
      </c>
      <c r="B31" s="11" t="n">
        <v>150</v>
      </c>
      <c r="C31" s="9" t="inlineStr">
        <is>
          <t>mm</t>
        </is>
      </c>
      <c r="D31" s="10" t="inlineStr">
        <is>
          <t>Σχέδιο ΘΕΜ/6, Λεπτομέρεια</t>
        </is>
      </c>
      <c r="E31" s="10" t="inlineStr">
        <is>
          <t>Βήμα κατακόρυφων ράβδων ανά 0.15m (6.67 m/m²)</t>
        </is>
      </c>
    </row>
    <row r="32">
      <c r="A32" s="7" t="inlineStr">
        <is>
          <t>Κατηγορία Σκυροδέματος Shotcrete</t>
        </is>
      </c>
      <c r="B32" s="8" t="inlineStr">
        <is>
          <t>C30/37</t>
        </is>
      </c>
      <c r="C32" s="9" t="inlineStr">
        <is>
          <t>-</t>
        </is>
      </c>
      <c r="D32" s="10" t="inlineStr">
        <is>
          <t>Κανόνας Εταιρείας</t>
        </is>
      </c>
      <c r="E32" s="10" t="inlineStr">
        <is>
          <t>[DEFAULT ΕΤΑΙΡΕΙΑΣ]: Δεν αναγράφεται στη μελέτη. Εφαρμόζεται by default C30/37 βάσει κανόνα εταιρείας.</t>
        </is>
      </c>
    </row>
    <row r="33">
      <c r="A33" s="7" t="inlineStr">
        <is>
          <t>Ονομαστικό Πάχος Shotcrete Μελέτης</t>
        </is>
      </c>
      <c r="B33" s="12" t="n">
        <v>0.15</v>
      </c>
      <c r="C33" s="9" t="inlineStr">
        <is>
          <t>m</t>
        </is>
      </c>
      <c r="D33" s="10" t="inlineStr">
        <is>
          <t>Σχέδιο ΘΕΜ/6, Λεπτομέρεια</t>
        </is>
      </c>
      <c r="E33" s="10" t="inlineStr">
        <is>
          <t>150 mm (15 cm) εκτοξευόμενο σκυρόδεμα (gunite)</t>
        </is>
      </c>
    </row>
    <row r="34">
      <c r="A34" s="7" t="inlineStr">
        <is>
          <t>Πάγια Απώλεια / Αναπήδηση Εταιρείας</t>
        </is>
      </c>
      <c r="B34" s="12" t="n">
        <v>0.05</v>
      </c>
      <c r="C34" s="9" t="inlineStr">
        <is>
          <t>m</t>
        </is>
      </c>
      <c r="D34" s="10" t="inlineStr">
        <is>
          <t>Κανόνας Εταιρείας</t>
        </is>
      </c>
      <c r="E34" s="10" t="inlineStr">
        <is>
          <t>+5 cm πάγια προσαύξηση εταιρείας για αναπήδηση (χρεώνεται στα €/m³)</t>
        </is>
      </c>
    </row>
    <row r="36">
      <c r="A36" s="6" t="inlineStr">
        <is>
          <t>Α.4 H-Beams (Νέφκες: Οπές, Χάλυβας HEB 220 &amp; HEB 200, Λάμες, Κουγκρί, Γωνιές)</t>
        </is>
      </c>
    </row>
    <row r="37">
      <c r="A37" s="7" t="inlineStr">
        <is>
          <t>Διάμετρος Οπής Διάτρησης Μεγάλου Τρυπανιού (D)</t>
        </is>
      </c>
      <c r="B37" s="12" t="n">
        <v>0.8</v>
      </c>
      <c r="C37" s="9" t="inlineStr">
        <is>
          <t>m</t>
        </is>
      </c>
      <c r="D37" s="10" t="inlineStr">
        <is>
          <t>Κανόνας Εταιρείας</t>
        </is>
      </c>
      <c r="E37" s="10" t="inlineStr">
        <is>
          <t>[DEFAULT ΕΤΑΙΡΕΙΑΣ]: Δεν αναγράφεται διάμετρος νέφκας στη μελέτη (το D=800 στο ΘΕΜ/1 αφορά υποστυλώματα κτιρίου). Εφαρμόζεται by default Ø800 mm βάσει κανόνα εταιρείας.</t>
        </is>
      </c>
    </row>
    <row r="38">
      <c r="A38" s="7" t="inlineStr">
        <is>
          <t>Διατομή Χάλυβα Τοίχου Α</t>
        </is>
      </c>
      <c r="B38" s="8" t="inlineStr">
        <is>
          <t>2 No. HEB 220</t>
        </is>
      </c>
      <c r="C38" s="9" t="inlineStr">
        <is>
          <t>-</t>
        </is>
      </c>
      <c r="D38" s="10" t="inlineStr">
        <is>
          <t>Σχέδιο ΘΕΜ/6, Τομή Τοίχου Α</t>
        </is>
      </c>
      <c r="E38" s="10" t="inlineStr">
        <is>
          <t>2 HEB 220 / 1.5m (αναγράφεται ρητά στην τομή Α)</t>
        </is>
      </c>
    </row>
    <row r="39">
      <c r="A39" s="7" t="inlineStr">
        <is>
          <t>Θεωρητικό Βάρος Προφίλ HEB 220 ανά Μέτρο</t>
        </is>
      </c>
      <c r="B39" s="13" t="n">
        <v>71.5</v>
      </c>
      <c r="C39" s="9" t="inlineStr">
        <is>
          <t>kg / m</t>
        </is>
      </c>
      <c r="D39" s="10" t="inlineStr">
        <is>
          <t>Βιβλιοθήκη Διατομών (Φύλλο 3)</t>
        </is>
      </c>
      <c r="E39" s="10" t="inlineStr">
        <is>
          <t>71.5 kg/m ανά HEB 220 (143.0 kg/m ανά πάσσαλο)</t>
        </is>
      </c>
    </row>
    <row r="40">
      <c r="A40" s="7" t="inlineStr">
        <is>
          <t>Διατομή Χάλυβα Τοίχων Β &amp; Γ</t>
        </is>
      </c>
      <c r="B40" s="8" t="inlineStr">
        <is>
          <t>2 No. HEB 200</t>
        </is>
      </c>
      <c r="C40" s="9" t="inlineStr">
        <is>
          <t>-</t>
        </is>
      </c>
      <c r="D40" s="10" t="inlineStr">
        <is>
          <t>Σχέδιο ΘΕΜ/6, Τομές Β &amp; Γ</t>
        </is>
      </c>
      <c r="E40" s="10" t="inlineStr">
        <is>
          <t>2 HEB 200 / 1.5m (αναγράφεται ρητά στις τομές Β &amp; Γ)</t>
        </is>
      </c>
    </row>
    <row r="41">
      <c r="A41" s="7" t="inlineStr">
        <is>
          <t>Θεωρητικό Βάρος Προφίλ HEB 200 ανά Μέτρο</t>
        </is>
      </c>
      <c r="B41" s="13" t="n">
        <v>61.3</v>
      </c>
      <c r="C41" s="9" t="inlineStr">
        <is>
          <t>kg / m</t>
        </is>
      </c>
      <c r="D41" s="10" t="inlineStr">
        <is>
          <t>Βιβλιοθήκη Διατομών (Φύλλο 3)</t>
        </is>
      </c>
      <c r="E41" s="10" t="inlineStr">
        <is>
          <t>61.3 kg/m ανά HEB 200 (122.6 kg/m ανά πάσσαλο)</t>
        </is>
      </c>
    </row>
    <row r="42">
      <c r="A42" s="7" t="inlineStr">
        <is>
          <t>Πλήθος Προφίλ ανά Πάσσαλο</t>
        </is>
      </c>
      <c r="B42" s="11" t="n">
        <v>2</v>
      </c>
      <c r="C42" s="9" t="inlineStr">
        <is>
          <t>προφίλ/οπή</t>
        </is>
      </c>
      <c r="D42" s="10" t="inlineStr">
        <is>
          <t>Σχέδιο ΘΕΜ/6, Λεπτομέρεια</t>
        </is>
      </c>
      <c r="E42" s="10" t="inlineStr">
        <is>
          <t>Δίδυμο προφίλ 2 No. HEB ανά οπή</t>
        </is>
      </c>
    </row>
    <row r="43">
      <c r="A43" s="7" t="inlineStr">
        <is>
          <t>Κατακόρυφο Βήμα Λαμών ανά Νέφκα (s_plate)</t>
        </is>
      </c>
      <c r="B43" s="12" t="n">
        <v>1</v>
      </c>
      <c r="C43" s="9" t="inlineStr">
        <is>
          <t>m</t>
        </is>
      </c>
      <c r="D43" s="10" t="inlineStr">
        <is>
          <t>Σχέδιο ΘΕΜ/6, Λεπτομέρεια</t>
        </is>
      </c>
      <c r="E43" s="10" t="inlineStr">
        <is>
          <t>Λάμες 200x10mm ανά 1000mm (1.0m) καθ' ύψος</t>
        </is>
      </c>
    </row>
    <row r="44">
      <c r="A44" s="7" t="inlineStr">
        <is>
          <t>Πλάτος Λάμας Σύνδεσης</t>
        </is>
      </c>
      <c r="B44" s="11" t="n">
        <v>200</v>
      </c>
      <c r="C44" s="9" t="inlineStr">
        <is>
          <t>mm</t>
        </is>
      </c>
      <c r="D44" s="10" t="inlineStr">
        <is>
          <t>Σχέδιο ΘΕΜ/6, Λεπτομέρεια</t>
        </is>
      </c>
      <c r="E44" s="10" t="inlineStr">
        <is>
          <t>Λάμες πλάτους 200 mm</t>
        </is>
      </c>
    </row>
    <row r="45">
      <c r="A45" s="7" t="inlineStr">
        <is>
          <t>Μήκος Λάμας Σύνδεσης</t>
        </is>
      </c>
      <c r="B45" s="11" t="n">
        <v>200</v>
      </c>
      <c r="C45" s="9" t="inlineStr">
        <is>
          <t>mm</t>
        </is>
      </c>
      <c r="D45" s="10" t="inlineStr">
        <is>
          <t>Σχέδιο ΘΕΜ/6, Λεπτομέρεια</t>
        </is>
      </c>
      <c r="E45" s="10" t="inlineStr">
        <is>
          <t>Τυπικό μήκος 200 mm</t>
        </is>
      </c>
    </row>
    <row r="46">
      <c r="A46" s="7" t="inlineStr">
        <is>
          <t>Πάχος Λάμας Σύνδεσης</t>
        </is>
      </c>
      <c r="B46" s="11" t="n">
        <v>10</v>
      </c>
      <c r="C46" s="9" t="inlineStr">
        <is>
          <t>mm</t>
        </is>
      </c>
      <c r="D46" s="10" t="inlineStr">
        <is>
          <t>Σχέδιο ΘΕΜ/6, Λεπτομέρεια</t>
        </is>
      </c>
      <c r="E46" s="10" t="inlineStr">
        <is>
          <t>Πάχος 10 mm</t>
        </is>
      </c>
    </row>
    <row r="47">
      <c r="A47" s="7" t="inlineStr">
        <is>
          <t>Κατηγορία Σκυροδέματος Πάκτωσης</t>
        </is>
      </c>
      <c r="B47" s="8" t="inlineStr">
        <is>
          <t>C30/37</t>
        </is>
      </c>
      <c r="C47" s="9" t="inlineStr">
        <is>
          <t>-</t>
        </is>
      </c>
      <c r="D47" s="10" t="inlineStr">
        <is>
          <t>Κανόνας Εταιρείας</t>
        </is>
      </c>
      <c r="E47" s="10" t="inlineStr">
        <is>
          <t>[DEFAULT ΕΤΑΙΡΕΙΑΣ]: Δεν αναγράφεται στη μελέτη. Εφαρμόζεται by default C30/37 βάσει κανόνα εταιρείας.</t>
        </is>
      </c>
    </row>
    <row r="48">
      <c r="A48" s="7" t="inlineStr">
        <is>
          <t>Ύπαρξη Γωνιών Στήριξης Σχάρας</t>
        </is>
      </c>
      <c r="B48" s="8" t="inlineStr">
        <is>
          <t>ΝΑΙ</t>
        </is>
      </c>
      <c r="C48" s="9" t="inlineStr">
        <is>
          <t>-</t>
        </is>
      </c>
      <c r="D48" s="10" t="inlineStr">
        <is>
          <t>Σχέδιο ΘΕΜ/6, Λεπτομέρεια</t>
        </is>
      </c>
      <c r="E48" s="10" t="inlineStr">
        <is>
          <t>Γωνίες 70x70x6mm στις δύο πλευρές της νέφκας</t>
        </is>
      </c>
    </row>
    <row r="49">
      <c r="A49" s="7" t="inlineStr">
        <is>
          <t>Διατομή Γωνιών Στήριξης</t>
        </is>
      </c>
      <c r="B49" s="8" t="inlineStr">
        <is>
          <t>L 70x70x6</t>
        </is>
      </c>
      <c r="C49" s="9" t="inlineStr">
        <is>
          <t>-</t>
        </is>
      </c>
      <c r="D49" s="10" t="inlineStr">
        <is>
          <t>Σχέδιο ΘΕΜ/6, Λεπτομέρεια</t>
        </is>
      </c>
      <c r="E49" s="10" t="inlineStr">
        <is>
          <t>2 γωνιές ανά πάσσαλο κατά μήκος του ύψους εκσκαφής</t>
        </is>
      </c>
    </row>
    <row r="50">
      <c r="A50" s="7" t="inlineStr">
        <is>
          <t>Θεωρητικό Βάρος Γωνιάς L 70x70x6 ανά Μέτρο</t>
        </is>
      </c>
      <c r="B50" s="12" t="n">
        <v>6.38</v>
      </c>
      <c r="C50" s="9" t="inlineStr">
        <is>
          <t>kg / m</t>
        </is>
      </c>
      <c r="D50" s="10" t="inlineStr">
        <is>
          <t>Βιβλιοθήκη Διατομών (Φύλλο 3)</t>
        </is>
      </c>
      <c r="E50" s="10" t="inlineStr">
        <is>
          <t>6.38 kg/m ανά γωνιά (12.76 kg/m ανά πάσσαλο)</t>
        </is>
      </c>
    </row>
    <row r="52">
      <c r="A52" s="6" t="inlineStr">
        <is>
          <t>Α.5 Αγκυρώσεις ανά Τοίχο &amp; Σειρά (Anchor &amp; Strand Breakout)</t>
        </is>
      </c>
    </row>
    <row r="53">
      <c r="A53" s="7" t="inlineStr">
        <is>
          <t>Διάμετρος Οπής Αγκύρωσης (D_anc)</t>
        </is>
      </c>
      <c r="B53" s="12" t="n">
        <v>0.12</v>
      </c>
      <c r="C53" s="9" t="inlineStr">
        <is>
          <t>m</t>
        </is>
      </c>
      <c r="D53" s="10" t="inlineStr">
        <is>
          <t>Κανόνας Εταιρείας</t>
        </is>
      </c>
      <c r="E53" s="10" t="inlineStr">
        <is>
          <t>Ø120 mm τυπική διάμετρος διάτρησης αγκυρίων</t>
        </is>
      </c>
    </row>
    <row r="54">
      <c r="A54" s="7" t="inlineStr">
        <is>
          <t>Συντελεστής Απώλειας Grout Αγκυρώσεων</t>
        </is>
      </c>
      <c r="B54" s="12" t="n">
        <v>1.2</v>
      </c>
      <c r="C54" s="9" t="inlineStr">
        <is>
          <t>-</t>
        </is>
      </c>
      <c r="D54" s="10" t="inlineStr">
        <is>
          <t>Κανόνας Εταιρείας</t>
        </is>
      </c>
      <c r="E54" s="10" t="inlineStr">
        <is>
          <t>20% προσαύξηση όγκου τσιμεντενέματος</t>
        </is>
      </c>
    </row>
    <row r="55">
      <c r="A55" s="7" t="inlineStr">
        <is>
          <t>Πρόσθετο Μήκος Τένοντα εκτός Μετώπου</t>
        </is>
      </c>
      <c r="B55" s="12" t="n">
        <v>1</v>
      </c>
      <c r="C55" s="9" t="inlineStr">
        <is>
          <t>m</t>
        </is>
      </c>
      <c r="D55" s="10" t="inlineStr">
        <is>
          <t>Κανόνας Εταιρείας</t>
        </is>
      </c>
      <c r="E55" s="10" t="inlineStr">
        <is>
          <t>+1.0 m έξω από το μέτωπο για κεφαλή &amp; τάνυση</t>
        </is>
      </c>
    </row>
    <row r="56">
      <c r="A56" s="7" t="inlineStr">
        <is>
          <t>Βάρος Τένοντα Προέντασης 0.6" ανά Μέτρο</t>
        </is>
      </c>
      <c r="B56" s="12" t="n">
        <v>1.1</v>
      </c>
      <c r="C56" s="9" t="inlineStr">
        <is>
          <t>kg / m</t>
        </is>
      </c>
      <c r="D56" s="10" t="inlineStr">
        <is>
          <t>Κανόνας Εταιρείας</t>
        </is>
      </c>
      <c r="E56" s="10" t="inlineStr">
        <is>
          <t>7-wire strand 0.6" (15.2 mm) = 1.10 kg/m</t>
        </is>
      </c>
    </row>
    <row r="57">
      <c r="A57" s="14" t="inlineStr">
        <is>
          <t>Α.5.1 Στοιχεία Αγκυρώσεων Τοίχου Α (24 πάσσαλοι - 4 σειρές)</t>
        </is>
      </c>
    </row>
    <row r="58">
      <c r="A58" s="7" t="inlineStr">
        <is>
          <t>Τοίχος Α - Σειρά 1: Βάθος Διάτρησης (L_drill)</t>
        </is>
      </c>
      <c r="B58" s="12" t="n">
        <v>20</v>
      </c>
      <c r="C58" s="9" t="inlineStr">
        <is>
          <t>m</t>
        </is>
      </c>
      <c r="D58" s="10" t="inlineStr">
        <is>
          <t>Σχέδιο ΘΕΜ/6, Τομή Α</t>
        </is>
      </c>
      <c r="E58" s="10" t="inlineStr">
        <is>
          <t>10.0m free + 10.0m grout, 144 kN</t>
        </is>
      </c>
    </row>
    <row r="59">
      <c r="A59" s="7" t="inlineStr">
        <is>
          <t>Τοίχος Α - Σειρά 1: Strands ανά Οπή</t>
        </is>
      </c>
      <c r="B59" s="11" t="n">
        <v>2</v>
      </c>
      <c r="C59" s="9" t="inlineStr">
        <is>
          <t>strands</t>
        </is>
      </c>
      <c r="D59" s="10" t="inlineStr">
        <is>
          <t>Σχέδιο ΘΕΜ/6, Τομή Α</t>
        </is>
      </c>
      <c r="E59" s="10" t="inlineStr">
        <is>
          <t>2 καλώδια 15.2 mm</t>
        </is>
      </c>
    </row>
    <row r="60">
      <c r="A60" s="7" t="inlineStr">
        <is>
          <t>Τοίχος Α - Σειρά 2: Βάθος Διάτρησης (L_drill)</t>
        </is>
      </c>
      <c r="B60" s="12" t="n">
        <v>19.5</v>
      </c>
      <c r="C60" s="9" t="inlineStr">
        <is>
          <t>m</t>
        </is>
      </c>
      <c r="D60" s="10" t="inlineStr">
        <is>
          <t>Σχέδιο ΘΕΜ/6, Τομή Α</t>
        </is>
      </c>
      <c r="E60" s="10" t="inlineStr">
        <is>
          <t>8.5m free + 11.0m grout, 338 kN</t>
        </is>
      </c>
    </row>
    <row r="61">
      <c r="A61" s="7" t="inlineStr">
        <is>
          <t>Τοίχος Α - Σειρά 2: Strands ανά Οπή</t>
        </is>
      </c>
      <c r="B61" s="11" t="n">
        <v>2</v>
      </c>
      <c r="C61" s="9" t="inlineStr">
        <is>
          <t>strands</t>
        </is>
      </c>
      <c r="D61" s="10" t="inlineStr">
        <is>
          <t>Σχέδιο ΘΕΜ/6, Τομή Α</t>
        </is>
      </c>
      <c r="E61" s="10" t="inlineStr">
        <is>
          <t>2 καλώδια 15.2 mm</t>
        </is>
      </c>
    </row>
    <row r="62">
      <c r="A62" s="7" t="inlineStr">
        <is>
          <t>Τοίχος Α - Σειρά 3: Βάθος Διάτρησης (L_drill)</t>
        </is>
      </c>
      <c r="B62" s="12" t="n">
        <v>20</v>
      </c>
      <c r="C62" s="9" t="inlineStr">
        <is>
          <t>m</t>
        </is>
      </c>
      <c r="D62" s="10" t="inlineStr">
        <is>
          <t>Σχέδιο ΘΕΜ/6, Τομή Α</t>
        </is>
      </c>
      <c r="E62" s="10" t="inlineStr">
        <is>
          <t>8.0m free + 12.0m grout, 439 kN</t>
        </is>
      </c>
    </row>
    <row r="63">
      <c r="A63" s="7" t="inlineStr">
        <is>
          <t>Τοίχος Α - Σειρά 3: Strands ανά Οπή</t>
        </is>
      </c>
      <c r="B63" s="11" t="n">
        <v>3</v>
      </c>
      <c r="C63" s="9" t="inlineStr">
        <is>
          <t>strands</t>
        </is>
      </c>
      <c r="D63" s="10" t="inlineStr">
        <is>
          <t>Σχέδιο ΘΕΜ/6, Τομή Α</t>
        </is>
      </c>
      <c r="E63" s="10" t="inlineStr">
        <is>
          <t>3 καλώδια 15.2 mm</t>
        </is>
      </c>
    </row>
    <row r="64">
      <c r="A64" s="7" t="inlineStr">
        <is>
          <t>Τοίχος Α - Σειρά 4: Βάθος Διάτρησης (L_drill)</t>
        </is>
      </c>
      <c r="B64" s="12" t="n">
        <v>18.5</v>
      </c>
      <c r="C64" s="9" t="inlineStr">
        <is>
          <t>m</t>
        </is>
      </c>
      <c r="D64" s="10" t="inlineStr">
        <is>
          <t>Σχέδιο ΘΕΜ/6, Τομή Α</t>
        </is>
      </c>
      <c r="E64" s="10" t="inlineStr">
        <is>
          <t>3.5m free + 15.0m grout, 584 kN</t>
        </is>
      </c>
    </row>
    <row r="65">
      <c r="A65" s="7" t="inlineStr">
        <is>
          <t>Τοίχος Α - Σειρά 4: Strands ανά Οπή</t>
        </is>
      </c>
      <c r="B65" s="11" t="n">
        <v>3</v>
      </c>
      <c r="C65" s="9" t="inlineStr">
        <is>
          <t>strands</t>
        </is>
      </c>
      <c r="D65" s="10" t="inlineStr">
        <is>
          <t>Σχέδιο ΘΕΜ/6, Τομή Α</t>
        </is>
      </c>
      <c r="E65" s="10" t="inlineStr">
        <is>
          <t>3 καλώδια 15.2 mm</t>
        </is>
      </c>
    </row>
    <row r="66">
      <c r="A66" s="14" t="inlineStr">
        <is>
          <t>Α.5.2 Στοιχεία Αγκυρώσεων Τοίχου Β (63 πάσσαλοι - 4 σειρές)</t>
        </is>
      </c>
    </row>
    <row r="67">
      <c r="A67" s="7" t="inlineStr">
        <is>
          <t>Τοίχος Β - Σειρά 1: Βάθος Διάτρησης (L_drill)</t>
        </is>
      </c>
      <c r="B67" s="12" t="n">
        <v>20</v>
      </c>
      <c r="C67" s="9" t="inlineStr">
        <is>
          <t>m</t>
        </is>
      </c>
      <c r="D67" s="10" t="inlineStr">
        <is>
          <t>Σχέδιο ΘΕΜ/6, Τομή Β</t>
        </is>
      </c>
      <c r="E67" s="10" t="inlineStr">
        <is>
          <t>10.0m free + 10.0m grout, 141 kN</t>
        </is>
      </c>
    </row>
    <row r="68">
      <c r="A68" s="7" t="inlineStr">
        <is>
          <t>Τοίχος Β - Σειρά 1: Strands ανά Οπή</t>
        </is>
      </c>
      <c r="B68" s="11" t="n">
        <v>2</v>
      </c>
      <c r="C68" s="9" t="inlineStr">
        <is>
          <t>strands</t>
        </is>
      </c>
      <c r="D68" s="10" t="inlineStr">
        <is>
          <t>Σχέδιο ΘΕΜ/6, Τομή Β</t>
        </is>
      </c>
      <c r="E68" s="10" t="inlineStr">
        <is>
          <t>2 καλώδια 15.2 mm</t>
        </is>
      </c>
    </row>
    <row r="69">
      <c r="A69" s="7" t="inlineStr">
        <is>
          <t>Τοίχος Β - Σειρά 2: Βάθος Διάτρησης (L_drill)</t>
        </is>
      </c>
      <c r="B69" s="12" t="n">
        <v>19.5</v>
      </c>
      <c r="C69" s="9" t="inlineStr">
        <is>
          <t>m</t>
        </is>
      </c>
      <c r="D69" s="10" t="inlineStr">
        <is>
          <t>Σχέδιο ΘΕΜ/6, Τομή Β</t>
        </is>
      </c>
      <c r="E69" s="10" t="inlineStr">
        <is>
          <t>8.5m free + 11.0m grout, 323 kN</t>
        </is>
      </c>
    </row>
    <row r="70">
      <c r="A70" s="7" t="inlineStr">
        <is>
          <t>Τοίχος Β - Σειρά 2: Strands ανά Οπή</t>
        </is>
      </c>
      <c r="B70" s="11" t="n">
        <v>2</v>
      </c>
      <c r="C70" s="9" t="inlineStr">
        <is>
          <t>strands</t>
        </is>
      </c>
      <c r="D70" s="10" t="inlineStr">
        <is>
          <t>Σχέδιο ΘΕΜ/6, Τομή Β</t>
        </is>
      </c>
      <c r="E70" s="10" t="inlineStr">
        <is>
          <t>2 καλώδια 15.2 mm</t>
        </is>
      </c>
    </row>
    <row r="71">
      <c r="A71" s="7" t="inlineStr">
        <is>
          <t>Τοίχος Β - Σειρά 3: Βάθος Διάτρησης (L_drill)</t>
        </is>
      </c>
      <c r="B71" s="12" t="n">
        <v>19.5</v>
      </c>
      <c r="C71" s="9" t="inlineStr">
        <is>
          <t>m</t>
        </is>
      </c>
      <c r="D71" s="10" t="inlineStr">
        <is>
          <t>Σχέδιο ΘΕΜ/6, Τομή Β</t>
        </is>
      </c>
      <c r="E71" s="10" t="inlineStr">
        <is>
          <t>8.5m free + 11.0m grout, 412 kN</t>
        </is>
      </c>
    </row>
    <row r="72">
      <c r="A72" s="7" t="inlineStr">
        <is>
          <t>Τοίχος Β - Σειρά 3: Strands ανά Οπή</t>
        </is>
      </c>
      <c r="B72" s="11" t="n">
        <v>3</v>
      </c>
      <c r="C72" s="9" t="inlineStr">
        <is>
          <t>strands</t>
        </is>
      </c>
      <c r="D72" s="10" t="inlineStr">
        <is>
          <t>Σχέδιο ΘΕΜ/6, Τομή Β</t>
        </is>
      </c>
      <c r="E72" s="10" t="inlineStr">
        <is>
          <t>3 καλώδια 15.2 mm</t>
        </is>
      </c>
    </row>
    <row r="73">
      <c r="A73" s="7" t="inlineStr">
        <is>
          <t>Τοίχος Β - Σειρά 4: Βάθος Διάτρησης (L_drill)</t>
        </is>
      </c>
      <c r="B73" s="12" t="n">
        <v>16</v>
      </c>
      <c r="C73" s="9" t="inlineStr">
        <is>
          <t>m</t>
        </is>
      </c>
      <c r="D73" s="10" t="inlineStr">
        <is>
          <t>Σχέδιο ΘΕΜ/6, Τομή Β</t>
        </is>
      </c>
      <c r="E73" s="10" t="inlineStr">
        <is>
          <t>4.0m free + 12.0m grout, 438 kN</t>
        </is>
      </c>
    </row>
    <row r="74">
      <c r="A74" s="7" t="inlineStr">
        <is>
          <t>Τοίχος Β - Σειρά 4: Strands ανά Οπή</t>
        </is>
      </c>
      <c r="B74" s="11" t="n">
        <v>3</v>
      </c>
      <c r="C74" s="9" t="inlineStr">
        <is>
          <t>strands</t>
        </is>
      </c>
      <c r="D74" s="10" t="inlineStr">
        <is>
          <t>Σχέδιο ΘΕΜ/6, Τομή Β</t>
        </is>
      </c>
      <c r="E74" s="10" t="inlineStr">
        <is>
          <t>3 καλώδια 15.2 mm</t>
        </is>
      </c>
    </row>
    <row r="75">
      <c r="A75" s="14" t="inlineStr">
        <is>
          <t>Α.5.3 Στοιχεία Αγκυρώσεων Τοίχου Γ (11 πάσσαλοι - 3 σειρές)</t>
        </is>
      </c>
    </row>
    <row r="76">
      <c r="A76" s="7" t="inlineStr">
        <is>
          <t>Τοίχος Γ - Σειρά 1: Βάθος Διάτρησης (L_drill)</t>
        </is>
      </c>
      <c r="B76" s="12" t="n">
        <v>19</v>
      </c>
      <c r="C76" s="9" t="inlineStr">
        <is>
          <t>m</t>
        </is>
      </c>
      <c r="D76" s="10" t="inlineStr">
        <is>
          <t>Σχέδιο ΘΕΜ/6, Τομή Γ</t>
        </is>
      </c>
      <c r="E76" s="10" t="inlineStr">
        <is>
          <t>9.0m free + 10.0m grout, 176 kN</t>
        </is>
      </c>
    </row>
    <row r="77">
      <c r="A77" s="7" t="inlineStr">
        <is>
          <t>Τοίχος Γ - Σειρά 1: Strands ανά Οπή</t>
        </is>
      </c>
      <c r="B77" s="11" t="n">
        <v>3</v>
      </c>
      <c r="C77" s="9" t="inlineStr">
        <is>
          <t>strands</t>
        </is>
      </c>
      <c r="D77" s="10" t="inlineStr">
        <is>
          <t>Σχέδιο ΘΕΜ/6, Τομή Γ</t>
        </is>
      </c>
      <c r="E77" s="10" t="inlineStr">
        <is>
          <t>3 καλώδια 15.2 mm</t>
        </is>
      </c>
    </row>
    <row r="78">
      <c r="A78" s="7" t="inlineStr">
        <is>
          <t>Τοίχος Γ - Σειρά 2: Βάθος Διάτρησης (L_drill)</t>
        </is>
      </c>
      <c r="B78" s="12" t="n">
        <v>17</v>
      </c>
      <c r="C78" s="9" t="inlineStr">
        <is>
          <t>m</t>
        </is>
      </c>
      <c r="D78" s="10" t="inlineStr">
        <is>
          <t>Σχέδιο ΘΕΜ/6, Τομή Γ</t>
        </is>
      </c>
      <c r="E78" s="10" t="inlineStr">
        <is>
          <t>7.0m free + 10.0m grout, 371 kN</t>
        </is>
      </c>
    </row>
    <row r="79">
      <c r="A79" s="7" t="inlineStr">
        <is>
          <t>Τοίχος Γ - Σειρά 2: Strands ανά Οπή</t>
        </is>
      </c>
      <c r="B79" s="11" t="n">
        <v>3</v>
      </c>
      <c r="C79" s="9" t="inlineStr">
        <is>
          <t>strands</t>
        </is>
      </c>
      <c r="D79" s="10" t="inlineStr">
        <is>
          <t>Σχέδιο ΘΕΜ/6, Τομή Γ</t>
        </is>
      </c>
      <c r="E79" s="10" t="inlineStr">
        <is>
          <t>3 καλώδια 15.2 mm</t>
        </is>
      </c>
    </row>
    <row r="80">
      <c r="A80" s="7" t="inlineStr">
        <is>
          <t>Τοίχος Γ - Σειρά 3: Βάθος Διάτρησης (L_drill)</t>
        </is>
      </c>
      <c r="B80" s="12" t="n">
        <v>16</v>
      </c>
      <c r="C80" s="9" t="inlineStr">
        <is>
          <t>m</t>
        </is>
      </c>
      <c r="D80" s="10" t="inlineStr">
        <is>
          <t>Σχέδιο ΘΕΜ/6, Τομή Γ</t>
        </is>
      </c>
      <c r="E80" s="10" t="inlineStr">
        <is>
          <t>6.0m free + 10.0m grout, 341.6 kN</t>
        </is>
      </c>
    </row>
    <row r="81">
      <c r="A81" s="7" t="inlineStr">
        <is>
          <t>Τοίχος Γ - Σειρά 3: Strands ανά Οπή</t>
        </is>
      </c>
      <c r="B81" s="11" t="n">
        <v>3</v>
      </c>
      <c r="C81" s="9" t="inlineStr">
        <is>
          <t>strands</t>
        </is>
      </c>
      <c r="D81" s="10" t="inlineStr">
        <is>
          <t>Σχέδιο ΘΕΜ/6, Τομή Γ</t>
        </is>
      </c>
      <c r="E81" s="10" t="inlineStr">
        <is>
          <t>3 καλώδια 15.2 mm</t>
        </is>
      </c>
    </row>
    <row r="83">
      <c r="A83" s="3" t="inlineStr">
        <is>
          <t>⚙️ ΚΕΦΑΛΑΙΟ Β: ΥΠΟΛΟΓΙΣΜΟΙ ΦΥΣΙΚΩΝ ΠΟΣΟΤΗΤΩΝ (ΜΟΝΟ ΜΑΘΗΜΑΤΙΚΟΙ ΤΥΠΟΙ &amp; ΔΥΝΑΜΙΚΕΣ ΣΗΜΕΙΩΣΕΙΣ)</t>
        </is>
      </c>
    </row>
    <row r="84">
      <c r="A84" s="4" t="inlineStr">
        <is>
          <t>Περιγραφή Υπολογισμού</t>
        </is>
      </c>
      <c r="B84" s="5" t="inlineStr">
        <is>
          <t>Υπολογισμένη Ποσότητα</t>
        </is>
      </c>
      <c r="C84" s="5" t="inlineStr">
        <is>
          <t>Μονάδα</t>
        </is>
      </c>
      <c r="D84" s="4" t="inlineStr">
        <is>
          <t>Δυναμικός Μαθηματικός Τύπος &amp; Επεξήγηση</t>
        </is>
      </c>
      <c r="E84" s="4" t="inlineStr">
        <is>
          <t>Σημείωση Εφαρμογής Κανόνα</t>
        </is>
      </c>
    </row>
    <row r="85">
      <c r="A85" s="6" t="inlineStr">
        <is>
          <t>Β.1 Στράτες Μετακίνησης Συνεργείων &amp; Μηχανημάτων</t>
        </is>
      </c>
    </row>
    <row r="86">
      <c r="A86" s="7" t="inlineStr">
        <is>
          <t>Στράτες Μεγάλου Τρυπανιού (Piling Rig)</t>
        </is>
      </c>
      <c r="B86" s="15" t="n">
        <v>1</v>
      </c>
      <c r="C86" s="9" t="inlineStr">
        <is>
          <t>στράτες</t>
        </is>
      </c>
      <c r="D86" s="10">
        <f>"1 στράτα (πάγια έναρξης)"</f>
        <v/>
      </c>
      <c r="E86" s="10" t="inlineStr">
        <is>
          <t>1 στράτα για διάτρηση πασσάλων</t>
        </is>
      </c>
    </row>
    <row r="87">
      <c r="A87" s="7" t="inlineStr">
        <is>
          <t>Στράτες Εξοπλισμού Αγκυρώσεων</t>
        </is>
      </c>
      <c r="B87" s="15">
        <f>B10</f>
        <v/>
      </c>
      <c r="C87" s="9" t="inlineStr">
        <is>
          <t>στράτες</t>
        </is>
      </c>
      <c r="D87" s="10">
        <f>"=" &amp; B10 &amp; " στράτες (όσες οι μέγιστες σειρές αγκυρώσεων)"</f>
        <v/>
      </c>
      <c r="E87" s="10" t="inlineStr">
        <is>
          <t>4 στράτες ανά στάθμη αγκύρωσης</t>
        </is>
      </c>
    </row>
    <row r="88">
      <c r="A88" s="7" t="inlineStr">
        <is>
          <t>Στράτες Συνεργείου &amp; Αντλίας Shotcrete</t>
        </is>
      </c>
      <c r="B88" s="15">
        <f>B10+1</f>
        <v/>
      </c>
      <c r="C88" s="9" t="inlineStr">
        <is>
          <t>στράτες</t>
        </is>
      </c>
      <c r="D88" s="10">
        <f>"=" &amp; B10 &amp; " + 1 = " &amp; (B10+1) &amp; " στράτες (σειρές αγκυρώσεων + 1)"</f>
        <v/>
      </c>
      <c r="E88" s="10" t="inlineStr">
        <is>
          <t>5 στράτες εκτόξευσης shotcrete</t>
        </is>
      </c>
    </row>
    <row r="89">
      <c r="A89" s="6" t="inlineStr">
        <is>
          <t>Β.2 Γεωμετρία Μετώπου, Σχάρες &amp; Εκτοξευόμενο Σκυρόδεμα (Shotcrete)</t>
        </is>
      </c>
    </row>
    <row r="90">
      <c r="A90" s="7" t="inlineStr">
        <is>
          <t>Συνολικό Μήκος Περιμέτρου Έργου</t>
        </is>
      </c>
      <c r="B90" s="16">
        <f>B14+B18+B22</f>
        <v/>
      </c>
      <c r="C90" s="9" t="inlineStr">
        <is>
          <t>m</t>
        </is>
      </c>
      <c r="D90" s="10">
        <f>"Τοίχος Α (" &amp; TEXT(B14, "0.00") &amp; "m) + Τοίχος Β (" &amp; TEXT(B18, "0.00") &amp; "m) + Τοίχος Γ (" &amp; TEXT(B22, "0.00") &amp; "m)"</f>
        <v/>
      </c>
      <c r="E90" s="10" t="inlineStr">
        <is>
          <t>147.00 m συνολική περίμετρος</t>
        </is>
      </c>
    </row>
    <row r="91">
      <c r="A91" s="7" t="inlineStr">
        <is>
          <t>Συνολικό Πλήθος Πασσάλων / Οπών Έργου</t>
        </is>
      </c>
      <c r="B91" s="15">
        <f>B13+B17+B21</f>
        <v/>
      </c>
      <c r="C91" s="9" t="inlineStr">
        <is>
          <t>πάσσαλοι</t>
        </is>
      </c>
      <c r="D91" s="10">
        <f>"Τοίχος Α (" &amp; B13 &amp; ") + Τοίχος Β (" &amp; B17 &amp; ") + Τοίχος Γ (" &amp; B21 &amp; ")"</f>
        <v/>
      </c>
      <c r="E91" s="10" t="inlineStr">
        <is>
          <t>98 πάσσαλοι συνολικά</t>
        </is>
      </c>
    </row>
    <row r="92">
      <c r="A92" s="7" t="inlineStr">
        <is>
          <t>Εμβαδόν Μετώπου Τοίχου Α</t>
        </is>
      </c>
      <c r="B92" s="16">
        <f>B14*B15</f>
        <v/>
      </c>
      <c r="C92" s="9" t="inlineStr">
        <is>
          <t>m²</t>
        </is>
      </c>
      <c r="D92" s="10">
        <f>"Μήκος " &amp; TEXT(B14, "0.00") &amp; "m × Ύψος " &amp; TEXT(B15, "0.00") &amp; "m"</f>
        <v/>
      </c>
      <c r="E92" s="10" t="inlineStr">
        <is>
          <t>612.00 m² μέτωπο Τοίχου Α</t>
        </is>
      </c>
    </row>
    <row r="93">
      <c r="A93" s="7" t="inlineStr">
        <is>
          <t>Εμβαδόν Μετώπου Τοίχου Β</t>
        </is>
      </c>
      <c r="B93" s="16">
        <f>B18*B19</f>
        <v/>
      </c>
      <c r="C93" s="9" t="inlineStr">
        <is>
          <t>m²</t>
        </is>
      </c>
      <c r="D93" s="10">
        <f>"Μήκος " &amp; TEXT(B18, "0.00") &amp; "m × Ύψος " &amp; TEXT(B19, "0.00") &amp; "m"</f>
        <v/>
      </c>
      <c r="E93" s="10" t="inlineStr">
        <is>
          <t>1,474.20 m² μέτωπο Τοίχου Β</t>
        </is>
      </c>
    </row>
    <row r="94">
      <c r="A94" s="7" t="inlineStr">
        <is>
          <t>Εμβαδόν Μετώπου Τοίχου Γ</t>
        </is>
      </c>
      <c r="B94" s="16">
        <f>B22*B23</f>
        <v/>
      </c>
      <c r="C94" s="9" t="inlineStr">
        <is>
          <t>m²</t>
        </is>
      </c>
      <c r="D94" s="10">
        <f>"Μήκος " &amp; TEXT(B22, "0.00") &amp; "m × Ύψος " &amp; TEXT(B23, "0.00") &amp; "m"</f>
        <v/>
      </c>
      <c r="E94" s="10" t="inlineStr">
        <is>
          <t>183.15 m² μέτωπο Τοίχου Γ</t>
        </is>
      </c>
    </row>
    <row r="95">
      <c r="A95" s="17" t="inlineStr">
        <is>
          <t>ΣΥΝΟΛΙΚΟ ΕΜΒΑΔΟΝ ΜΕΤΩΠΟΥ ΕΚΣΚΑΦΗΣ</t>
        </is>
      </c>
      <c r="B95" s="18">
        <f>B92+B93+B94</f>
        <v/>
      </c>
      <c r="C95" s="9" t="inlineStr">
        <is>
          <t>m²</t>
        </is>
      </c>
      <c r="D95" s="10">
        <f>"Άθροισμα 3 τοίχων = " &amp; TEXT(B92+B93+B94, "#,##0.00") &amp; " m²"</f>
        <v/>
      </c>
      <c r="E95" s="10" t="inlineStr">
        <is>
          <t>2,269.35 m² συνολικό εμβαδόν μετώπου</t>
        </is>
      </c>
    </row>
    <row r="96">
      <c r="A96" s="7" t="inlineStr">
        <is>
          <t>Τρέχοντα Μέτρα Οριζόντιων Ράβδων σε 1 m²</t>
        </is>
      </c>
      <c r="B96" s="19">
        <f>1000/B29</f>
        <v/>
      </c>
      <c r="C96" s="9" t="inlineStr">
        <is>
          <t>m / m²</t>
        </is>
      </c>
      <c r="D96" s="10">
        <f>"1000/" &amp; B29 &amp; " mm = " &amp; TEXT(1000/B29, "0.00") &amp; " m/m²"</f>
        <v/>
      </c>
      <c r="E96" s="10" t="inlineStr">
        <is>
          <t>Οριζόντιες ράβδοι Y8</t>
        </is>
      </c>
    </row>
    <row r="97">
      <c r="A97" s="7" t="inlineStr">
        <is>
          <t>Θεωρητικό Βάρος Οριζόντιας Ράβδου Y8</t>
        </is>
      </c>
      <c r="B97" s="20">
        <f>(PI()*((B28/1000)^2)/4)*7850</f>
        <v/>
      </c>
      <c r="C97" s="9" t="inlineStr">
        <is>
          <t>kg / m</t>
        </is>
      </c>
      <c r="D97" s="10">
        <f>"π * (" &amp; B28 &amp; "/1000)² / 4 * 7850 = " &amp; TEXT((PI()*((B28/1000)^2)/4)*7850, "0.000") &amp; " kg/m"</f>
        <v/>
      </c>
      <c r="E97" s="10" t="inlineStr">
        <is>
          <t>Βάρος Y8 = 0.395 kg/m</t>
        </is>
      </c>
    </row>
    <row r="98">
      <c r="A98" s="7" t="inlineStr">
        <is>
          <t>Βάρος Οριζόντιων Ράβδων ανά m²</t>
        </is>
      </c>
      <c r="B98" s="20">
        <f>ROUND(B96*B97, 3)</f>
        <v/>
      </c>
      <c r="C98" s="9" t="inlineStr">
        <is>
          <t>kg / m²</t>
        </is>
      </c>
      <c r="D98" s="10">
        <f>"Μέτρα " &amp; TEXT(B96, "0.00") &amp; " × " &amp; TEXT(B97, "0.000") &amp; " = " &amp; TEXT(ROUND(B96*B97, 3), "0.000") &amp; " kg/m²"</f>
        <v/>
      </c>
      <c r="E98" s="10" t="inlineStr">
        <is>
          <t>2.631 kg/m²</t>
        </is>
      </c>
    </row>
    <row r="99">
      <c r="A99" s="7" t="inlineStr">
        <is>
          <t>Τρέχοντα Μέτρα Κατακόρυφων Ράβδων σε 1 m²</t>
        </is>
      </c>
      <c r="B99" s="19">
        <f>1000/B31</f>
        <v/>
      </c>
      <c r="C99" s="9" t="inlineStr">
        <is>
          <t>m / m²</t>
        </is>
      </c>
      <c r="D99" s="10">
        <f>"1000/" &amp; B31 &amp; " mm = " &amp; TEXT(1000/B31, "0.00") &amp; " m/m²"</f>
        <v/>
      </c>
      <c r="E99" s="10" t="inlineStr">
        <is>
          <t>Κατακόρυφες ράβδοι Y8</t>
        </is>
      </c>
    </row>
    <row r="100">
      <c r="A100" s="7" t="inlineStr">
        <is>
          <t>Θεωρητικό Βάρος Κατακόρυφης Ράβδου Y8</t>
        </is>
      </c>
      <c r="B100" s="20">
        <f>(PI()*((B30/1000)^2)/4)*7850</f>
        <v/>
      </c>
      <c r="C100" s="9" t="inlineStr">
        <is>
          <t>kg / m</t>
        </is>
      </c>
      <c r="D100" s="10">
        <f>"π * (" &amp; B30 &amp; "/1000)² / 4 * 7850 = " &amp; TEXT((PI()*((B30/1000)^2)/4)*7850, "0.000") &amp; " kg/m"</f>
        <v/>
      </c>
      <c r="E100" s="10" t="inlineStr">
        <is>
          <t>Βάρος Y8 = 0.395 kg/m</t>
        </is>
      </c>
    </row>
    <row r="101">
      <c r="A101" s="7" t="inlineStr">
        <is>
          <t>Βάρος Κατακόρυφων Ράβδων ανά m²</t>
        </is>
      </c>
      <c r="B101" s="20">
        <f>ROUND(B99*B100, 3)</f>
        <v/>
      </c>
      <c r="C101" s="9" t="inlineStr">
        <is>
          <t>kg / m²</t>
        </is>
      </c>
      <c r="D101" s="10">
        <f>"Μέτρα " &amp; TEXT(B99, "0.00") &amp; " × " &amp; TEXT(B100, "0.000") &amp; " = " &amp; TEXT(ROUND(B99*B100, 3), "0.000") &amp; " kg/m²"</f>
        <v/>
      </c>
      <c r="E101" s="10" t="inlineStr">
        <is>
          <t>2.631 kg/m²</t>
        </is>
      </c>
    </row>
    <row r="102">
      <c r="A102" s="7" t="inlineStr">
        <is>
          <t>Υπολογιστικό Βάρος Σχάρας ανά m² (#Y8/150)</t>
        </is>
      </c>
      <c r="B102" s="20">
        <f>ROUND(B98+B101, 3)</f>
        <v/>
      </c>
      <c r="C102" s="9" t="inlineStr">
        <is>
          <t>kg / m²</t>
        </is>
      </c>
      <c r="D102" s="10">
        <f>"Οριζόντιες " &amp; TEXT(B98, "0.000") &amp; " + Κατακόρυφες " &amp; TEXT(B101, "0.000") &amp; " = " &amp; TEXT(ROUND(B98+B101, 3), "0.000") &amp; " kg/m²"</f>
        <v/>
      </c>
      <c r="E102" s="10" t="inlineStr">
        <is>
          <t>5.261 kg/m² (Y8/150)</t>
        </is>
      </c>
    </row>
    <row r="103">
      <c r="A103" s="17" t="inlineStr">
        <is>
          <t>ΣΥΝΟΛΙΚΟ ΒΑΡΟΣ ΧΑΛΥΒΑ ΣΧΑΡΩΝ (#Y8/150) ΕΡΓΟΥ</t>
        </is>
      </c>
      <c r="B103" s="18">
        <f>ROUND(B95*B102, 2)</f>
        <v/>
      </c>
      <c r="C103" s="9" t="inlineStr">
        <is>
          <t>kg</t>
        </is>
      </c>
      <c r="D103" s="10">
        <f>"Εμβαδόν " &amp; TEXT(B95, "#,##0.00") &amp; " m² × " &amp; TEXT(B102, "0.000") &amp; " kg/m²"</f>
        <v/>
      </c>
      <c r="E103" s="10" t="inlineStr">
        <is>
          <t>Συνολικά κιλά χάλυβα σχάρας</t>
        </is>
      </c>
    </row>
    <row r="104">
      <c r="A104" s="7" t="inlineStr">
        <is>
          <t>Ονομαστικό Πάχος Shotcrete Μελέτης</t>
        </is>
      </c>
      <c r="B104" s="19">
        <f>B33</f>
        <v/>
      </c>
      <c r="C104" s="9" t="inlineStr">
        <is>
          <t>m</t>
        </is>
      </c>
      <c r="D104" s="10">
        <f>"Ονομαστικό πάχος " &amp; TEXT(B33*1000, "0") &amp; " mm"</f>
        <v/>
      </c>
      <c r="E104" s="10" t="inlineStr">
        <is>
          <t>Χωρίς απώλεια</t>
        </is>
      </c>
    </row>
    <row r="105">
      <c r="A105" s="7" t="inlineStr">
        <is>
          <t>Ποσοστό Απώλειας επί του Ονομαστικού Πάχους</t>
        </is>
      </c>
      <c r="B105" s="21">
        <f>B34/B33</f>
        <v/>
      </c>
      <c r="C105" s="9" t="inlineStr">
        <is>
          <t>%</t>
        </is>
      </c>
      <c r="D105" s="10">
        <f>"Απώλεια " &amp; B34 &amp; "m / Ονομαστικό " &amp; B33 &amp; "m = " &amp; TEXT(B34/B33, "0.0%") &amp; " (χρεώνεται στα €/m³)"</f>
        <v/>
      </c>
      <c r="E105" s="10" t="inlineStr">
        <is>
          <t>+33.3% προσαύξηση</t>
        </is>
      </c>
    </row>
    <row r="106">
      <c r="A106" s="17" t="inlineStr">
        <is>
          <t>ΣΥΝΟΛΙΚΟΣ ΟΓΚΟΣ SHOTCRETE ΕΡΓΟΥ (ΟΝΟΜΑΣΤΙΚΟΣ)</t>
        </is>
      </c>
      <c r="B106" s="18">
        <f>ROUND(B95*B33, 2)</f>
        <v/>
      </c>
      <c r="C106" s="9" t="inlineStr">
        <is>
          <t>m³</t>
        </is>
      </c>
      <c r="D106" s="10">
        <f>"Εμβαδόν " &amp; TEXT(B95, "#,##0.00") &amp; " m² × " &amp; TEXT(B33, "0.00") &amp; " m ονομαστικό πάχος"</f>
        <v/>
      </c>
      <c r="E106" s="10" t="inlineStr">
        <is>
          <t>340.40 m³ ονομαστικά κυβικά</t>
        </is>
      </c>
    </row>
    <row r="108">
      <c r="A108" s="6" t="inlineStr">
        <is>
          <t>Β.3 H-Beams ανά Τοίχο &amp; Διατομή (Profile Breakout: HEB 220 &amp; HEB 200)</t>
        </is>
      </c>
    </row>
    <row r="109">
      <c r="A109" s="7" t="inlineStr">
        <is>
          <t>Συνολικό Μήκος Νέφκας Τοίχου Α (L_beam_A)</t>
        </is>
      </c>
      <c r="B109" s="19">
        <f>B15+B16</f>
        <v/>
      </c>
      <c r="C109" s="9" t="inlineStr">
        <is>
          <t>m</t>
        </is>
      </c>
      <c r="D109" s="10">
        <f>"H_exc (" &amp; B15 &amp; "m) + H_embed (" &amp; B16 &amp; "m) = " &amp; TEXT(B15+B16, "0.00") &amp; " m"</f>
        <v/>
      </c>
      <c r="E109" s="10" t="inlineStr">
        <is>
          <t>19.00 m βάθος οπής Τοίχου Α</t>
        </is>
      </c>
    </row>
    <row r="110">
      <c r="A110" s="7" t="inlineStr">
        <is>
          <t>Συνολικό Μήκος Νέφκας Τοίχου Β (L_beam_B)</t>
        </is>
      </c>
      <c r="B110" s="19" t="n">
        <v>17</v>
      </c>
      <c r="C110" s="9" t="inlineStr">
        <is>
          <t>m</t>
        </is>
      </c>
      <c r="D110" s="10">
        <f>"L_beam αναγραφόμενο = 17.00 m (H_exc=" &amp; B19 &amp; "m)"</f>
        <v/>
      </c>
      <c r="E110" s="10" t="inlineStr">
        <is>
          <t>17.00 m βάθος οπής Τοίχου Β</t>
        </is>
      </c>
    </row>
    <row r="111">
      <c r="A111" s="7" t="inlineStr">
        <is>
          <t>Συνολικό Μήκος Νέφκας Τοίχου Γ (L_beam_C)</t>
        </is>
      </c>
      <c r="B111" s="19" t="n">
        <v>13</v>
      </c>
      <c r="C111" s="9" t="inlineStr">
        <is>
          <t>m</t>
        </is>
      </c>
      <c r="D111" s="10">
        <f>"L_beam αναγραφόμενο = 13.00 m (H_exc=" &amp; B23 &amp; "m)"</f>
        <v/>
      </c>
      <c r="E111" s="10" t="inlineStr">
        <is>
          <t>13.00 m βάθος οπής Τοίχου Γ</t>
        </is>
      </c>
    </row>
    <row r="112">
      <c r="A112" s="7" t="inlineStr">
        <is>
          <t>Μέτρα Διάτρησης Μεγάλου Τρυπανιού Τοίχου Α</t>
        </is>
      </c>
      <c r="B112" s="16">
        <f>B13*B109</f>
        <v/>
      </c>
      <c r="C112" s="9" t="inlineStr">
        <is>
          <t>m</t>
        </is>
      </c>
      <c r="D112" s="10">
        <f>"=" &amp; B13 &amp; " πάσσαλοι × " &amp; TEXT(B109, "0.00") &amp; " m"</f>
        <v/>
      </c>
      <c r="E112" s="10" t="inlineStr">
        <is>
          <t>456.00 m διάτρησης Τοίχου Α</t>
        </is>
      </c>
    </row>
    <row r="113">
      <c r="A113" s="7" t="inlineStr">
        <is>
          <t>Μέτρα Διάτρησης Μεγάλου Τρυπανιού Τοίχου Β</t>
        </is>
      </c>
      <c r="B113" s="16">
        <f>B17*B110</f>
        <v/>
      </c>
      <c r="C113" s="9" t="inlineStr">
        <is>
          <t>m</t>
        </is>
      </c>
      <c r="D113" s="10">
        <f>"=" &amp; B17 &amp; " πάσσαλοι × " &amp; TEXT(B110, "0.00") &amp; " m"</f>
        <v/>
      </c>
      <c r="E113" s="10" t="inlineStr">
        <is>
          <t>1,071.00 m διάτρησης Τοίχου Β</t>
        </is>
      </c>
    </row>
    <row r="114">
      <c r="A114" s="7" t="inlineStr">
        <is>
          <t>Μέτρα Διάτρησης Μεγάλου Τρυπανιού Τοίχου Γ</t>
        </is>
      </c>
      <c r="B114" s="16">
        <f>B21*B111</f>
        <v/>
      </c>
      <c r="C114" s="9" t="inlineStr">
        <is>
          <t>m</t>
        </is>
      </c>
      <c r="D114" s="10">
        <f>"=" &amp; B21 &amp; " πάσσαλοι × " &amp; TEXT(B111, "0.00") &amp; " m"</f>
        <v/>
      </c>
      <c r="E114" s="10" t="inlineStr">
        <is>
          <t>143.00 m διάτρησης Τοίχου Γ</t>
        </is>
      </c>
    </row>
    <row r="115">
      <c r="A115" s="17" t="inlineStr">
        <is>
          <t>ΣΥΝΟΛΙΚΑ ΜΕΤΡΑ ΔΙΑΤΡΗΣΗΣ ΜΕΓΑΛΟΥ ΤΡΥΠΑΝΙΟΥ</t>
        </is>
      </c>
      <c r="B115" s="18">
        <f>B112+B113+B114</f>
        <v/>
      </c>
      <c r="C115" s="9" t="inlineStr">
        <is>
          <t>m</t>
        </is>
      </c>
      <c r="D115" s="10">
        <f>"Άθροισμα 3 τοίχων = " &amp; TEXT(B112+B113+B114, "#,##0.00") &amp; " m διάτρησης"</f>
        <v/>
      </c>
      <c r="E115" s="10" t="inlineStr">
        <is>
          <t>1,670.00 m συνολική διάτρηση</t>
        </is>
      </c>
    </row>
    <row r="116">
      <c r="A116" s="7" t="inlineStr">
        <is>
          <t>Κυβικά Εκσκαφής Οπής ανά Μέτρο (D=0.80m)</t>
        </is>
      </c>
      <c r="B116" s="22">
        <f>PI()*((B37/2)^2)</f>
        <v/>
      </c>
      <c r="C116" s="9" t="inlineStr">
        <is>
          <t>m³ / m</t>
        </is>
      </c>
      <c r="D116" s="10">
        <f>"π * (" &amp; TEXT(B37, "0.00") &amp; "/2)² = " &amp; TEXT(PI()*((B37/2)^2), "0.0000") &amp; " m³/m"</f>
        <v/>
      </c>
      <c r="E116" s="10" t="inlineStr">
        <is>
          <t>0.5027 m³/m (D=0.80m)</t>
        </is>
      </c>
    </row>
    <row r="117">
      <c r="A117" s="7" t="inlineStr">
        <is>
          <t>Συνολικά Κυβικά Εκσκαφής Οπών Μεγάλου Τρυπανιού</t>
        </is>
      </c>
      <c r="B117" s="16">
        <f>ROUND(B115*B116, 2)</f>
        <v/>
      </c>
      <c r="C117" s="9" t="inlineStr">
        <is>
          <t>m³</t>
        </is>
      </c>
      <c r="D117" s="10">
        <f>"Μέτρα διάτρησης " &amp; TEXT(B115, "#,##0.00") &amp; " × " &amp; TEXT(B116, "0.0000") &amp; " m³/m"</f>
        <v/>
      </c>
      <c r="E117" s="10" t="inlineStr">
        <is>
          <t>839.43 m³ όγκος εκσκαφής</t>
        </is>
      </c>
    </row>
    <row r="118">
      <c r="A118" s="17" t="inlineStr">
        <is>
          <t>ΒΑΡΟΣ ΧΑΛΥΒΑ ΝΕΦΚΩΝ HEB 220 (ΤΟΙΧΟΣ Α)</t>
        </is>
      </c>
      <c r="B118" s="18">
        <f>ROUND(B13*B42*B109*B39, 2)</f>
        <v/>
      </c>
      <c r="C118" s="9" t="inlineStr">
        <is>
          <t>kg</t>
        </is>
      </c>
      <c r="D118" s="10">
        <f>"=" &amp; B13 &amp; " πάσσαλοι × " &amp; B42 &amp; " HEB × " &amp; TEXT(B109, "0.00") &amp; "m × " &amp; TEXT(B39, "0.0") &amp; " kg/m"</f>
        <v/>
      </c>
      <c r="E118" s="10" t="inlineStr">
        <is>
          <t>65,208.00 kg HEB 220</t>
        </is>
      </c>
    </row>
    <row r="119">
      <c r="A119" s="17" t="inlineStr">
        <is>
          <t>ΒΑΡΟΣ ΧΑΛΥΒΑ ΝΕΦΚΩΝ HEB 200 (ΤΟΙΧΟΙ Β &amp; Γ)</t>
        </is>
      </c>
      <c r="B119" s="18">
        <f>ROUND((B17*B42*B110*B41)+(B21*B42*B111*B41), 2)</f>
        <v/>
      </c>
      <c r="C119" s="9" t="inlineStr">
        <is>
          <t>kg</t>
        </is>
      </c>
      <c r="D119" s="10">
        <f>"Τοίχος Β (" &amp; TEXT(ROUND(B17*B42*B110*B41,2),"#,##0") &amp; "kg) + Τοίχος Γ (" &amp; TEXT(ROUND(B21*B42*B111*B41,2),"#,##0") &amp; "kg)"</f>
        <v/>
      </c>
      <c r="E119" s="10" t="inlineStr">
        <is>
          <t>148,836.40 kg HEB 200</t>
        </is>
      </c>
    </row>
    <row r="120">
      <c r="A120" s="17" t="inlineStr">
        <is>
          <t>ΣΥΝΟΛΙΚΟ ΒΑΡΟΣ ΧΑΛΥΒΑ ΝΕΦΚΩΝ (HEB 220 + HEB 200)</t>
        </is>
      </c>
      <c r="B120" s="18">
        <f>B118+B119</f>
        <v/>
      </c>
      <c r="C120" s="9" t="inlineStr">
        <is>
          <t>kg</t>
        </is>
      </c>
      <c r="D120" s="10">
        <f>"HEB 220 (" &amp; TEXT(B118, "#,##0.00") &amp; " kg) + HEB 200 (" &amp; TEXT(B119, "#,##0.00") &amp; " kg)"</f>
        <v/>
      </c>
      <c r="E120" s="10" t="inlineStr">
        <is>
          <t>214,044.40 kg συνολικός χάλυβας νέφκων</t>
        </is>
      </c>
    </row>
    <row r="121">
      <c r="A121" s="7" t="inlineStr">
        <is>
          <t>Πλήθος Λαμών Σύνδεσης Τοίχου Α (L_beam / s_plate)</t>
        </is>
      </c>
      <c r="B121" s="15">
        <f>B13*(B109/B43)</f>
        <v/>
      </c>
      <c r="C121" s="9" t="inlineStr">
        <is>
          <t>τεμ.</t>
        </is>
      </c>
      <c r="D121" s="10">
        <f>"=" &amp; B13 &amp; " πάσσαλοι × (" &amp; TEXT(B109, "0.00") &amp; "m / " &amp; TEXT(B43, "0.00") &amp; "m) = " &amp; TEXT(B13*(B109/B43), "#,##0") &amp; " λάμες"</f>
        <v/>
      </c>
      <c r="E121" s="10" t="inlineStr">
        <is>
          <t>456 λάμες Τοίχου Α</t>
        </is>
      </c>
    </row>
    <row r="122">
      <c r="A122" s="7" t="inlineStr">
        <is>
          <t>Πλήθος Λαμών Σύνδεσης Τοίχου Β (L_beam / s_plate)</t>
        </is>
      </c>
      <c r="B122" s="15">
        <f>B17*(B110/B43)</f>
        <v/>
      </c>
      <c r="C122" s="9" t="inlineStr">
        <is>
          <t>τεμ.</t>
        </is>
      </c>
      <c r="D122" s="10">
        <f>"=" &amp; B17 &amp; " πάσσαλοι × (" &amp; TEXT(B110, "0.00") &amp; "m / " &amp; TEXT(B43, "0.00") &amp; "m) = " &amp; TEXT(B17*(B110/B43), "#,##0") &amp; " λάμες"</f>
        <v/>
      </c>
      <c r="E122" s="10" t="inlineStr">
        <is>
          <t>1,071 λάμες Τοίχου Β</t>
        </is>
      </c>
    </row>
    <row r="123">
      <c r="A123" s="7" t="inlineStr">
        <is>
          <t>Πλήθος Λαμών Σύνδεσης Τοίχου Γ (L_beam / s_plate)</t>
        </is>
      </c>
      <c r="B123" s="15">
        <f>B21*(B111/B43)</f>
        <v/>
      </c>
      <c r="C123" s="9" t="inlineStr">
        <is>
          <t>τεμ.</t>
        </is>
      </c>
      <c r="D123" s="10">
        <f>"=" &amp; B21 &amp; " πάσσαλοι × (" &amp; TEXT(B111, "0.00") &amp; "m / " &amp; TEXT(B43, "0.00") &amp; "m) = " &amp; TEXT(B21*(B111/B43), "#,##0") &amp; " λάμες"</f>
        <v/>
      </c>
      <c r="E123" s="10" t="inlineStr">
        <is>
          <t>143 λάμες Τοίχου Γ</t>
        </is>
      </c>
    </row>
    <row r="124">
      <c r="A124" s="17" t="inlineStr">
        <is>
          <t>ΣΥΝΟΛΙΚΟ ΠΛΗΘΟΣ ΛΑΜΩΝ ΣΥΝΔΕΣΗΣ (L_beam / s_plate)</t>
        </is>
      </c>
      <c r="B124" s="23">
        <f>B121+B122+B123</f>
        <v/>
      </c>
      <c r="C124" s="9" t="inlineStr">
        <is>
          <t>τεμ.</t>
        </is>
      </c>
      <c r="D124" s="10">
        <f>"Άθροισμα 3 τοίχων = " &amp; TEXT(B121+B122+B123, "#,##0") &amp; " λάμες"</f>
        <v/>
      </c>
      <c r="E124" s="10" t="inlineStr">
        <is>
          <t>1,670 λάμες συνολικά</t>
        </is>
      </c>
    </row>
    <row r="125">
      <c r="A125" s="7" t="inlineStr">
        <is>
          <t>Βάρος ανά Λάμα Σύνδεσης (200x200x10)</t>
        </is>
      </c>
      <c r="B125" s="20">
        <f>(B44/1000)*(B45/1000)*(B46/1000)*7850</f>
        <v/>
      </c>
      <c r="C125" s="9" t="inlineStr">
        <is>
          <t>kg / τεμ.</t>
        </is>
      </c>
      <c r="D125" s="10">
        <f>"(W/1000) × (L/1000) × (t/1000) × 7850 = " &amp; TEXT((B44/1000)*(B45/1000)*(B46/1000)*7850, "0.000") &amp; " kg"</f>
        <v/>
      </c>
      <c r="E125" s="10" t="inlineStr">
        <is>
          <t>3.140 kg ανά λάμα</t>
        </is>
      </c>
    </row>
    <row r="126">
      <c r="A126" s="17" t="inlineStr">
        <is>
          <t>ΣΥΝΟΛΙΚΟ ΒΑΡΟΣ ΛΑΜΩΝ ΣΥΝΔΕΣΗΣ</t>
        </is>
      </c>
      <c r="B126" s="18">
        <f>ROUND(B124*B125, 2)</f>
        <v/>
      </c>
      <c r="C126" s="9" t="inlineStr">
        <is>
          <t>kg</t>
        </is>
      </c>
      <c r="D126" s="10">
        <f>"Συνολικές λάμες " &amp; TEXT(B124, "#,##0") &amp; " × " &amp; TEXT(B125, "0.000") &amp; " kg/τεμ."</f>
        <v/>
      </c>
      <c r="E126" s="10" t="inlineStr">
        <is>
          <t>5,243.80 kg λαμών</t>
        </is>
      </c>
    </row>
    <row r="127">
      <c r="A127" s="17" t="inlineStr">
        <is>
          <t>ΣΥΝΟΛΙΚΟΣ ΟΓΚΟΣ ΚΟΥΓΚΡΙΟΥ ΠΑΚΤΩΣΗΣ (C30/37)</t>
        </is>
      </c>
      <c r="B127" s="18">
        <f>ROUND(B91*B116*B16, 2)</f>
        <v/>
      </c>
      <c r="C127" s="9" t="inlineStr">
        <is>
          <t>m³</t>
        </is>
      </c>
      <c r="D127" s="10">
        <f>"Οπές " &amp; B91 &amp; " × " &amp; TEXT(B116, "0.000") &amp; " m³/m × Πάκτωση " &amp; TEXT(B16, "0.00") &amp; "m"</f>
        <v/>
      </c>
      <c r="E127" s="10" t="inlineStr">
        <is>
          <t>98.52 m³ κουγκρί πάκτωσης</t>
        </is>
      </c>
    </row>
    <row r="128">
      <c r="A128" s="7" t="inlineStr">
        <is>
          <t>Συνολικό Μήκος Γωνιών Στήριξης (L 70x70x6)</t>
        </is>
      </c>
      <c r="B128" s="16">
        <f>IF(B48="ΝΑΙ", (B13*2*B15)+(B17*2*B19)+(B21*2*B23), 0)</f>
        <v/>
      </c>
      <c r="C128" s="9" t="inlineStr">
        <is>
          <t>m</t>
        </is>
      </c>
      <c r="D128" s="10">
        <f>"2 γωνιές × (24×" &amp; B15 &amp; "m + 63×" &amp; B19 &amp; "m + 11×" &amp; B23 &amp; "m) = " &amp; TEXT(B128, "#,##0.00") &amp; " m"</f>
        <v/>
      </c>
      <c r="E128" s="10" t="inlineStr">
        <is>
          <t>3,025.80 m γωνιών L 70x70x6</t>
        </is>
      </c>
    </row>
    <row r="129">
      <c r="A129" s="17" t="inlineStr">
        <is>
          <t>ΣΥΝΟΛΙΚΟ ΒΑΡΟΣ ΓΩΝΙΩΝ ΣΤΗΡΙΞΗΣ</t>
        </is>
      </c>
      <c r="B129" s="18">
        <f>ROUND(B128*B50, 2)</f>
        <v/>
      </c>
      <c r="C129" s="9" t="inlineStr">
        <is>
          <t>kg</t>
        </is>
      </c>
      <c r="D129" s="10">
        <f>"Μήκος " &amp; TEXT(B128, "#,##0.00") &amp; " m × " &amp; TEXT(B50, "0.00") &amp; " kg/m"</f>
        <v/>
      </c>
      <c r="E129" s="10" t="inlineStr">
        <is>
          <t>19,304.61 kg γωνιών</t>
        </is>
      </c>
    </row>
    <row r="131">
      <c r="A131" s="6" t="inlineStr">
        <is>
          <t>Β.4 Αγκυρώσεις ανά Τοίχο &amp; Σειρά (Anchor &amp; Strand Breakout)</t>
        </is>
      </c>
    </row>
    <row r="132">
      <c r="A132" s="7" t="inlineStr">
        <is>
          <t>Πλήθος Αγκυρώσεων Τοίχου Α</t>
        </is>
      </c>
      <c r="B132" s="15">
        <f>B13*4</f>
        <v/>
      </c>
      <c r="C132" s="9" t="inlineStr">
        <is>
          <t>αγκυρώσεις</t>
        </is>
      </c>
      <c r="D132" s="10">
        <f>"=" &amp; B13 &amp; " πάσσαλοι × 4 σειρές = " &amp; (B13*4)</f>
        <v/>
      </c>
      <c r="E132" s="10" t="inlineStr">
        <is>
          <t>96 αγκυρώσεις Τοίχου Α</t>
        </is>
      </c>
    </row>
    <row r="133">
      <c r="A133" s="7" t="inlineStr">
        <is>
          <t>Πλήθος Αγκυρώσεων Τοίχου Β</t>
        </is>
      </c>
      <c r="B133" s="15">
        <f>B17*4</f>
        <v/>
      </c>
      <c r="C133" s="9" t="inlineStr">
        <is>
          <t>αγκυρώσεις</t>
        </is>
      </c>
      <c r="D133" s="10">
        <f>"=" &amp; B17 &amp; " πάσσαλοι × 4 σειρές = " &amp; (B17*4)</f>
        <v/>
      </c>
      <c r="E133" s="10" t="inlineStr">
        <is>
          <t>252 αγκυρώσεις Τοίχου Β</t>
        </is>
      </c>
    </row>
    <row r="134">
      <c r="A134" s="7" t="inlineStr">
        <is>
          <t>Πλήθος Αγκυρώσεων Τοίχου Γ</t>
        </is>
      </c>
      <c r="B134" s="15">
        <f>B21*3</f>
        <v/>
      </c>
      <c r="C134" s="9" t="inlineStr">
        <is>
          <t>αγκυρώσεις</t>
        </is>
      </c>
      <c r="D134" s="10">
        <f>"=" &amp; B21 &amp; " πάσσαλοι × 3 σειρές = " &amp; (B21*3)</f>
        <v/>
      </c>
      <c r="E134" s="10" t="inlineStr">
        <is>
          <t>33 αγκυρώσεις Τοίχου Γ</t>
        </is>
      </c>
    </row>
    <row r="135">
      <c r="A135" s="17" t="inlineStr">
        <is>
          <t>ΣΥΝΟΛΙΚΟ ΠΛΗΘΟΣ ΑΓΚΥΡΩΣΕΩΝ ΕΡΓΟΥ</t>
        </is>
      </c>
      <c r="B135" s="23">
        <f>B132+B133+B134</f>
        <v/>
      </c>
      <c r="C135" s="9" t="inlineStr">
        <is>
          <t>τεμ.</t>
        </is>
      </c>
      <c r="D135" s="10">
        <f>"Άθροισμα 3 τοίχων (96 + 252 + 33) = " &amp; TEXT(B132+B133+B134, "#,##0") &amp; " αγκυρώσεις"</f>
        <v/>
      </c>
      <c r="E135" s="10" t="inlineStr">
        <is>
          <t>381 αγκυρώσεις συνολικά</t>
        </is>
      </c>
    </row>
    <row r="136">
      <c r="A136" s="7" t="inlineStr">
        <is>
          <t>Πλήθος Αγκυρώσεων με 2 Strands</t>
        </is>
      </c>
      <c r="B136" s="24">
        <f>(B13*2)+(B17*2)</f>
        <v/>
      </c>
      <c r="C136" s="9" t="inlineStr">
        <is>
          <t>τεμ.</t>
        </is>
      </c>
      <c r="D136" s="10">
        <f>"Τοίχος Α (2 σειρές × " &amp; B13 &amp; ") + Τοίχος Β (2 σειρές × " &amp; B17 &amp; ") = " &amp; ((B13*2)+(B17*2))</f>
        <v/>
      </c>
      <c r="E136" s="10" t="inlineStr">
        <is>
          <t>174 αγκυρώσεις 2-strands</t>
        </is>
      </c>
    </row>
    <row r="137">
      <c r="A137" s="7" t="inlineStr">
        <is>
          <t>Πλήθος Αγκυρώσεων με 3 Strands</t>
        </is>
      </c>
      <c r="B137" s="24">
        <f>(B13*2)+(B17*2)+(B21*3)</f>
        <v/>
      </c>
      <c r="C137" s="9" t="inlineStr">
        <is>
          <t>τεμ.</t>
        </is>
      </c>
      <c r="D137" s="10">
        <f>"Τοίχος Α (2 σειρές) + Τοίχος Β (2 σειρές) + Τοίχος Γ (3 σειρές) = " &amp; ((B13*2)+(B17*2)+(B21*3))</f>
        <v/>
      </c>
      <c r="E137" s="10" t="inlineStr">
        <is>
          <t>207 αγκυρώσεις 3-strands</t>
        </is>
      </c>
    </row>
    <row r="138">
      <c r="A138" s="7" t="inlineStr">
        <is>
          <t>Μέτρα Διάτρησης Αγκυρώσεων Τοίχου Α</t>
        </is>
      </c>
      <c r="B138" s="16">
        <f>(B13*B58)+(B13*B60)+(B13*B62)+(B13*B64)</f>
        <v/>
      </c>
      <c r="C138" s="9" t="inlineStr">
        <is>
          <t>m</t>
        </is>
      </c>
      <c r="D138" s="10">
        <f>"=" &amp; B13 &amp; " × (" &amp; B58 &amp; " + " &amp; B60 &amp; " + " &amp; B62 &amp; " + " &amp; B64 &amp; "m) = " &amp; TEXT(B138, "#,##0.00") &amp; " m"</f>
        <v/>
      </c>
      <c r="E138" s="10" t="inlineStr">
        <is>
          <t>1,872.00 m διάτρησης Τοίχου Α</t>
        </is>
      </c>
    </row>
    <row r="139">
      <c r="A139" s="7" t="inlineStr">
        <is>
          <t>Μέτρα Διάτρησης Αγκυρώσεων Τοίχου Β</t>
        </is>
      </c>
      <c r="B139" s="16">
        <f>(B17*B67)+(B17*B69)+(B17*B71)+(B17*B73)</f>
        <v/>
      </c>
      <c r="C139" s="9" t="inlineStr">
        <is>
          <t>m</t>
        </is>
      </c>
      <c r="D139" s="10">
        <f>"=" &amp; B17 &amp; " × (" &amp; B67 &amp; " + " &amp; B69 &amp; " + " &amp; B71 &amp; " + " &amp; B73 &amp; "m) = " &amp; TEXT(B139, "#,##0.00") &amp; " m"</f>
        <v/>
      </c>
      <c r="E139" s="10" t="inlineStr">
        <is>
          <t>4,725.00 m διάτρησης Τοίχου Β</t>
        </is>
      </c>
    </row>
    <row r="140">
      <c r="A140" s="7" t="inlineStr">
        <is>
          <t>Μέτρα Διάτρησης Αγκυρώσεων Τοίχου Γ</t>
        </is>
      </c>
      <c r="B140" s="16">
        <f>(B21*B76)+(B21*B78)+(B21*B80)</f>
        <v/>
      </c>
      <c r="C140" s="9" t="inlineStr">
        <is>
          <t>m</t>
        </is>
      </c>
      <c r="D140" s="10">
        <f>"=" &amp; B21 &amp; " × (" &amp; B76 &amp; " + " &amp; B78 &amp; " + " &amp; B80 &amp; "m) = " &amp; TEXT(B140, "#,##0.00") &amp; " m"</f>
        <v/>
      </c>
      <c r="E140" s="10" t="inlineStr">
        <is>
          <t>572.00 m διάτρησης Τοίχου Γ</t>
        </is>
      </c>
    </row>
    <row r="141">
      <c r="A141" s="17" t="inlineStr">
        <is>
          <t>ΣΥΝΟΛΙΚΑ ΜΕΤΡΑ ΔΙΑΤΡΗΣΗΣ ΑΓΚΥΡΩΣΕΩΝ</t>
        </is>
      </c>
      <c r="B141" s="18">
        <f>B138+B139+B140</f>
        <v/>
      </c>
      <c r="C141" s="9" t="inlineStr">
        <is>
          <t>m</t>
        </is>
      </c>
      <c r="D141" s="10">
        <f>"Άθροισμα 3 τοίχων = " &amp; TEXT(B138+B139+B140, "#,##0.00") &amp; " m διάτρησης"</f>
        <v/>
      </c>
      <c r="E141" s="10" t="inlineStr">
        <is>
          <t>7,169.00 m συνολική διάτρηση αγκυρώσεων</t>
        </is>
      </c>
    </row>
    <row r="142">
      <c r="A142" s="7" t="inlineStr">
        <is>
          <t>Όγκος Grout ανά Μέτρο Διάτρησης (D=0.12m, απώλεια 1.20)</t>
        </is>
      </c>
      <c r="B142" s="25">
        <f>PI()*((B53/2)^2)*B54</f>
        <v/>
      </c>
      <c r="C142" s="9" t="inlineStr">
        <is>
          <t>m³ / m</t>
        </is>
      </c>
      <c r="D142" s="10">
        <f>"π * (" &amp; TEXT(B53, "0.00") &amp; "/2)² * " &amp; TEXT(B54, "0.0") &amp; " = " &amp; TEXT(PI()*((B53/2)^2)*B54, "0.000000") &amp; " m³/m"</f>
        <v/>
      </c>
      <c r="E142" s="10" t="inlineStr">
        <is>
          <t>0.013572 m³/m</t>
        </is>
      </c>
    </row>
    <row r="143">
      <c r="A143" s="17" t="inlineStr">
        <is>
          <t>ΣΥΝΟΛΙΚΟΣ ΟΓΚΟΣ GROUT ΑΓΚΥΡΩΣΕΩΝ</t>
        </is>
      </c>
      <c r="B143" s="18">
        <f>ROUND(B141*B142, 2)</f>
        <v/>
      </c>
      <c r="C143" s="9" t="inlineStr">
        <is>
          <t>m³</t>
        </is>
      </c>
      <c r="D143" s="10">
        <f>"Μέτρα διάτρησης " &amp; TEXT(B141, "#,##0.00") &amp; "m × " &amp; TEXT(B142, "0.0000") &amp; " m³/m"</f>
        <v/>
      </c>
      <c r="E143" s="10" t="inlineStr">
        <is>
          <t>97.29 m³ grout αγκυρώσεων</t>
        </is>
      </c>
    </row>
    <row r="144">
      <c r="A144" s="7" t="inlineStr">
        <is>
          <t>Μήκος Τενόντων Τοίχου Α (με +1.0m)</t>
        </is>
      </c>
      <c r="B144" s="16">
        <f>B13*(((B58+B55)*B59)+((B60+B55)*B61)+((B62+B55)*B63)+((B64+B55)*B65))</f>
        <v/>
      </c>
      <c r="C144" s="9" t="inlineStr">
        <is>
          <t>m</t>
        </is>
      </c>
      <c r="D144" s="10">
        <f>"=" &amp; B13 &amp; " × (21m×2 + 20.5m×2 + 21m×3 + 19.5m×3) = " &amp; TEXT(B144, "#,##0.00") &amp; " m"</f>
        <v/>
      </c>
      <c r="E144" s="10" t="inlineStr">
        <is>
          <t>4,908.00 m τένοντες Τοίχου Α</t>
        </is>
      </c>
    </row>
    <row r="145">
      <c r="A145" s="7" t="inlineStr">
        <is>
          <t>Μήκος Τενόντων Τοίχου Β (με +1.0m)</t>
        </is>
      </c>
      <c r="B145" s="16">
        <f>B17*(((B67+B55)*B68)+((B69+B55)*B70)+((B71+B55)*B72)+((B73+B55)*B74))</f>
        <v/>
      </c>
      <c r="C145" s="9" t="inlineStr">
        <is>
          <t>m</t>
        </is>
      </c>
      <c r="D145" s="10">
        <f>"=" &amp; B17 &amp; " × (21m×2 + 20.5m×2 + 20.5m×3 + 17m×3) = " &amp; TEXT(B145, "#,##0.00") &amp; " m"</f>
        <v/>
      </c>
      <c r="E145" s="10" t="inlineStr">
        <is>
          <t>12,316.50 m τένοντες Τοίχου Β</t>
        </is>
      </c>
    </row>
    <row r="146">
      <c r="A146" s="7" t="inlineStr">
        <is>
          <t>Μήκος Τενόντων Τοίχου Γ (με +1.0m)</t>
        </is>
      </c>
      <c r="B146" s="16">
        <f>B21*(((B76+B55)*B77)+((B78+B55)*B79)+((B80+B55)*B81))</f>
        <v/>
      </c>
      <c r="C146" s="9" t="inlineStr">
        <is>
          <t>m</t>
        </is>
      </c>
      <c r="D146" s="10">
        <f>"=" &amp; B21 &amp; " × (20m×3 + 18m×3 + 17m×3) = " &amp; TEXT(B146, "#,##0.00") &amp; " m"</f>
        <v/>
      </c>
      <c r="E146" s="10" t="inlineStr">
        <is>
          <t>1,815.00 m τένοντες Τοίχου Γ</t>
        </is>
      </c>
    </row>
    <row r="147">
      <c r="A147" s="17" t="inlineStr">
        <is>
          <t>ΣΥΝΟΛΙΚΟ ΜΗΚΟΣ ΤΕΝΟΝΤΩΝ (STRANDS 0.6")</t>
        </is>
      </c>
      <c r="B147" s="18">
        <f>B144+B145+B146</f>
        <v/>
      </c>
      <c r="C147" s="9" t="inlineStr">
        <is>
          <t>m</t>
        </is>
      </c>
      <c r="D147" s="10">
        <f>"Άθροισμα 3 τοίχων = " &amp; TEXT(B144+B145+B146, "#,##0.00") &amp; " m τενόντων"</f>
        <v/>
      </c>
      <c r="E147" s="10" t="inlineStr">
        <is>
          <t>19,039.50 m συνολικοί τένοντες</t>
        </is>
      </c>
    </row>
    <row r="148">
      <c r="A148" s="17" t="inlineStr">
        <is>
          <t>ΣΥΝΟΛΙΚΟ ΒΑΡΟΣ ΤΕΝΟΝΤΩΝ ΠΡΟΕΝΤΑΣΗΣ</t>
        </is>
      </c>
      <c r="B148" s="18">
        <f>ROUND(B147*B56, 2)</f>
        <v/>
      </c>
      <c r="C148" s="9" t="inlineStr">
        <is>
          <t>kg</t>
        </is>
      </c>
      <c r="D148" s="10">
        <f>"Μήκος " &amp; TEXT(B147, "#,##0.00") &amp; " m × " &amp; TEXT(B56, "0.0") &amp; " kg/m"</f>
        <v/>
      </c>
      <c r="E148" s="10" t="inlineStr">
        <is>
          <t>20,943.45 kg χάλυβα προέντασης</t>
        </is>
      </c>
    </row>
  </sheetData>
  <mergeCells count="14">
    <mergeCell ref="A83:E83"/>
    <mergeCell ref="A131:E131"/>
    <mergeCell ref="A4:E4"/>
    <mergeCell ref="A89:E89"/>
    <mergeCell ref="A26:E26"/>
    <mergeCell ref="A57:E57"/>
    <mergeCell ref="A52:E52"/>
    <mergeCell ref="A108:E108"/>
    <mergeCell ref="A11:E11"/>
    <mergeCell ref="A85:E85"/>
    <mergeCell ref="A75:E75"/>
    <mergeCell ref="A36:E36"/>
    <mergeCell ref="A66:E66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22" customWidth="1" min="4" max="4"/>
    <col width="22" customWidth="1" min="5" max="5"/>
    <col width="46" customWidth="1" min="6" max="6"/>
  </cols>
  <sheetData>
    <row r="1">
      <c r="A1" s="1" t="inlineStr">
        <is>
          <t>ΕΡΓΟ: BOLTON TOWER (BERLIN WALL &amp; ΑΓΚΥΡΩΣΕΙΣ) — ΟΙΚΟΝΟΜΙΚΗ ΠΡΟΣΦΟΡΑ &amp; ΚΟΣΤΟΛΟΓΗΣΗ</t>
        </is>
      </c>
    </row>
    <row r="2">
      <c r="A2" s="2" t="inlineStr">
        <is>
          <t>Οι τιμές μονάδας περιλαμβάνουν ήδη γενικά έξοδα, απρόβλεπτα &amp; εργολαβικό όφελος | [ΚΙΤΡΙΝΟ #FFF2CC] = Τιμές Μονάδας | [ΠΟΡΤΟΚΑΛΙ #FFE699] = Κουγκρί Πάκτωσης</t>
        </is>
      </c>
    </row>
    <row r="4">
      <c r="A4" s="26" t="inlineStr">
        <is>
          <t>Περιγραφή Εργασίας / Υλικού</t>
        </is>
      </c>
      <c r="B4" s="27" t="inlineStr">
        <is>
          <t>Ποσότητα</t>
        </is>
      </c>
      <c r="C4" s="27" t="inlineStr">
        <is>
          <t>Μονάδα</t>
        </is>
      </c>
      <c r="D4" s="27" t="inlineStr">
        <is>
          <t>Τιμή Μονάδας (€)</t>
        </is>
      </c>
      <c r="E4" s="27" t="inlineStr">
        <is>
          <t>Συνολικό Κόστος (€)</t>
        </is>
      </c>
      <c r="F4" s="26" t="inlineStr">
        <is>
          <t>Πηγή Ποσότητας / Τεχνικός Κανόνας</t>
        </is>
      </c>
    </row>
    <row r="5">
      <c r="A5" s="6" t="inlineStr">
        <is>
          <t>ΠΥΛΩΝΑΣ 1: ΜΕΤΑΚΙΝΗΣΕΙΣ &amp; ΣΤΡΑΤΕΣ (3 ΕΙΔΗ)</t>
        </is>
      </c>
    </row>
    <row r="6">
      <c r="A6" s="7" t="inlineStr">
        <is>
          <t>Μετακίνηση Μεγάλου Τρυπανιού (Piling Rig)</t>
        </is>
      </c>
      <c r="B6" s="28">
        <f>'1_Στοιχεία_Μελέτης_&amp;_Ποσότητες'!B86</f>
        <v/>
      </c>
      <c r="C6" s="9" t="inlineStr">
        <is>
          <t>στράτες</t>
        </is>
      </c>
      <c r="D6" s="29" t="n">
        <v>1500</v>
      </c>
      <c r="E6" s="30">
        <f>B6*D6</f>
        <v/>
      </c>
      <c r="F6" s="10" t="inlineStr">
        <is>
          <t>Βάση Λεμεσός (0-40 km από έδρα Αγίου Συλά: 1,500€ βασική)</t>
        </is>
      </c>
    </row>
    <row r="7">
      <c r="A7" s="7" t="inlineStr">
        <is>
          <t>Μετακινήσεις Εξοπλισμού Αγκυρώσεων</t>
        </is>
      </c>
      <c r="B7" s="28">
        <f>'1_Στοιχεία_Μελέτης_&amp;_Ποσότητες'!B87</f>
        <v/>
      </c>
      <c r="C7" s="9" t="inlineStr">
        <is>
          <t>στράτες</t>
        </is>
      </c>
      <c r="D7" s="29" t="n">
        <v>300</v>
      </c>
      <c r="E7" s="30">
        <f>B7*D7</f>
        <v/>
      </c>
      <c r="F7" s="10">
        <f>'1_Στοιχεία_Μελέτης_&amp;_Ποσότητες'!B87 &amp; " στράτες (όσες οι σειρές αγκυρώσεων = 4 στα 300€)"</f>
        <v/>
      </c>
    </row>
    <row r="8">
      <c r="A8" s="7" t="inlineStr">
        <is>
          <t>Μετακινήσεις Συνεργείου &amp; Αντλίας Shotcrete</t>
        </is>
      </c>
      <c r="B8" s="28">
        <f>'1_Στοιχεία_Μελέτης_&amp;_Ποσότητες'!B88</f>
        <v/>
      </c>
      <c r="C8" s="9" t="inlineStr">
        <is>
          <t>στράτες</t>
        </is>
      </c>
      <c r="D8" s="29" t="n">
        <v>200</v>
      </c>
      <c r="E8" s="30">
        <f>B8*D8</f>
        <v/>
      </c>
      <c r="F8" s="10">
        <f>'1_Στοιχεία_Μελέτης_&amp;_Ποσότητες'!B88 &amp; " στράτες (σειρές αγκυρώσεων + 1 = 5 στα 200€)"</f>
        <v/>
      </c>
    </row>
    <row r="9">
      <c r="A9" s="31" t="inlineStr">
        <is>
          <t>ΣΥΝΟΛΟ ΠΥΛΩΝΑ 1 (ΜΕΤΑΚΙΝΗΣΕΙΣ)</t>
        </is>
      </c>
      <c r="B9" s="32" t="n"/>
      <c r="C9" s="32" t="n"/>
      <c r="D9" s="32" t="n"/>
      <c r="E9" s="33">
        <f>SUM(E6:E8)</f>
        <v/>
      </c>
      <c r="F9" s="32" t="n"/>
    </row>
    <row r="11">
      <c r="A11" s="6" t="inlineStr">
        <is>
          <t>ΠΥΛΩΝΑΣ 2: ΣΧΑΡΕΣ &amp; ΕΚΤΟΞΕΥΟΜΕΝΟ ΣΚΥΡΟΔΕΜΑ (SHOTCRETE)</t>
        </is>
      </c>
    </row>
    <row r="12">
      <c r="A12" s="7">
        <f>"Αγορά Χάλυβα Σχάρας (#Y" &amp; '1_Στοιχεία_Μελέτης_&amp;_Ποσότητες'!B28 &amp; "/" &amp; '1_Στοιχεία_Μελέτης_&amp;_Ποσότητες'!B29 &amp; ")"</f>
        <v/>
      </c>
      <c r="B12" s="34">
        <f>'1_Στοιχεία_Μελέτης_&amp;_Ποσότητες'!B103</f>
        <v/>
      </c>
      <c r="C12" s="9" t="inlineStr">
        <is>
          <t>kg</t>
        </is>
      </c>
      <c r="D12" s="29" t="n">
        <v>2.5</v>
      </c>
      <c r="E12" s="30">
        <f>B12*D12</f>
        <v/>
      </c>
      <c r="F12" s="10">
        <f>"Από Φύλλο 1 (" &amp; TEXT(B12, "#,##0.00") &amp; " kg) × 2.50 €/kg"</f>
        <v/>
      </c>
    </row>
    <row r="13">
      <c r="A13" s="7" t="inlineStr">
        <is>
          <t>Τοποθέτηση Σχάρας / Εργατικά Μετώπου</t>
        </is>
      </c>
      <c r="B13" s="34">
        <f>'1_Στοιχεία_Μελέτης_&amp;_Ποσότητες'!B95</f>
        <v/>
      </c>
      <c r="C13" s="9" t="inlineStr">
        <is>
          <t>m²</t>
        </is>
      </c>
      <c r="D13" s="29" t="n">
        <v>15</v>
      </c>
      <c r="E13" s="30">
        <f>B13*D13</f>
        <v/>
      </c>
      <c r="F13" s="10">
        <f>"Από Φύλλο 1 (" &amp; TEXT(B13, "#,##0.00") &amp; " m²) × 15.00 €/m²"</f>
        <v/>
      </c>
    </row>
    <row r="14">
      <c r="A14" s="7">
        <f>"Αγορά Σκυροδέματος Shotcrete (" &amp; '1_Στοιχεία_Μελέτης_&amp;_Ποσότητες'!B32 &amp; ")"</f>
        <v/>
      </c>
      <c r="B14" s="34">
        <f>'1_Στοιχεία_Μελέτης_&amp;_Ποσότητες'!B106</f>
        <v/>
      </c>
      <c r="C14" s="9" t="inlineStr">
        <is>
          <t>m³</t>
        </is>
      </c>
      <c r="D14" s="29" t="n">
        <v>90</v>
      </c>
      <c r="E14" s="30">
        <f>B14*D14</f>
        <v/>
      </c>
      <c r="F14" s="10">
        <f>"Σταθερή τιμή αγοράς C30/37 (90.00 €/m³) για " &amp; TEXT(B14, "#,##0.00") &amp; " m³"</f>
        <v/>
      </c>
    </row>
    <row r="15">
      <c r="A15" s="7" t="inlineStr">
        <is>
          <t>Τοποθέτηση / Εκτόξευση / Αντλία (με προσαύξηση απώλειας)</t>
        </is>
      </c>
      <c r="B15" s="34">
        <f>'1_Στοιχεία_Μελέτης_&amp;_Ποσότητες'!B106</f>
        <v/>
      </c>
      <c r="C15" s="9" t="inlineStr">
        <is>
          <t>m³</t>
        </is>
      </c>
      <c r="D15" s="29">
        <f>ROUND((IF(B14&gt;7, 200, 250)*(1+'1_Στοιχεία_Μελέτης_&amp;_Ποσότητες'!B105))-90, 2)</f>
        <v/>
      </c>
      <c r="E15" s="30">
        <f>B15*D15</f>
        <v/>
      </c>
      <c r="F15" s="10">
        <f>"Βάση " &amp; IF(B14&gt;7,200,250) &amp; "€ × (1+" &amp; TEXT('1_Στοιχεία_Μελέτης_&amp;_Ποσότητες'!B105, "0.0%") &amp; " απώλεια) - 90€ αγορά"</f>
        <v/>
      </c>
    </row>
    <row r="16">
      <c r="A16" s="31" t="inlineStr">
        <is>
          <t>ΣΥΝΟΛΟ ΠΥΛΩΝΑ 2 (ΣΧΑΡΕΣ &amp; SHOTCRETE)</t>
        </is>
      </c>
      <c r="B16" s="32" t="n"/>
      <c r="C16" s="32" t="n"/>
      <c r="D16" s="32" t="n"/>
      <c r="E16" s="33">
        <f>SUM(E12:E15)</f>
        <v/>
      </c>
      <c r="F16" s="32" t="n"/>
    </row>
    <row r="18">
      <c r="A18" s="6" t="inlineStr">
        <is>
          <t>ΠΥΛΩΝΑΣ 3: H-BEAMS (ΝΕΦΚΕΣ / SOLDIER PILES — PROFILE BREAKOUT)</t>
        </is>
      </c>
    </row>
    <row r="19">
      <c r="A19" s="7">
        <f>"3.1 Διάτρηση Μεγάλου Τρυπανιού (Ø" &amp; TEXT('1_Στοιχεία_Μελέτης_&amp;_Ποσότητες'!B37*1000, "0") &amp; " mm)"</f>
        <v/>
      </c>
      <c r="B19" s="34">
        <f>'1_Στοιχεία_Μελέτης_&amp;_Ποσότητες'!B115</f>
        <v/>
      </c>
      <c r="C19" s="9" t="inlineStr">
        <is>
          <t>m</t>
        </is>
      </c>
      <c r="D19" s="29" t="n">
        <v>75</v>
      </c>
      <c r="E19" s="30">
        <f>B19*D19</f>
        <v/>
      </c>
      <c r="F19" s="10">
        <f>"Ελάχιστη διάμετρος Ø800 mm για " &amp; '1_Στοιχεία_Μελέτης_&amp;_Ποσότητες'!B91 &amp; " πασσάλους στα 75.00 €/m"</f>
        <v/>
      </c>
    </row>
    <row r="20">
      <c r="A20" s="7">
        <f>"3.2α Νέφκες Χάλυβα (" &amp; '1_Στοιχεία_Μελέτης_&amp;_Ποσότητες'!B38 &amp; " - Τοίχος Α)"</f>
        <v/>
      </c>
      <c r="B20" s="34">
        <f>'1_Στοιχεία_Μελέτης_&amp;_Ποσότητες'!B118</f>
        <v/>
      </c>
      <c r="C20" s="9" t="inlineStr">
        <is>
          <t>kg</t>
        </is>
      </c>
      <c r="D20" s="29" t="n">
        <v>1.4</v>
      </c>
      <c r="E20" s="30">
        <f>B20*D20</f>
        <v/>
      </c>
      <c r="F20" s="10">
        <f>"1.00 €/kg αγορά + 0.40 €/kg επεξεργασία = 1.40 €/kg (2 No. HEB 220, " &amp; '1_Στοιχεία_Μελέτης_&amp;_Ποσότητες'!B13 &amp; " πάσσαλοι)"</f>
        <v/>
      </c>
    </row>
    <row r="21">
      <c r="A21" s="7">
        <f>"3.2β Νέφκες Χάλυβα (" &amp; '1_Στοιχεία_Μελέτης_&amp;_Ποσότητες'!B40 &amp; " - Τοίχοι Β &amp; Γ)"</f>
        <v/>
      </c>
      <c r="B21" s="34">
        <f>'1_Στοιχεία_Μελέτης_&amp;_Ποσότητες'!B119</f>
        <v/>
      </c>
      <c r="C21" s="9" t="inlineStr">
        <is>
          <t>kg</t>
        </is>
      </c>
      <c r="D21" s="29" t="n">
        <v>1.4</v>
      </c>
      <c r="E21" s="30">
        <f>B21*D21</f>
        <v/>
      </c>
      <c r="F21" s="10">
        <f>"1.00 €/kg αγορά + 0.40 €/kg επεξεργασία = 1.40 €/kg (2 No. HEB 200, " &amp; ('1_Στοιχεία_Μελέτης_&amp;_Ποσότητες'!B17+'1_Στοιχεία_Μελέτης_&amp;_Ποσότητες'!B21) &amp; " πάσσαλοι)"</f>
        <v/>
      </c>
    </row>
    <row r="22">
      <c r="A22" s="7">
        <f>"3.3 Λάμες Σύνδεσης/Ενίσχυσης (" &amp; '1_Στοιχεία_Μελέτης_&amp;_Ποσότητες'!B44 &amp; "×" &amp; '1_Στοιχεία_Μελέτης_&amp;_Ποσότητες'!B45 &amp; "×" &amp; '1_Στοιχεία_Μελέτης_&amp;_Ποσότητες'!B46 &amp; " mm)"</f>
        <v/>
      </c>
      <c r="B22" s="34">
        <f>'1_Στοιχεία_Μελέτης_&amp;_Ποσότητες'!B126</f>
        <v/>
      </c>
      <c r="C22" s="9" t="inlineStr">
        <is>
          <t>kg</t>
        </is>
      </c>
      <c r="D22" s="29" t="n">
        <v>1.6</v>
      </c>
      <c r="E22" s="30">
        <f>B22*D22</f>
        <v/>
      </c>
      <c r="F22" s="10" t="inlineStr">
        <is>
          <t>1.00 €/kg αγορά + 0.60 €/kg τοποθέτηση = 1.60 €/kg</t>
        </is>
      </c>
    </row>
    <row r="23">
      <c r="A23" s="7">
        <f>"3.4 Κουγκρί Πάκτωσης Οπών Νέφκας (" &amp; '1_Στοιχεία_Μελέτης_&amp;_Ποσότητες'!B47 &amp; ")"</f>
        <v/>
      </c>
      <c r="B23" s="34">
        <f>'1_Στοιχεία_Μελέτης_&amp;_Ποσότητες'!B127</f>
        <v/>
      </c>
      <c r="C23" s="9" t="inlineStr">
        <is>
          <t>m³</t>
        </is>
      </c>
      <c r="D23" s="35" t="n">
        <v>120</v>
      </c>
      <c r="E23" s="30">
        <f>B23*D23</f>
        <v/>
      </c>
      <c r="F23" s="10" t="inlineStr">
        <is>
          <t>120.00 €/m³ (Διακριτό πορτοκαλί χρώμα #FFE699 για άμεση εποπτεία)</t>
        </is>
      </c>
    </row>
    <row r="24">
      <c r="A24" s="7">
        <f>"3.5 Γωνιές Στήριξης (" &amp; '1_Στοιχεία_Μελέτης_&amp;_Ποσότητες'!B49 &amp; " - αν ζητούνται)"</f>
        <v/>
      </c>
      <c r="B24" s="34">
        <f>'1_Στοιχεία_Μελέτης_&amp;_Ποσότητες'!B129</f>
        <v/>
      </c>
      <c r="C24" s="9" t="inlineStr">
        <is>
          <t>kg</t>
        </is>
      </c>
      <c r="D24" s="29" t="n">
        <v>1.6</v>
      </c>
      <c r="E24" s="30">
        <f>B24*D24</f>
        <v/>
      </c>
      <c r="F24" s="10" t="inlineStr">
        <is>
          <t>1.00 €/kg αγορά + 0.60 €/kg επεξεργασία = 1.60 €/kg</t>
        </is>
      </c>
    </row>
    <row r="25">
      <c r="A25" s="31" t="inlineStr">
        <is>
          <t>ΣΥΝΟΛΟ ΠΥΛΩΝΑ 3 (H-BEAMS / ΝΕΦΚΕΣ)</t>
        </is>
      </c>
      <c r="B25" s="32" t="n"/>
      <c r="C25" s="32" t="n"/>
      <c r="D25" s="32" t="n"/>
      <c r="E25" s="33">
        <f>SUM(E19:E24)</f>
        <v/>
      </c>
      <c r="F25" s="32" t="n"/>
    </row>
    <row r="27">
      <c r="A27" s="6" t="inlineStr">
        <is>
          <t>ΠΥΛΩΝΑΣ 4: ΑΓΚΥΡΩΣΕΙΣ (PRESTRESSED TIEBACK ANCHORS — STRAND BREAKOUT)</t>
        </is>
      </c>
    </row>
    <row r="28">
      <c r="A28" s="7">
        <f>"4.1 Διάτρηση / Τρύπημα Αγκυρώσεων (Ø" &amp; TEXT('1_Στοιχεία_Μελέτης_&amp;_Ποσότητες'!B53*1000, "0") &amp; " mm)"</f>
        <v/>
      </c>
      <c r="B28" s="34">
        <f>'1_Στοιχεία_Μελέτης_&amp;_Ποσότητες'!B141</f>
        <v/>
      </c>
      <c r="C28" s="9" t="inlineStr">
        <is>
          <t>m</t>
        </is>
      </c>
      <c r="D28" s="29" t="n">
        <v>30</v>
      </c>
      <c r="E28" s="30">
        <f>B28*D28</f>
        <v/>
      </c>
      <c r="F28" s="10">
        <f>"Διάτρηση Ø120 mm για " &amp; '1_Στοιχεία_Μελέτης_&amp;_Ποσότητες'!B135 &amp; " αγκυρώσεις στα 30.00 €/m"</f>
        <v/>
      </c>
    </row>
    <row r="29">
      <c r="A29" s="7" t="inlineStr">
        <is>
          <t>4.2 Grout Τσιμεντένεμα Αγκυρώσεων (με απώλεια 1.20)</t>
        </is>
      </c>
      <c r="B29" s="34">
        <f>'1_Στοιχεία_Μελέτης_&amp;_Ποσότητες'!B143</f>
        <v/>
      </c>
      <c r="C29" s="9" t="inlineStr">
        <is>
          <t>m³</t>
        </is>
      </c>
      <c r="D29" s="29" t="n">
        <v>500</v>
      </c>
      <c r="E29" s="30">
        <f>B29*D29</f>
        <v/>
      </c>
      <c r="F29" s="10">
        <f>"500.00 €/m³ grout πλήρωσης οπής για " &amp; TEXT(B29, "#,##0.00") &amp; " m³"</f>
        <v/>
      </c>
    </row>
    <row r="30">
      <c r="A30" s="7" t="inlineStr">
        <is>
          <t>4.3 Τένοντες Προέντασης (Strands 0.6" - 1.10 kg/m)</t>
        </is>
      </c>
      <c r="B30" s="34">
        <f>'1_Στοιχεία_Μελέτης_&amp;_Ποσότητες'!B147</f>
        <v/>
      </c>
      <c r="C30" s="9" t="inlineStr">
        <is>
          <t>m</t>
        </is>
      </c>
      <c r="D30" s="29" t="n">
        <v>2.28</v>
      </c>
      <c r="E30" s="30">
        <f>B30*D30</f>
        <v/>
      </c>
      <c r="F30" s="10">
        <f>"2.28 €/m τρέχον τένοντα (" &amp; '1_Στοιχεία_Μελέτης_&amp;_Ποσότητες'!B136 &amp; " αγκ. 2-strands &amp; " &amp; '1_Στοιχεία_Μελέτης_&amp;_Ποσότητες'!B137 &amp; " αγκ. 3-strands, συμπεριλαμβάνει +1.0m)"</f>
        <v/>
      </c>
    </row>
    <row r="31">
      <c r="A31" s="7" t="inlineStr">
        <is>
          <t>4.4 Προένταση Αγκυρώσεων (Stressing &amp; Lock-off)</t>
        </is>
      </c>
      <c r="B31" s="28">
        <f>'1_Στοιχεία_Μελέτης_&amp;_Ποσότητες'!B135</f>
        <v/>
      </c>
      <c r="C31" s="9" t="inlineStr">
        <is>
          <t>τεμ.</t>
        </is>
      </c>
      <c r="D31" s="29" t="n">
        <v>18</v>
      </c>
      <c r="E31" s="30">
        <f>B31*D31</f>
        <v/>
      </c>
      <c r="F31" s="10">
        <f>"18.00 € ανά οπή / αγκύρωση για " &amp; '1_Στοιχεία_Μελέτης_&amp;_Ποσότητες'!B135 &amp; " αγκυρώσεις"</f>
        <v/>
      </c>
    </row>
    <row r="32">
      <c r="A32" s="7" t="inlineStr">
        <is>
          <t>4.5 Κεφαλή Αγκύρωσης (Anchor Head, Wedges, Plate)</t>
        </is>
      </c>
      <c r="B32" s="28">
        <f>'1_Στοιχεία_Μελέτης_&amp;_Ποσότητες'!B135</f>
        <v/>
      </c>
      <c r="C32" s="9" t="inlineStr">
        <is>
          <t>τεμ.</t>
        </is>
      </c>
      <c r="D32" s="29" t="n">
        <v>55</v>
      </c>
      <c r="E32" s="30">
        <f>B32*D32</f>
        <v/>
      </c>
      <c r="F32" s="10">
        <f>"55.00 € ανά οπή / αγκύρωση πλήρες σετ για " &amp; '1_Στοιχεία_Μελέτης_&amp;_Ποσότητες'!B135 &amp; " αγκυρώσεις"</f>
        <v/>
      </c>
    </row>
    <row r="33">
      <c r="A33" s="31" t="inlineStr">
        <is>
          <t>ΣΥΝΟΛΟ ΠΥΛΩΝΑ 4 (ΑΓΚΥΡΩΣΕΙΣ)</t>
        </is>
      </c>
      <c r="B33" s="32" t="n"/>
      <c r="C33" s="32" t="n"/>
      <c r="D33" s="32" t="n"/>
      <c r="E33" s="33">
        <f>SUM(E28:E32)</f>
        <v/>
      </c>
      <c r="F33" s="32" t="n"/>
    </row>
    <row r="35">
      <c r="A35" s="6" t="inlineStr">
        <is>
          <t>ΤΕΛΙΚΑ ΣΥΝΟΛΑ ΠΡΟΣΦΟΡΑΣ (ΓΕΝΙΚΑ ΕΞΟΔΑ &amp; ΚΕΡΔΟΣ ΕΝΣΩΜΑΤΩΜΕΝΑ ΣΤΙΣ ΤΙΜΕΣ)</t>
        </is>
      </c>
    </row>
    <row r="36">
      <c r="A36" s="36" t="inlineStr">
        <is>
          <t>ΚΑΘΑΡΟ ΣΥΝΟΛΟ ΠΡΟΣΦΟΡΑΣ (ΠΡΟ Φ.Π.Α.)</t>
        </is>
      </c>
      <c r="B36" s="37" t="n"/>
      <c r="C36" s="37" t="n"/>
      <c r="D36" s="37" t="n"/>
      <c r="E36" s="38">
        <f>E9+E16+E25+E33</f>
        <v/>
      </c>
      <c r="F36" s="10" t="inlineStr">
        <is>
          <t>Άθροισμα 4 Πυλώνων (Περιλαμβάνει Γενικά Έξοδα &amp; Όφελος)</t>
        </is>
      </c>
    </row>
    <row r="37">
      <c r="A37" s="7" t="inlineStr">
        <is>
          <t>Φ.Π.Α. (19%)</t>
        </is>
      </c>
      <c r="B37" s="37" t="n"/>
      <c r="C37" s="37" t="n"/>
      <c r="D37" s="37" t="n"/>
      <c r="E37" s="30">
        <f>ROUND(E36*0.19, 2)</f>
        <v/>
      </c>
      <c r="F37" s="10" t="inlineStr">
        <is>
          <t>Νόμιμος Φ.Π.Α. Κύπρου (19%)</t>
        </is>
      </c>
    </row>
    <row r="38">
      <c r="A38" s="39" t="inlineStr">
        <is>
          <t>ΤΕΛΙΚΟ ΠΛΗΡΩΤΕΟ ΠΟΣΟ (ΜΕ Φ.Π.Α.)</t>
        </is>
      </c>
      <c r="B38" s="32" t="n"/>
      <c r="C38" s="32" t="n"/>
      <c r="D38" s="32" t="n"/>
      <c r="E38" s="40">
        <f>E36+E37</f>
        <v/>
      </c>
      <c r="F38" s="41" t="inlineStr">
        <is>
          <t>Τελικό πληρωτέο ποσό έργου</t>
        </is>
      </c>
    </row>
    <row r="40">
      <c r="A40" s="6" t="inlineStr">
        <is>
          <t>ΒΑΣΙΚΟΙ ΔΕΙΚΤΕΣ ΚΟΣΤΟΥΣ &amp; VALUE ENGINEERING (KPIs)</t>
        </is>
      </c>
    </row>
    <row r="41">
      <c r="A41" s="17" t="inlineStr">
        <is>
          <t>KPI 1: Συνολικό Κόστος ανά m² Μετώπου Εκσκαφής</t>
        </is>
      </c>
      <c r="B41" s="37" t="n"/>
      <c r="C41" s="9" t="inlineStr">
        <is>
          <t>€ / m²</t>
        </is>
      </c>
      <c r="D41" s="37" t="n"/>
      <c r="E41" s="30">
        <f>ROUND(E36/'1_Στοιχεία_Μελέτης_&amp;_Ποσότητες'!B95, 2)</f>
        <v/>
      </c>
      <c r="F41" s="10">
        <f>"Καθαρό σύνολο / " &amp; TEXT('1_Στοιχεία_Μελέτης_&amp;_Ποσότητες'!B95, "#,##0.00") &amp; " m²"</f>
        <v/>
      </c>
    </row>
    <row r="42">
      <c r="A42" s="17" t="inlineStr">
        <is>
          <t>KPI 2: Συνολικό Κόστος ανά Τρέχον Μέτρο Περιμέτρου</t>
        </is>
      </c>
      <c r="B42" s="37" t="n"/>
      <c r="C42" s="9" t="inlineStr">
        <is>
          <t>€ / τρέχον m</t>
        </is>
      </c>
      <c r="D42" s="37" t="n"/>
      <c r="E42" s="30">
        <f>ROUND(E36/'1_Στοιχεία_Μελέτης_&amp;_Ποσότητες'!B90, 2)</f>
        <v/>
      </c>
      <c r="F42" s="10">
        <f>"Καθαρό σύνολο / " &amp; TEXT('1_Στοιχεία_Μελέτης_&amp;_Ποσότητες'!B90, "#,##0.00") &amp; " m"</f>
        <v/>
      </c>
    </row>
    <row r="43">
      <c r="A43" s="17" t="inlineStr">
        <is>
          <t>KPI 3: Συνολικό Κόστος ανά Πάσσαλο / Οπή Berlin Wall</t>
        </is>
      </c>
      <c r="B43" s="37" t="n"/>
      <c r="C43" s="9" t="inlineStr">
        <is>
          <t>€ / πάσσαλο</t>
        </is>
      </c>
      <c r="D43" s="37" t="n"/>
      <c r="E43" s="30">
        <f>ROUND(E36/'1_Στοιχεία_Μελέτης_&amp;_Ποσότητες'!B91, 2)</f>
        <v/>
      </c>
      <c r="F43" s="10">
        <f>"Καθαρό σύνολο / " &amp; '1_Στοιχεία_Μελέτης_&amp;_Ποσότητες'!B91 &amp; " πάσσαλοι"</f>
        <v/>
      </c>
    </row>
    <row r="44">
      <c r="A44" s="17" t="inlineStr">
        <is>
          <t>KPI 4: Συνολικό Κόστος ανά Αγκύρωση (Πλήρες Σύστημα)</t>
        </is>
      </c>
      <c r="B44" s="37" t="n"/>
      <c r="C44" s="9" t="inlineStr">
        <is>
          <t>€ / αγκύρωση</t>
        </is>
      </c>
      <c r="D44" s="37" t="n"/>
      <c r="E44" s="30">
        <f>ROUND(E33/'1_Στοιχεία_Μελέτης_&amp;_Ποσότητες'!B135, 2)</f>
        <v/>
      </c>
      <c r="F44" s="10">
        <f>"Σύνολο Πυλώνα 4 / " &amp; '1_Στοιχεία_Μελέτης_&amp;_Ποσότητες'!B135 &amp; " αγκυρώσεις"</f>
        <v/>
      </c>
    </row>
  </sheetData>
  <mergeCells count="6">
    <mergeCell ref="A11:F11"/>
    <mergeCell ref="A5:F5"/>
    <mergeCell ref="A27:F27"/>
    <mergeCell ref="A40:F40"/>
    <mergeCell ref="A35:F35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42" t="inlineStr">
        <is>
          <t>ΒΙΒΛΙΟΘΗΚΗ ΔΙΑΤΟΜΩΝ ΧΑΛΥΒΑ (EUROPEAN STRUCTURAL STEEL PROFILES)</t>
        </is>
      </c>
    </row>
    <row r="2">
      <c r="A2" s="43" t="inlineStr">
        <is>
          <t>Τεχνικά χαρακτηριστικά &amp; βάρη ανά μέτρο για διατομές HEA, HEB, UPN &amp; Γωνιών (L)</t>
        </is>
      </c>
    </row>
    <row r="3"/>
    <row r="4">
      <c r="A4" s="44" t="inlineStr">
        <is>
          <t>1. ΔΙΑΤΟΜΕΣ HEA (Ευρωπαϊκά Πλατύπελμα Ελαφρού Τύπου)</t>
        </is>
      </c>
    </row>
    <row r="5">
      <c r="A5" s="45" t="inlineStr">
        <is>
          <t>Ονομασία Διατομής</t>
        </is>
      </c>
      <c r="B5" s="45" t="inlineStr">
        <is>
          <t>Ύψος h (mm)</t>
        </is>
      </c>
      <c r="C5" s="45" t="inlineStr">
        <is>
          <t>Πλάτος b (mm)</t>
        </is>
      </c>
      <c r="D5" s="45" t="inlineStr">
        <is>
          <t>Πάχος tw (mm)</t>
        </is>
      </c>
      <c r="E5" s="45" t="inlineStr">
        <is>
          <t>Πάχος tf (mm)</t>
        </is>
      </c>
      <c r="F5" s="45" t="inlineStr">
        <is>
          <t>Διατομή A (cm²)</t>
        </is>
      </c>
      <c r="G5" s="45" t="inlineStr">
        <is>
          <t>Βάρος (kg / m)</t>
        </is>
      </c>
    </row>
    <row r="6">
      <c r="A6" s="46" t="inlineStr">
        <is>
          <t>HEA 140</t>
        </is>
      </c>
      <c r="B6" s="47" t="n">
        <v>133</v>
      </c>
      <c r="C6" s="47" t="n">
        <v>140</v>
      </c>
      <c r="D6" s="48" t="n">
        <v>5.5</v>
      </c>
      <c r="E6" s="48" t="n">
        <v>8.5</v>
      </c>
      <c r="F6" s="48" t="n">
        <v>31.4</v>
      </c>
      <c r="G6" s="49" t="n">
        <v>24.7</v>
      </c>
    </row>
    <row r="7">
      <c r="A7" s="46" t="inlineStr">
        <is>
          <t>HEA 160</t>
        </is>
      </c>
      <c r="B7" s="47" t="n">
        <v>152</v>
      </c>
      <c r="C7" s="47" t="n">
        <v>160</v>
      </c>
      <c r="D7" s="48" t="n">
        <v>6</v>
      </c>
      <c r="E7" s="48" t="n">
        <v>9</v>
      </c>
      <c r="F7" s="48" t="n">
        <v>38.8</v>
      </c>
      <c r="G7" s="49" t="n">
        <v>30.4</v>
      </c>
    </row>
    <row r="8">
      <c r="A8" s="46" t="inlineStr">
        <is>
          <t>HEA 180</t>
        </is>
      </c>
      <c r="B8" s="47" t="n">
        <v>171</v>
      </c>
      <c r="C8" s="47" t="n">
        <v>180</v>
      </c>
      <c r="D8" s="48" t="n">
        <v>6</v>
      </c>
      <c r="E8" s="48" t="n">
        <v>9.5</v>
      </c>
      <c r="F8" s="48" t="n">
        <v>45.3</v>
      </c>
      <c r="G8" s="49" t="n">
        <v>35.5</v>
      </c>
    </row>
    <row r="9">
      <c r="A9" s="46" t="inlineStr">
        <is>
          <t>HEA 200</t>
        </is>
      </c>
      <c r="B9" s="47" t="n">
        <v>190</v>
      </c>
      <c r="C9" s="47" t="n">
        <v>200</v>
      </c>
      <c r="D9" s="48" t="n">
        <v>6.5</v>
      </c>
      <c r="E9" s="48" t="n">
        <v>10</v>
      </c>
      <c r="F9" s="48" t="n">
        <v>53.8</v>
      </c>
      <c r="G9" s="49" t="n">
        <v>42.3</v>
      </c>
    </row>
    <row r="10">
      <c r="A10" s="46" t="inlineStr">
        <is>
          <t>HEA 220</t>
        </is>
      </c>
      <c r="B10" s="47" t="n">
        <v>210</v>
      </c>
      <c r="C10" s="47" t="n">
        <v>220</v>
      </c>
      <c r="D10" s="48" t="n">
        <v>7</v>
      </c>
      <c r="E10" s="48" t="n">
        <v>11</v>
      </c>
      <c r="F10" s="48" t="n">
        <v>64.3</v>
      </c>
      <c r="G10" s="49" t="n">
        <v>50.5</v>
      </c>
    </row>
    <row r="11">
      <c r="A11" s="46" t="inlineStr">
        <is>
          <t>HEA 240</t>
        </is>
      </c>
      <c r="B11" s="47" t="n">
        <v>230</v>
      </c>
      <c r="C11" s="47" t="n">
        <v>240</v>
      </c>
      <c r="D11" s="48" t="n">
        <v>7.5</v>
      </c>
      <c r="E11" s="48" t="n">
        <v>12</v>
      </c>
      <c r="F11" s="48" t="n">
        <v>76.8</v>
      </c>
      <c r="G11" s="49" t="n">
        <v>60.3</v>
      </c>
    </row>
    <row r="12">
      <c r="A12" s="46" t="inlineStr">
        <is>
          <t>HEA 260</t>
        </is>
      </c>
      <c r="B12" s="47" t="n">
        <v>250</v>
      </c>
      <c r="C12" s="47" t="n">
        <v>260</v>
      </c>
      <c r="D12" s="48" t="n">
        <v>7.5</v>
      </c>
      <c r="E12" s="48" t="n">
        <v>12.5</v>
      </c>
      <c r="F12" s="48" t="n">
        <v>86.8</v>
      </c>
      <c r="G12" s="49" t="n">
        <v>68.2</v>
      </c>
    </row>
    <row r="13">
      <c r="A13" s="46" t="inlineStr">
        <is>
          <t>HEA 280</t>
        </is>
      </c>
      <c r="B13" s="47" t="n">
        <v>270</v>
      </c>
      <c r="C13" s="47" t="n">
        <v>280</v>
      </c>
      <c r="D13" s="48" t="n">
        <v>8</v>
      </c>
      <c r="E13" s="48" t="n">
        <v>13</v>
      </c>
      <c r="F13" s="48" t="n">
        <v>97.3</v>
      </c>
      <c r="G13" s="49" t="n">
        <v>76.40000000000001</v>
      </c>
    </row>
    <row r="14">
      <c r="A14" s="46" t="inlineStr">
        <is>
          <t>HEA 300</t>
        </is>
      </c>
      <c r="B14" s="47" t="n">
        <v>290</v>
      </c>
      <c r="C14" s="47" t="n">
        <v>300</v>
      </c>
      <c r="D14" s="48" t="n">
        <v>8.5</v>
      </c>
      <c r="E14" s="48" t="n">
        <v>14</v>
      </c>
      <c r="F14" s="48" t="n">
        <v>112.5</v>
      </c>
      <c r="G14" s="49" t="n">
        <v>88.3</v>
      </c>
    </row>
    <row r="15"/>
    <row r="16">
      <c r="A16" s="44" t="inlineStr">
        <is>
          <t>2. ΔΙΑΤΟΜΕΣ HEB (Ευρωπαϊκά Πλατύπελμα Κανονικού Τύπου)</t>
        </is>
      </c>
    </row>
    <row r="17">
      <c r="A17" s="45" t="inlineStr">
        <is>
          <t>Ονομασία Διατομής</t>
        </is>
      </c>
      <c r="B17" s="45" t="inlineStr">
        <is>
          <t>Ύψος h (mm)</t>
        </is>
      </c>
      <c r="C17" s="45" t="inlineStr">
        <is>
          <t>Πλάτος b (mm)</t>
        </is>
      </c>
      <c r="D17" s="45" t="inlineStr">
        <is>
          <t>Πάχος tw (mm)</t>
        </is>
      </c>
      <c r="E17" s="45" t="inlineStr">
        <is>
          <t>Πάχος tf (mm)</t>
        </is>
      </c>
      <c r="F17" s="45" t="inlineStr">
        <is>
          <t>Διατομή A (cm²)</t>
        </is>
      </c>
      <c r="G17" s="45" t="inlineStr">
        <is>
          <t>Βάρος (kg / m)</t>
        </is>
      </c>
    </row>
    <row r="18">
      <c r="A18" s="46" t="inlineStr">
        <is>
          <t>HEB 140</t>
        </is>
      </c>
      <c r="B18" s="47" t="n">
        <v>140</v>
      </c>
      <c r="C18" s="47" t="n">
        <v>140</v>
      </c>
      <c r="D18" s="48" t="n">
        <v>7</v>
      </c>
      <c r="E18" s="48" t="n">
        <v>12</v>
      </c>
      <c r="F18" s="48" t="n">
        <v>43</v>
      </c>
      <c r="G18" s="49" t="n">
        <v>33.7</v>
      </c>
    </row>
    <row r="19">
      <c r="A19" s="46" t="inlineStr">
        <is>
          <t>HEB 160</t>
        </is>
      </c>
      <c r="B19" s="47" t="n">
        <v>160</v>
      </c>
      <c r="C19" s="47" t="n">
        <v>160</v>
      </c>
      <c r="D19" s="48" t="n">
        <v>8</v>
      </c>
      <c r="E19" s="48" t="n">
        <v>13</v>
      </c>
      <c r="F19" s="48" t="n">
        <v>54.3</v>
      </c>
      <c r="G19" s="49" t="n">
        <v>42.6</v>
      </c>
    </row>
    <row r="20">
      <c r="A20" s="46" t="inlineStr">
        <is>
          <t>HEB 180</t>
        </is>
      </c>
      <c r="B20" s="47" t="n">
        <v>180</v>
      </c>
      <c r="C20" s="47" t="n">
        <v>180</v>
      </c>
      <c r="D20" s="48" t="n">
        <v>8.5</v>
      </c>
      <c r="E20" s="48" t="n">
        <v>14</v>
      </c>
      <c r="F20" s="48" t="n">
        <v>65.3</v>
      </c>
      <c r="G20" s="49" t="n">
        <v>51.2</v>
      </c>
    </row>
    <row r="21">
      <c r="A21" s="46" t="inlineStr">
        <is>
          <t>HEB 200</t>
        </is>
      </c>
      <c r="B21" s="47" t="n">
        <v>200</v>
      </c>
      <c r="C21" s="47" t="n">
        <v>200</v>
      </c>
      <c r="D21" s="48" t="n">
        <v>9</v>
      </c>
      <c r="E21" s="48" t="n">
        <v>15</v>
      </c>
      <c r="F21" s="48" t="n">
        <v>78.09999999999999</v>
      </c>
      <c r="G21" s="49" t="n">
        <v>61.3</v>
      </c>
    </row>
    <row r="22">
      <c r="A22" s="46" t="inlineStr">
        <is>
          <t>HEB 220</t>
        </is>
      </c>
      <c r="B22" s="47" t="n">
        <v>220</v>
      </c>
      <c r="C22" s="47" t="n">
        <v>220</v>
      </c>
      <c r="D22" s="48" t="n">
        <v>9.5</v>
      </c>
      <c r="E22" s="48" t="n">
        <v>16</v>
      </c>
      <c r="F22" s="48" t="n">
        <v>91</v>
      </c>
      <c r="G22" s="49" t="n">
        <v>71.5</v>
      </c>
    </row>
    <row r="23">
      <c r="A23" s="46" t="inlineStr">
        <is>
          <t>HEB 240</t>
        </is>
      </c>
      <c r="B23" s="47" t="n">
        <v>240</v>
      </c>
      <c r="C23" s="47" t="n">
        <v>240</v>
      </c>
      <c r="D23" s="48" t="n">
        <v>10</v>
      </c>
      <c r="E23" s="48" t="n">
        <v>17</v>
      </c>
      <c r="F23" s="48" t="n">
        <v>106</v>
      </c>
      <c r="G23" s="49" t="n">
        <v>83.2</v>
      </c>
    </row>
    <row r="24">
      <c r="A24" s="46" t="inlineStr">
        <is>
          <t>HEB 260</t>
        </is>
      </c>
      <c r="B24" s="47" t="n">
        <v>260</v>
      </c>
      <c r="C24" s="47" t="n">
        <v>260</v>
      </c>
      <c r="D24" s="48" t="n">
        <v>10</v>
      </c>
      <c r="E24" s="48" t="n">
        <v>17.5</v>
      </c>
      <c r="F24" s="48" t="n">
        <v>118.4</v>
      </c>
      <c r="G24" s="49" t="n">
        <v>93</v>
      </c>
    </row>
    <row r="25">
      <c r="A25" s="46" t="inlineStr">
        <is>
          <t>HEB 280</t>
        </is>
      </c>
      <c r="B25" s="47" t="n">
        <v>280</v>
      </c>
      <c r="C25" s="47" t="n">
        <v>280</v>
      </c>
      <c r="D25" s="48" t="n">
        <v>10.5</v>
      </c>
      <c r="E25" s="48" t="n">
        <v>18</v>
      </c>
      <c r="F25" s="48" t="n">
        <v>131.4</v>
      </c>
      <c r="G25" s="49" t="n">
        <v>103</v>
      </c>
    </row>
    <row r="26">
      <c r="A26" s="46" t="inlineStr">
        <is>
          <t>HEB 300</t>
        </is>
      </c>
      <c r="B26" s="47" t="n">
        <v>300</v>
      </c>
      <c r="C26" s="47" t="n">
        <v>300</v>
      </c>
      <c r="D26" s="48" t="n">
        <v>11</v>
      </c>
      <c r="E26" s="48" t="n">
        <v>19</v>
      </c>
      <c r="F26" s="48" t="n">
        <v>149.1</v>
      </c>
      <c r="G26" s="49" t="n">
        <v>117</v>
      </c>
    </row>
    <row r="27"/>
    <row r="28">
      <c r="A28" s="44" t="inlineStr">
        <is>
          <t>3. ΔΙΑΤΟΜΕΣ UPN (Ευρωπαϊκά Κοίλα Προφίλ U)</t>
        </is>
      </c>
    </row>
    <row r="29">
      <c r="A29" s="45" t="inlineStr">
        <is>
          <t>Ονομασία Διατομής</t>
        </is>
      </c>
      <c r="B29" s="45" t="inlineStr">
        <is>
          <t>Ύψος h (mm)</t>
        </is>
      </c>
      <c r="C29" s="45" t="inlineStr">
        <is>
          <t>Πλάτος b (mm)</t>
        </is>
      </c>
      <c r="D29" s="45" t="inlineStr">
        <is>
          <t>Πάχος tw (mm)</t>
        </is>
      </c>
      <c r="E29" s="45" t="inlineStr">
        <is>
          <t>Πάχος tf (mm)</t>
        </is>
      </c>
      <c r="F29" s="45" t="inlineStr">
        <is>
          <t>Διατομή A (cm²)</t>
        </is>
      </c>
      <c r="G29" s="45" t="inlineStr">
        <is>
          <t>Βάρος (kg / m)</t>
        </is>
      </c>
    </row>
    <row r="30">
      <c r="A30" s="46" t="inlineStr">
        <is>
          <t>UPN 140</t>
        </is>
      </c>
      <c r="B30" s="47" t="n">
        <v>140</v>
      </c>
      <c r="C30" s="47" t="n">
        <v>60</v>
      </c>
      <c r="D30" s="48" t="n">
        <v>7</v>
      </c>
      <c r="E30" s="48" t="n">
        <v>10</v>
      </c>
      <c r="F30" s="48" t="n">
        <v>20.4</v>
      </c>
      <c r="G30" s="49" t="n">
        <v>16</v>
      </c>
    </row>
    <row r="31">
      <c r="A31" s="46" t="inlineStr">
        <is>
          <t>UPN 160</t>
        </is>
      </c>
      <c r="B31" s="47" t="n">
        <v>160</v>
      </c>
      <c r="C31" s="47" t="n">
        <v>65</v>
      </c>
      <c r="D31" s="48" t="n">
        <v>7.5</v>
      </c>
      <c r="E31" s="48" t="n">
        <v>10.5</v>
      </c>
      <c r="F31" s="48" t="n">
        <v>24</v>
      </c>
      <c r="G31" s="49" t="n">
        <v>18.8</v>
      </c>
    </row>
    <row r="32">
      <c r="A32" s="46" t="inlineStr">
        <is>
          <t>UPN 180</t>
        </is>
      </c>
      <c r="B32" s="47" t="n">
        <v>180</v>
      </c>
      <c r="C32" s="47" t="n">
        <v>70</v>
      </c>
      <c r="D32" s="48" t="n">
        <v>8</v>
      </c>
      <c r="E32" s="48" t="n">
        <v>11</v>
      </c>
      <c r="F32" s="48" t="n">
        <v>28</v>
      </c>
      <c r="G32" s="49" t="n">
        <v>22</v>
      </c>
    </row>
    <row r="33">
      <c r="A33" s="46" t="inlineStr">
        <is>
          <t>UPN 200</t>
        </is>
      </c>
      <c r="B33" s="47" t="n">
        <v>200</v>
      </c>
      <c r="C33" s="47" t="n">
        <v>75</v>
      </c>
      <c r="D33" s="48" t="n">
        <v>8.5</v>
      </c>
      <c r="E33" s="48" t="n">
        <v>11.5</v>
      </c>
      <c r="F33" s="48" t="n">
        <v>32.2</v>
      </c>
      <c r="G33" s="49" t="n">
        <v>25.3</v>
      </c>
    </row>
    <row r="34">
      <c r="A34" s="46" t="inlineStr">
        <is>
          <t>UPN 220</t>
        </is>
      </c>
      <c r="B34" s="47" t="n">
        <v>220</v>
      </c>
      <c r="C34" s="47" t="n">
        <v>80</v>
      </c>
      <c r="D34" s="48" t="n">
        <v>9</v>
      </c>
      <c r="E34" s="48" t="n">
        <v>12.5</v>
      </c>
      <c r="F34" s="48" t="n">
        <v>37.4</v>
      </c>
      <c r="G34" s="49" t="n">
        <v>29.4</v>
      </c>
    </row>
    <row r="35">
      <c r="A35" s="46" t="inlineStr">
        <is>
          <t>UPN 240</t>
        </is>
      </c>
      <c r="B35" s="47" t="n">
        <v>240</v>
      </c>
      <c r="C35" s="47" t="n">
        <v>85</v>
      </c>
      <c r="D35" s="48" t="n">
        <v>9.5</v>
      </c>
      <c r="E35" s="48" t="n">
        <v>13</v>
      </c>
      <c r="F35" s="48" t="n">
        <v>42.3</v>
      </c>
      <c r="G35" s="49" t="n">
        <v>33.2</v>
      </c>
    </row>
    <row r="36">
      <c r="A36" s="46" t="inlineStr">
        <is>
          <t>UPN 260</t>
        </is>
      </c>
      <c r="B36" s="47" t="n">
        <v>260</v>
      </c>
      <c r="C36" s="47" t="n">
        <v>90</v>
      </c>
      <c r="D36" s="48" t="n">
        <v>10</v>
      </c>
      <c r="E36" s="48" t="n">
        <v>14</v>
      </c>
      <c r="F36" s="48" t="n">
        <v>48.3</v>
      </c>
      <c r="G36" s="49" t="n">
        <v>37.9</v>
      </c>
    </row>
    <row r="37">
      <c r="A37" s="46" t="inlineStr">
        <is>
          <t>UPN 280</t>
        </is>
      </c>
      <c r="B37" s="47" t="n">
        <v>280</v>
      </c>
      <c r="C37" s="47" t="n">
        <v>95</v>
      </c>
      <c r="D37" s="48" t="n">
        <v>10</v>
      </c>
      <c r="E37" s="48" t="n">
        <v>15</v>
      </c>
      <c r="F37" s="48" t="n">
        <v>53.3</v>
      </c>
      <c r="G37" s="49" t="n">
        <v>41.8</v>
      </c>
    </row>
    <row r="38">
      <c r="A38" s="46" t="inlineStr">
        <is>
          <t>UPN 300</t>
        </is>
      </c>
      <c r="B38" s="47" t="n">
        <v>300</v>
      </c>
      <c r="C38" s="47" t="n">
        <v>100</v>
      </c>
      <c r="D38" s="48" t="n">
        <v>10</v>
      </c>
      <c r="E38" s="48" t="n">
        <v>16</v>
      </c>
      <c r="F38" s="48" t="n">
        <v>58.8</v>
      </c>
      <c r="G38" s="49" t="n">
        <v>46.2</v>
      </c>
    </row>
    <row r="39"/>
    <row r="40">
      <c r="A40" s="44" t="inlineStr">
        <is>
          <t>4. ΙΣΟΣΚΕΛΕΙΣ ΓΩΝΙΕΣ (Equal Angles L)</t>
        </is>
      </c>
    </row>
    <row r="41">
      <c r="A41" s="45" t="inlineStr">
        <is>
          <t>Ονομασία Διατομής</t>
        </is>
      </c>
      <c r="B41" s="45" t="inlineStr">
        <is>
          <t>Ύψος h (mm)</t>
        </is>
      </c>
      <c r="C41" s="45" t="inlineStr">
        <is>
          <t>Πλάτος b (mm)</t>
        </is>
      </c>
      <c r="D41" s="45" t="inlineStr">
        <is>
          <t>Πάχος tw (mm)</t>
        </is>
      </c>
      <c r="E41" s="45" t="inlineStr">
        <is>
          <t>Πάχος tf (mm)</t>
        </is>
      </c>
      <c r="F41" s="45" t="inlineStr">
        <is>
          <t>Διατομή A (cm²)</t>
        </is>
      </c>
      <c r="G41" s="45" t="inlineStr">
        <is>
          <t>Βάρος (kg / m)</t>
        </is>
      </c>
    </row>
    <row r="42">
      <c r="A42" s="46" t="inlineStr">
        <is>
          <t>L 50x50x5</t>
        </is>
      </c>
      <c r="B42" s="47" t="n">
        <v>50</v>
      </c>
      <c r="C42" s="47" t="n">
        <v>50</v>
      </c>
      <c r="D42" s="48" t="n">
        <v>5</v>
      </c>
      <c r="E42" s="48" t="n">
        <v>5</v>
      </c>
      <c r="F42" s="48" t="n">
        <v>4.8</v>
      </c>
      <c r="G42" s="49" t="n">
        <v>3.77</v>
      </c>
    </row>
    <row r="43">
      <c r="A43" s="46" t="inlineStr">
        <is>
          <t>L 60x60x6</t>
        </is>
      </c>
      <c r="B43" s="47" t="n">
        <v>60</v>
      </c>
      <c r="C43" s="47" t="n">
        <v>60</v>
      </c>
      <c r="D43" s="48" t="n">
        <v>6</v>
      </c>
      <c r="E43" s="48" t="n">
        <v>6</v>
      </c>
      <c r="F43" s="48" t="n">
        <v>6.91</v>
      </c>
      <c r="G43" s="49" t="n">
        <v>5.42</v>
      </c>
    </row>
    <row r="44">
      <c r="A44" s="46" t="inlineStr">
        <is>
          <t>L 70x70x6</t>
        </is>
      </c>
      <c r="B44" s="47" t="n">
        <v>70</v>
      </c>
      <c r="C44" s="47" t="n">
        <v>70</v>
      </c>
      <c r="D44" s="48" t="n">
        <v>6</v>
      </c>
      <c r="E44" s="48" t="n">
        <v>6</v>
      </c>
      <c r="F44" s="48" t="n">
        <v>8.130000000000001</v>
      </c>
      <c r="G44" s="49" t="n">
        <v>6.38</v>
      </c>
    </row>
    <row r="45">
      <c r="A45" s="46" t="inlineStr">
        <is>
          <t>L 70x70x7</t>
        </is>
      </c>
      <c r="B45" s="47" t="n">
        <v>70</v>
      </c>
      <c r="C45" s="47" t="n">
        <v>70</v>
      </c>
      <c r="D45" s="48" t="n">
        <v>7</v>
      </c>
      <c r="E45" s="48" t="n">
        <v>7</v>
      </c>
      <c r="F45" s="48" t="n">
        <v>9.4</v>
      </c>
      <c r="G45" s="49" t="n">
        <v>7.38</v>
      </c>
    </row>
    <row r="46">
      <c r="A46" s="46" t="inlineStr">
        <is>
          <t>L 80x80x8</t>
        </is>
      </c>
      <c r="B46" s="47" t="n">
        <v>80</v>
      </c>
      <c r="C46" s="47" t="n">
        <v>80</v>
      </c>
      <c r="D46" s="48" t="n">
        <v>8</v>
      </c>
      <c r="E46" s="48" t="n">
        <v>8</v>
      </c>
      <c r="F46" s="48" t="n">
        <v>12.3</v>
      </c>
      <c r="G46" s="49" t="n">
        <v>9.630000000000001</v>
      </c>
    </row>
    <row r="47">
      <c r="A47" s="46" t="inlineStr">
        <is>
          <t>L 90x90x9</t>
        </is>
      </c>
      <c r="B47" s="47" t="n">
        <v>90</v>
      </c>
      <c r="C47" s="47" t="n">
        <v>90</v>
      </c>
      <c r="D47" s="48" t="n">
        <v>9</v>
      </c>
      <c r="E47" s="48" t="n">
        <v>9</v>
      </c>
      <c r="F47" s="48" t="n">
        <v>15.5</v>
      </c>
      <c r="G47" s="49" t="n">
        <v>12.2</v>
      </c>
    </row>
    <row r="48">
      <c r="A48" s="46" t="inlineStr">
        <is>
          <t>L 100x100x10</t>
        </is>
      </c>
      <c r="B48" s="47" t="n">
        <v>100</v>
      </c>
      <c r="C48" s="47" t="n">
        <v>100</v>
      </c>
      <c r="D48" s="48" t="n">
        <v>10</v>
      </c>
      <c r="E48" s="48" t="n">
        <v>10</v>
      </c>
      <c r="F48" s="48" t="n">
        <v>19.2</v>
      </c>
      <c r="G48" s="49" t="n">
        <v>15</v>
      </c>
    </row>
  </sheetData>
  <mergeCells count="5">
    <mergeCell ref="A1:G1"/>
    <mergeCell ref="A40:G40"/>
    <mergeCell ref="A4:G4"/>
    <mergeCell ref="A16:G1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2026-10-15T11:05:49Z</dcterms:created>
  <dcterms:modified xmlns:dcterms="http://purl.org/dc/terms/" xmlns:xsi="http://www.w3.org/2001/XMLSchema-instance" xsi:type="dcterms:W3CDTF">2026-10-15T11:05:49Z</dcterms:modified>
</cp:coreProperties>
</file>