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Agkirosis\Emeralda\"/>
    </mc:Choice>
  </mc:AlternateContent>
  <xr:revisionPtr revIDLastSave="0" documentId="13_ncr:1_{4E0BCA7C-3646-4803-B558-3C27EB693455}" xr6:coauthVersionLast="47" xr6:coauthVersionMax="47" xr10:uidLastSave="{00000000-0000-0000-0000-000000000000}"/>
  <bookViews>
    <workbookView xWindow="6400" yWindow="4110" windowWidth="19200" windowHeight="11170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2" l="1"/>
  <c r="G36" i="2"/>
  <c r="B32" i="2"/>
  <c r="B31" i="2"/>
  <c r="H30" i="2"/>
  <c r="H27" i="2"/>
  <c r="E26" i="2"/>
  <c r="B26" i="2"/>
  <c r="E25" i="2"/>
  <c r="B25" i="2"/>
  <c r="H24" i="2"/>
  <c r="E24" i="2"/>
  <c r="B24" i="2"/>
  <c r="B20" i="2"/>
  <c r="B18" i="2"/>
  <c r="B17" i="2"/>
  <c r="B13" i="2"/>
  <c r="B12" i="2"/>
  <c r="B11" i="2"/>
  <c r="B10" i="2"/>
  <c r="B9" i="2"/>
  <c r="B8" i="2"/>
  <c r="F96" i="1"/>
  <c r="B96" i="1"/>
  <c r="F95" i="1"/>
  <c r="B95" i="1"/>
  <c r="F94" i="1"/>
  <c r="B94" i="1"/>
  <c r="F93" i="1"/>
  <c r="B93" i="1"/>
  <c r="F92" i="1"/>
  <c r="B92" i="1"/>
  <c r="F91" i="1"/>
  <c r="B91" i="1"/>
  <c r="F90" i="1"/>
  <c r="B90" i="1"/>
  <c r="F89" i="1"/>
  <c r="B89" i="1"/>
  <c r="F88" i="1"/>
  <c r="B88" i="1"/>
  <c r="F87" i="1"/>
  <c r="B87" i="1"/>
  <c r="F86" i="1"/>
  <c r="B86" i="1"/>
  <c r="F85" i="1"/>
  <c r="B85" i="1"/>
  <c r="F84" i="1"/>
  <c r="B84" i="1"/>
  <c r="F83" i="1"/>
  <c r="E83" i="1"/>
  <c r="C83" i="1"/>
  <c r="B83" i="1"/>
  <c r="F80" i="1"/>
  <c r="B79" i="1"/>
  <c r="F78" i="1"/>
  <c r="B78" i="1"/>
  <c r="B77" i="1"/>
  <c r="F76" i="1"/>
  <c r="F75" i="1"/>
  <c r="B74" i="1"/>
  <c r="F73" i="1"/>
  <c r="B73" i="1"/>
  <c r="F72" i="1"/>
  <c r="F71" i="1"/>
  <c r="F70" i="1"/>
  <c r="E70" i="1"/>
  <c r="C70" i="1"/>
  <c r="C10" i="2" s="1"/>
  <c r="B70" i="1"/>
  <c r="F69" i="1"/>
  <c r="B69" i="1"/>
  <c r="C67" i="1"/>
  <c r="B67" i="1"/>
  <c r="F66" i="1"/>
  <c r="F65" i="1"/>
  <c r="B65" i="1"/>
  <c r="F64" i="1"/>
  <c r="F61" i="1"/>
  <c r="C61" i="1"/>
  <c r="B61" i="1"/>
  <c r="F60" i="1"/>
  <c r="C60" i="1"/>
  <c r="B60" i="1"/>
  <c r="F59" i="1"/>
  <c r="E59" i="1"/>
  <c r="C59" i="1"/>
  <c r="C24" i="2" s="1"/>
  <c r="F24" i="2" s="1"/>
  <c r="B59" i="1"/>
  <c r="F58" i="1"/>
  <c r="C58" i="1"/>
  <c r="E58" i="1" s="1"/>
  <c r="B58" i="1"/>
  <c r="F57" i="1"/>
  <c r="C57" i="1"/>
  <c r="B57" i="1"/>
  <c r="F56" i="1"/>
  <c r="C56" i="1"/>
  <c r="F74" i="1" s="1"/>
  <c r="B56" i="1"/>
  <c r="F55" i="1"/>
  <c r="B55" i="1"/>
  <c r="F54" i="1"/>
  <c r="C54" i="1"/>
  <c r="E54" i="1" s="1"/>
  <c r="B54" i="1"/>
  <c r="F53" i="1"/>
  <c r="C53" i="1"/>
  <c r="B53" i="1"/>
  <c r="C47" i="1"/>
  <c r="F47" i="1" s="1"/>
  <c r="C44" i="1"/>
  <c r="F44" i="1" s="1"/>
  <c r="C41" i="1"/>
  <c r="C38" i="1"/>
  <c r="B38" i="1"/>
  <c r="C35" i="1"/>
  <c r="F34" i="1"/>
  <c r="C29" i="1"/>
  <c r="C84" i="1" s="1"/>
  <c r="B29" i="1"/>
  <c r="A26" i="1"/>
  <c r="C21" i="1"/>
  <c r="B21" i="1"/>
  <c r="E57" i="1" l="1"/>
  <c r="C69" i="1"/>
  <c r="E53" i="1"/>
  <c r="C55" i="1"/>
  <c r="C75" i="1"/>
  <c r="B75" i="1"/>
  <c r="B7" i="2"/>
  <c r="C66" i="1"/>
  <c r="F21" i="1"/>
  <c r="B68" i="1"/>
  <c r="E84" i="1"/>
  <c r="E75" i="1"/>
  <c r="C15" i="2"/>
  <c r="F10" i="2"/>
  <c r="H10" i="2"/>
  <c r="C9" i="2"/>
  <c r="C90" i="1"/>
  <c r="E90" i="1" s="1"/>
  <c r="E69" i="1"/>
  <c r="F67" i="1"/>
  <c r="C68" i="1"/>
  <c r="F68" i="1"/>
  <c r="E68" i="1"/>
  <c r="E67" i="1"/>
  <c r="C88" i="1"/>
  <c r="C7" i="2"/>
  <c r="E66" i="1"/>
  <c r="C26" i="2"/>
  <c r="E61" i="1"/>
  <c r="E60" i="1"/>
  <c r="C25" i="2"/>
  <c r="B14" i="2"/>
  <c r="E56" i="1"/>
  <c r="B80" i="1"/>
  <c r="B15" i="2"/>
  <c r="B19" i="2"/>
  <c r="B16" i="2"/>
  <c r="C76" i="1"/>
  <c r="B76" i="1"/>
  <c r="C80" i="1"/>
  <c r="E80" i="1" s="1"/>
  <c r="C79" i="1"/>
  <c r="E79" i="1" s="1"/>
  <c r="F41" i="1"/>
  <c r="B66" i="1"/>
  <c r="F38" i="1"/>
  <c r="B6" i="2"/>
  <c r="C64" i="1"/>
  <c r="E64" i="1" s="1"/>
  <c r="B64" i="1"/>
  <c r="F35" i="1"/>
  <c r="F29" i="1"/>
  <c r="B71" i="1"/>
  <c r="C71" i="1"/>
  <c r="B72" i="1" l="1"/>
  <c r="E55" i="1"/>
  <c r="F15" i="2"/>
  <c r="H15" i="2"/>
  <c r="H9" i="2"/>
  <c r="F9" i="2"/>
  <c r="C8" i="2"/>
  <c r="C89" i="1"/>
  <c r="E89" i="1" s="1"/>
  <c r="F7" i="2"/>
  <c r="H7" i="2"/>
  <c r="F26" i="2"/>
  <c r="H26" i="2"/>
  <c r="F25" i="2"/>
  <c r="F27" i="2" s="1"/>
  <c r="H25" i="2"/>
  <c r="C16" i="2"/>
  <c r="C96" i="1"/>
  <c r="C19" i="2"/>
  <c r="C20" i="2"/>
  <c r="H21" i="2"/>
  <c r="F77" i="1"/>
  <c r="F79" i="1"/>
  <c r="C18" i="2"/>
  <c r="C95" i="1"/>
  <c r="E95" i="1" s="1"/>
  <c r="C65" i="1"/>
  <c r="C87" i="1" s="1"/>
  <c r="E65" i="1"/>
  <c r="C86" i="1"/>
  <c r="C6" i="2"/>
  <c r="C73" i="1"/>
  <c r="C12" i="2" s="1"/>
  <c r="E73" i="1"/>
  <c r="C72" i="1"/>
  <c r="E72" i="1"/>
  <c r="C74" i="1"/>
  <c r="E74" i="1"/>
  <c r="C85" i="1"/>
  <c r="E88" i="1"/>
  <c r="H32" i="2"/>
  <c r="C77" i="1"/>
  <c r="E77" i="1" s="1"/>
  <c r="E76" i="1"/>
  <c r="A63" i="1"/>
  <c r="E71" i="1"/>
  <c r="H8" i="2" l="1"/>
  <c r="F8" i="2"/>
  <c r="G24" i="2"/>
  <c r="A23" i="2"/>
  <c r="F30" i="2"/>
  <c r="H16" i="2"/>
  <c r="F16" i="2"/>
  <c r="E96" i="1"/>
  <c r="B33" i="2"/>
  <c r="F19" i="2"/>
  <c r="H19" i="2"/>
  <c r="F20" i="2"/>
  <c r="H20" i="2"/>
  <c r="F18" i="2"/>
  <c r="H18" i="2"/>
  <c r="E86" i="1"/>
  <c r="E87" i="1"/>
  <c r="H6" i="2"/>
  <c r="F6" i="2"/>
  <c r="H12" i="2"/>
  <c r="F12" i="2"/>
  <c r="C11" i="2"/>
  <c r="C91" i="1"/>
  <c r="C13" i="2"/>
  <c r="C14" i="2"/>
  <c r="C92" i="1"/>
  <c r="E85" i="1"/>
  <c r="A82" i="1"/>
  <c r="E91" i="1"/>
  <c r="E92" i="1"/>
  <c r="H31" i="2"/>
  <c r="C93" i="1"/>
  <c r="C78" i="1"/>
  <c r="E78" i="1" s="1"/>
  <c r="F32" i="2" l="1"/>
  <c r="H11" i="2"/>
  <c r="F11" i="2"/>
  <c r="H13" i="2"/>
  <c r="F13" i="2"/>
  <c r="E14" i="2"/>
  <c r="F14" i="2" s="1"/>
  <c r="H14" i="2"/>
  <c r="E93" i="1"/>
  <c r="H33" i="2"/>
  <c r="C94" i="1"/>
  <c r="E94" i="1" s="1"/>
  <c r="C17" i="2"/>
  <c r="F41" i="2" l="1"/>
  <c r="H17" i="2"/>
  <c r="F17" i="2"/>
  <c r="F31" i="2"/>
  <c r="G43" i="2" l="1"/>
  <c r="F43" i="2"/>
  <c r="F33" i="2"/>
  <c r="F34" i="2" s="1"/>
  <c r="F21" i="2"/>
  <c r="G42" i="2" l="1"/>
  <c r="F42" i="2"/>
  <c r="A5" i="2"/>
  <c r="B21" i="2"/>
  <c r="G6" i="2"/>
  <c r="F36" i="2" s="1"/>
  <c r="G31" i="2" l="1"/>
  <c r="G41" i="2"/>
  <c r="G32" i="2"/>
  <c r="G30" i="2"/>
  <c r="F39" i="2"/>
  <c r="G39" i="2"/>
  <c r="F40" i="2"/>
  <c r="G40" i="2"/>
  <c r="G33" i="2"/>
  <c r="H34" i="2"/>
  <c r="G34" i="2"/>
</calcChain>
</file>

<file path=xl/sharedStrings.xml><?xml version="1.0" encoding="utf-8"?>
<sst xmlns="http://schemas.openxmlformats.org/spreadsheetml/2006/main" count="398" uniqueCount="274">
  <si>
    <t>ΕΡΓΟ: ΠΟΛΥΚΑΤΟΙΚΙΑ EMERALDA 5 (S1480) — ΣΤΟΙΧΕΙΑ ΜΕΛΕΤΗΣ &amp; ΦΥΣΙΚΕΣ ΠΟΣΟΤΗΤΕΣ BERLIN WALL (ΧΩΡΙΣ €)</t>
  </si>
  <si>
    <t>Αρχιτεκτονική v8.0 (Single Source of Truth &amp; Box Layout): [ΚΕΦΑΛΑΙΟ Α] = Πρωτογενή Δεδομένα &amp; Citations | [ΚΕΦΑΛΑΙΟ Β] = 100% Δυναμικοί Υπολογισμοί</t>
  </si>
  <si>
    <t>🏛️ ΚΕΦΑΛΑΙΟ Α: ΠΡΩΤΟΓΕΝΗ ΣΤΟΙΧΕΙΑ ΜΕΛΕΤΗΣ, CITATIONS &amp; ΕΛΕΓΧΟΣ ΚΑΝΟΝΩΝ (RAW INPUTS — ΣΕ ΚΟΥΤΙΑ)</t>
  </si>
  <si>
    <t>Κουτί</t>
  </si>
  <si>
    <t>Παράμετρος Μελέτης / Προδιαγραφή</t>
  </si>
  <si>
    <t>Τιμή Μελέτης / Εφαρμογής</t>
  </si>
  <si>
    <t>Μονάδα</t>
  </si>
  <si>
    <t>Πηγή Μελέτης (Σχέδιο / Σελίδα)</t>
  </si>
  <si>
    <t>Τεχνική Σημείωση / Έλεγχος Κανόνα (Rule Auditing)</t>
  </si>
  <si>
    <t>📦 ΚΟΥΤΙ ΚΟΙΝΩΝ ΠΑΡΑΜΕΤΡΩΝ ΕΡΓΟΥ (ΚΟΙΝΑ — ΤΟΠΟΘΕΣΙΑ, SHOTCRETE, ΛΑΜΕΣ ΣΥΝΔΕΣΗΣ &amp; ΤΕΝΟΝΤΕΣ)</t>
  </si>
  <si>
    <t>ΚΟΙΝΑ</t>
  </si>
  <si>
    <t>Έδρα Εταιρείας (Αφετηρία Μετακινήσεων)</t>
  </si>
  <si>
    <t>Άγιος Συλάς, Σπύρου Κυπριανού 32, Λεμεσός</t>
  </si>
  <si>
    <t>-</t>
  </si>
  <si>
    <t>Κεντρικός Τιμοκατάλογος Εταιρείας (Φύλλο 1)</t>
  </si>
  <si>
    <t>Σταθερή αφετηρία συνεργείων και διατρητικών μηχανημάτων εταιρείας.</t>
  </si>
  <si>
    <t>Τοποθεσία Εργοταξίου (Πολυκατοικία EMERALDA 5)</t>
  </si>
  <si>
    <t>Λεμεσός</t>
  </si>
  <si>
    <t>Σχέδιο S01 &amp; S02, Πινακίδα Μελέτης (S1480)</t>
  </si>
  <si>
    <t>Έργο εντός βασικής ζώνης Λεμεσού (ακτίνα 0–40 km από Άγιο Συλά).</t>
  </si>
  <si>
    <t>Χιλιομετρική Απόσταση Έργου από Έδρα</t>
  </si>
  <si>
    <t>km</t>
  </si>
  <si>
    <t>Σχέδιο S01, Πινακίδα Μελέτης / Βασική Ζώνη Λεμεσού</t>
  </si>
  <si>
    <t>[DEFAULT ΕΤΑΙΡΕΙΑΣ]: Εντός βασικής ακτίνας ≤ 40 km (1,500 € μεγάλο τρυπάνι, 300 € αγκυρώσεις, 200 € shotcrete).</t>
  </si>
  <si>
    <t>Τύπος Χάλυβα Οπλισμού Σχάρας Μετώπου</t>
  </si>
  <si>
    <t>B500C</t>
  </si>
  <si>
    <t>Σχέδιο S01 &amp; S02, Γενικές Παρατηρήσεις #3</t>
  </si>
  <si>
    <t>Ο οπλισμός είναι παντού υψηλής αντοχής B500C (fyk = 500 N/mm²).</t>
  </si>
  <si>
    <t>Διάμετρος Ράβδων Σχάρας Εκτοξευόμενου (d_mesh)</t>
  </si>
  <si>
    <t>mm</t>
  </si>
  <si>
    <t>Σχέδιο S02, Τομή 02 / Λεπτομέρεια Λ01 &amp; Τομή TX1 (Y10/15)</t>
  </si>
  <si>
    <t>Ρητή αναγραφή Y10/15 εντός της ζώνης 0.15 m του εκτοξευόμενου σκυροδέματος στην Τομή 02 / Λ01 (τα Y12/15 &amp; Y16/15 αφορούν το μόνιμο τοίχωμα 0.25 m της Τομής TX1).</t>
  </si>
  <si>
    <t>Οριζόντιο Βήμα Ράβδων Σχάρας (s_horiz)</t>
  </si>
  <si>
    <t>Σχέδιο S02, Τομή 02 / Λεπτομέρεια Λ01 (Y10/15)</t>
  </si>
  <si>
    <t>Αναγραφή Y10/15 (βήμα 15 cm = 150 mm).</t>
  </si>
  <si>
    <t>Κάθετο Βήμα Ράβδων Σχάρας (s_vert)</t>
  </si>
  <si>
    <t>Κατηγορία Εκτοξευόμενου Σκυροδέματος (Shotcrete)</t>
  </si>
  <si>
    <t>C30/37</t>
  </si>
  <si>
    <t>Σχέδιο S01 &amp; S02, Γενικές Παρατηρήσεις #1 &amp; Τομή 01 / 02</t>
  </si>
  <si>
    <t>Ποιότητα συνηθισμένου και εκτοξευόμενου σκυροδέματος C30/37 (fck = 30 N/mm²).</t>
  </si>
  <si>
    <t>Ονομαστικό Πάχος Shotcrete Μελέτης (t_shot)</t>
  </si>
  <si>
    <t>m</t>
  </si>
  <si>
    <t>Σχέδιο S02, Τομή 01 (1:20) &amp; Τομή 02 / Λεπτομέρεια Λ01 (1:10)</t>
  </si>
  <si>
    <t>Αναγράφεται ρητά 0.15 m (150 mm) στην Τομή 01 και στην Τομή 02 / Λεπτομέρεια Λ01.</t>
  </si>
  <si>
    <t>Πάγια Απώλεια / Αναπήδηση Shotcrete Εταιρείας</t>
  </si>
  <si>
    <t>Κανόνας Εταιρείας (Τιμοκατάλογος Φύλλο 1, Γραμμή 31)</t>
  </si>
  <si>
    <t>[DEFAULT ΕΤΑΙΡΕΙΑΣ]: +0.05 m (+5 cm) πάγια προσαύξηση αναπήδησης, ενσωματωμένη στην τιμή εκτόξευσης (€/m³).</t>
  </si>
  <si>
    <t>Κατακόρυφο Βήμα Λαμών Σύνδεσης Νεφκών (s_plate)</t>
  </si>
  <si>
    <t>Σχέδιο S02, Τυπική Τομή ΤΤ &amp; Τυπική Λεπτομέρεια (1:20)</t>
  </si>
  <si>
    <t>Ρητή αναγραφή: «Οριζόντιο ενισχυτικό έλασμα πάχους 10mm. Τοποθετείται καθ' ύψος ενδιάμεσα των αγκυρώσεων ανά 1500mm» (1.50 m).</t>
  </si>
  <si>
    <t>Πλάτος Λάμας Σύνδεσης (b_plate)</t>
  </si>
  <si>
    <t>Σχέδιο S02, Τυπική Τομή ΤΤ (Default Πλάτους Εταιρείας)</t>
  </si>
  <si>
    <t>[DEFAULT ΕΤΑΙΡΕΙΑΣ]: Δεν αναγράφεται αριθμητικά πλάτος για το έλασμα 10mm στην Τυπική Τομή ΤΤ. Εφαρμόζεται by default 200 mm (η πλάκα έδρασης 360x250x20mm αφορά την κεφαλή αγκυρίου).</t>
  </si>
  <si>
    <t>Μήκος / Ύψος Λάμας Σύνδεσης (h_plate)</t>
  </si>
  <si>
    <t>Σχέδιο S02, Τυπική Τομή ΤΤ (Default Μήκους Εταιρείας)</t>
  </si>
  <si>
    <t>[DEFAULT ΕΤΑΙΡΕΙΑΣ]: Δεν αναγράφεται αριθμητικά μήκος/ύψος για το ενδιάμεσο έλασμα 10mm. Εφαρμόζεται by default 200 mm.</t>
  </si>
  <si>
    <t>Πάχος Λάμας Σύνδεσης (t_plate)</t>
  </si>
  <si>
    <t>Σχέδιο S02, Τυπική Τομή ΤΤ &amp; Τυπική Λεπτομέρεια (ΠΑΧΟΥΣ 10mm)</t>
  </si>
  <si>
    <t>Ρητή αναγραφή στη μελέτη: «Οριζόντιο ενισχυτικό έλασμα πάχους 10mm».</t>
  </si>
  <si>
    <t>kg / τεμ.</t>
  </si>
  <si>
    <t>Μαθηματικός Τύπος Εταιρείας (Κανόνας §3.2.1)</t>
  </si>
  <si>
    <t>Διάμετρος Οπής Διάτρησης Αγκυρώσεων (D_anc)</t>
  </si>
  <si>
    <t>Κανόνας Εταιρείας (Τιμοκατάλογος Φύλλο 1, Γραμμή 33)</t>
  </si>
  <si>
    <t>[DEFAULT ΕΤΑΙΡΕΙΑΣ]: Δεν αναγράφεται στα σχέδια. Εφαρμόζεται τυπική διάμετρος οπής αγκύρωσης Ø120 mm (0.12 m).</t>
  </si>
  <si>
    <t>Συντελεστής Υπερκατανάλωσης Grout Αγκυρώσεων</t>
  </si>
  <si>
    <t>συντ.</t>
  </si>
  <si>
    <t>Κανόνας Εταιρείας (Τιμοκατάλογος Φύλλο 1, Γραμμή 34)</t>
  </si>
  <si>
    <t>[DEFAULT ΕΤΑΙΡΕΙΑΣ]: +20% (×1.20) πάγιος συντελεστής υπερκατανάλωσης τσιμεντενέματος στο έδαφος.</t>
  </si>
  <si>
    <t>Επιπλέον Μήκος Τένοντα (Strand 0.6'' / 15.2mm) για Προένταση</t>
  </si>
  <si>
    <t>Κανόνας Εταιρείας &amp; Σχέδιο S01/S02 (Σημείωση #3: 15.2mm Grade 1860)</t>
  </si>
  <si>
    <t>[DEFAULT ΕΤΑΙΡΕΙΑΣ]: +1.00 m επιπλέον μήκος ανά τένοντα έξω από την οπή για την κεφαλή και τον γρύλο τάνυσης (1.10 kg/m).</t>
  </si>
  <si>
    <t>TYPE A</t>
  </si>
  <si>
    <t>Πλήθος Πασσάλων / Νεφκών (Π1) Type A (N_piles)</t>
  </si>
  <si>
    <t>οπές</t>
  </si>
  <si>
    <t>Σχέδιο S01, Κάτοψη Τοίχου Αντιστήριξης (1:100) — Καταμέτρηση Π1 (A1..A35)</t>
  </si>
  <si>
    <t>Ακριβής καταμέτρηση 35 θέσεων Π1 στην Κάτοψη S01 (2 στο δυτικό σκέλος Κ46–Κ48, 23 στο βόρειο διαγώνιο Κ48–Κ62, 10 στο ανατολικό Κ62–Κ65) μέσω OpenCV &amp; CAD.</t>
  </si>
  <si>
    <t>Αξονική Απόσταση Πασσάλων (Π1) Type A (s_c/c)</t>
  </si>
  <si>
    <t>Σχέδιο S01 (Κάτοψη) &amp; Σχέδιο S02 (Τομή 01 &amp; Τομή 02 / Λεπτομέρεια Λ01)</t>
  </si>
  <si>
    <t>Ρητή αναγραφή «2 UPN300 S275 ΣΕ ΑΠΟΣΤΑΣΗ 2.00m» και διαδοχικές ενδείξεις 2.00 στην Κάτοψη S01.</t>
  </si>
  <si>
    <t>Σχέδιο S01, Κάτοψη (Κανόνας §3.4: L = N × s_c/c)</t>
  </si>
  <si>
    <t>Διάμετρος Διάτρησης Οπών Πασσάλων Type A (D_pile)</t>
  </si>
  <si>
    <t>Σχέδιο S02, Τομή 01 &amp; Τομή 02 / Λ01 (Αναγραφή: Ελάχιστη Ø600mm)</t>
  </si>
  <si>
    <t>[OVERRIDE ΚΑΝΟΝΑ]: Η μελέτη ζητούσε ελάχιστη διάμετρο Ø600 mm (0.60 m). Εφαρμόζεται υποχρεωτικά Ø800 mm (0.80 m) βάσει κανόνα ελάχιστης διαμέτρου εταιρείας (§3.1).</t>
  </si>
  <si>
    <t>Ελεύθερο Ύψος Εκσκαφής Μετώπου Type A (H_exc)</t>
  </si>
  <si>
    <t>Σχέδιο S02, Τομή 01 &amp; Τομή TX1 (+95.00 έως +87.05 ΕΚΣΚΑΦΗ)</t>
  </si>
  <si>
    <t>[!!! ΣΥΓΚΡΟΥΣΗ ΜΕΛΕΤΗΣ !!!]: Στην Τομή 01 η εξωτερική αλυσίδα εκσκαφής (2.00+3.50+2.35+0.10 = 7.95 m), οι στάθμες (+95.00 έως +87.05 = 7.95 m) και η συνολική διάσταση στην Τομή TX1 (7.95 m) δίνουν 7.95 m, ενώ η εσωτερική αλυσίδα της Τομής 01 (1.50+3.50+2.80+0.10) αθροίζει σε 7.90 m (λόγω αναγραφής 2.80 αντί 2.85). Επιλέγεται υποχρεωτικά ο στατικά ασφαλέστερος αριθμός 7.95 m (§3.3).</t>
  </si>
  <si>
    <t>Ύψος Πάκτωσης Σκυροδέματος στη Βάση Type A (H_embed)</t>
  </si>
  <si>
    <t>Σχέδιο S02, Τομή 01 (Αναγραφόμενη διάσταση 4.00 m κάτω από +87.05)</t>
  </si>
  <si>
    <t>Ανεξάρτητο Raw Input (§3.5.2): Αναγράφεται ρητά 4.00 m κάτω από τον πυθμένα εκσκαφής (+87.05) στην Τομή 01.</t>
  </si>
  <si>
    <t>Συνολικό Μήκος Χαλύβδινης Νέφκας Μελέτης Type A (L_beam)</t>
  </si>
  <si>
    <t>Σχέδιο S02, Τομή 01 &amp; Τομή TX1 (7.95 m εκσκαφή + 4.00 m πάκτωση)</t>
  </si>
  <si>
    <t>[!!! ΣΥΓΚΡΟΥΣΗ ΜΕΛΕΤΗΣ !!!]: Βάσει της εξωτερικής αλυσίδας εκσκαφής (7.95 m) + πάκτωσης (4.00 m) της Τομής 01 &amp; TX1 προκύπτει L_beam = 11.95 m, ενώ με την εσωτερική αλυσίδα (7.90 + 4.00) προκύπτει 11.90 m. Επιλέγεται ο στατικά ασφαλέστερος αριθμός 11.95 m (§3.3 &amp; §3.5.2).</t>
  </si>
  <si>
    <t>Ύψος Εκσκαφής / Διάτρησης Νέφκας βάσει WPL / Cut-Off Level (L_drill_WPL)</t>
  </si>
  <si>
    <t>Δεν δίνεται στα Σχέδια S01 &amp; S02 (Κενό -&gt; Κόκκινη Επισήμανση §3.8)</t>
  </si>
  <si>
    <t>Ενεργό Ύψος Διάτρησης Μεγάλου Τρυπανιού Type A (L_drill_active)</t>
  </si>
  <si>
    <t>Αυτόματος Κανόνας WPL / Cut-Off Level (§3.8.3 &amp; §3.8.4)</t>
  </si>
  <si>
    <t>Τύπος Χαλύβδινης Διατομής Νέφκας Type A</t>
  </si>
  <si>
    <t>UPN 300</t>
  </si>
  <si>
    <t>Σχέδιο S02, Τομή 01, Τομή 02 / Λ01, Τυπική Τομή ΤΤ (2 UPN300 S275)</t>
  </si>
  <si>
    <t>Δομικός χάλυβας S275 (Σημείωση #2), διπλή διατομή 2 × UPN 300 ανά πάσσαλο Π1.</t>
  </si>
  <si>
    <t>Πλήθος Προφίλ Χάλυβα ανά Οπή Πασσάλου (Π1)</t>
  </si>
  <si>
    <t>προφίλ/οπή</t>
  </si>
  <si>
    <t>Σχέδιο S02, Τομή 01 &amp; Τομή 02 / Λεπτομέρεια Λ01 (2 UPN300)</t>
  </si>
  <si>
    <t>2 τεμάχια UPN 300 ανά οπή πασσάλου Π1 (σε απόσταση min 0.10 m μεταξύ των κορμών τους).</t>
  </si>
  <si>
    <t>kg / m</t>
  </si>
  <si>
    <t>Φύλλο 3 (Βιβλιοθήκη Ευρωπαϊκών Διατομών Χάλυβα — Γραμμή 38)</t>
  </si>
  <si>
    <t>Ύπαρξη Γωνιών Στήριξης (Equal Angles L) στο Type A</t>
  </si>
  <si>
    <t>ΟΧΙ</t>
  </si>
  <si>
    <t>Σχέδιο S02, Τομή 01 &amp; Τομή 02 / Λεπτομέρεια Λ01</t>
  </si>
  <si>
    <t>Δεν ζητούνται γωνιές στήριξης L στη μελέτη (ο οπλισμός Y10/15 αγκυρώνεται απευθείας εντός των 2 UPN 300).</t>
  </si>
  <si>
    <t>Πλήθος Οριζόντιων Σειρών Αγκυρώσεων Type A</t>
  </si>
  <si>
    <t>σειρές</t>
  </si>
  <si>
    <t>Σχέδιο S02, Τομή 01 &amp; Πίνακας - Εκσκαφή Τενόντων (+93.50 &amp; +90.00)</t>
  </si>
  <si>
    <t>2 οριζόντιες σειρές προεντεταμένων αγκυρίων: Σειρά 1 (+93.50, 280 kN) και Σειρά 2 (+90.00, 400 kN) υπό κλίση 20°.</t>
  </si>
  <si>
    <t>Πλήθος Αγκυρώσεων ανά Οριζόντια Σειρά Type A</t>
  </si>
  <si>
    <t>τεμ./σειρά</t>
  </si>
  <si>
    <t>Σχέδιο S01 (Κάτοψη) &amp; Σχέδιο S02 (Τομή 02 / Λεπτομέρεια Λ01)</t>
  </si>
  <si>
    <t>Ελεύθερο Μήκος Αγκυρίου Σειράς 1 (+93.50) (L_free_1)</t>
  </si>
  <si>
    <t>Σχέδιο S02, Πίνακας - Εκσκαφή Τενόντων (Υψόμετρο +93.50)</t>
  </si>
  <si>
    <t>Αναγράφεται ρητά στον Πίνακα Εκσκαφής Τενόντων: Υψόμετρο +93.50 -&gt; Ελεύθερο Μήκος L = 9.00 m.</t>
  </si>
  <si>
    <t>Πακτωμένο Μήκος Αγκυρίου Σειράς 1 (+93.50) (L_bond_1)</t>
  </si>
  <si>
    <t>Αναγράφεται ρητά στον Πίνακα Εκσκαφής Τενόντων: Υψόμετρο +93.50 -&gt; Πακτωμένο Μήκος L = 6.50 m (Προένταση 280 kN).</t>
  </si>
  <si>
    <t>Συνολικό Μήκος Διάτρησης Αγκυρίου Σειράς 1 (+93.50) (L_anc_1)</t>
  </si>
  <si>
    <t>Σχέδιο S02, Πίνακας - Εκσκαφή Τενόντων (L_free + L_bond)</t>
  </si>
  <si>
    <t>Ελεύθερο Μήκος Αγκυρίου Σειράς 2 (+90.00) (L_free_2)</t>
  </si>
  <si>
    <t>Σχέδιο S02, Πίνακας - Εκσκαφή Τενόντων (Υψόμετρο +90.00)</t>
  </si>
  <si>
    <t>Αναγράφεται ρητά στον Πίνακα Εκσκαφής Τενόντων: Υψόμετρο +90.00 -&gt; Ελεύθερο Μήκος L = 4.50 m.</t>
  </si>
  <si>
    <t>Πακτωμένο Μήκος Αγκυρίου Σειράς 2 (+90.00) (L_bond_2)</t>
  </si>
  <si>
    <t>Αναγράφεται ρητά στον Πίνακα Εκσκαφής Τενόντων: Υψόμετρο +90.00 -&gt; Πακτωμένο Μήκος L = 10.00 m (Προένταση 400 kN).</t>
  </si>
  <si>
    <t>Συνολικό Μήκος Διάτρησης Αγκυρίου Σειράς 2 (+90.00) (L_anc_2)</t>
  </si>
  <si>
    <t>Πλήθος Τενόντων (Strands 0.6'' / 15.2mm) ανά Αγκύρωση (Σειρά 1 &amp; 2)</t>
  </si>
  <si>
    <t>strands/οπή</t>
  </si>
  <si>
    <t>Σχέδιο S02, Τομή 01 &amp; Τομή 02 / Λεπτομέρεια Λ01 (4-STRAND TENDON GRADE 1860)</t>
  </si>
  <si>
    <t>Ρητή αναγραφή «4-STRAND TENDON GRADE 1860» και στις 2 σειρές αγκυρώσεων (+93.50 &amp; +90.00).</t>
  </si>
  <si>
    <t>⚙️ ΚΕΦΑΛΑΙΟ Β: ΥΠΟΛΟΓΙΣΜΟΙ ΦΥΣΙΚΩΝ ΠΟΣΟΤΗΤΩΝ ΑΝΑ ΚΟΥΤΙ ΤΟΙΧΟΥ &amp; ΣΥΝΟΛΑ ΕΡΓΟΥ (100% ΔΥΝΑΜΙΚΟΙ ΤΙΤΛΟΙ &amp; ΣΗΜΕΙΩΣΕΙΣ)</t>
  </si>
  <si>
    <t>Κωδ.</t>
  </si>
  <si>
    <t>Περιγραφή Υπολογισμού (100% Δυναμικός Τίτλος)</t>
  </si>
  <si>
    <t>Ποσότητα</t>
  </si>
  <si>
    <t>Αναλυτικός Μαθηματικός Τύπος &amp; Επαλήθευση (Dynamic String)</t>
  </si>
  <si>
    <t>Τεχνική Σημείωση &amp; Σύνδεση με Φύλλο 2</t>
  </si>
  <si>
    <t>📐 ΚΟΥΤΙ ΣΤΑΘΕΡΩΝ ΜΟΝΑΔΙΑΙΩΝ ΥΠΟΛΟΓΙΣΜΩΝ &amp; ΣΤΡΑΤΩΝ ΜΕΤΑΚΙΝΗΣΗΣ (ΣΤΑΘ.)</t>
  </si>
  <si>
    <t>ΣΤΑΘ.1</t>
  </si>
  <si>
    <t>m / m²</t>
  </si>
  <si>
    <t>ΣΤΑΘ.2</t>
  </si>
  <si>
    <t>ΣΤΑΘ.3</t>
  </si>
  <si>
    <t>kg / m²</t>
  </si>
  <si>
    <t>ΣΤΑΘ.4</t>
  </si>
  <si>
    <t>%</t>
  </si>
  <si>
    <t>ΣΤΑΘ.5</t>
  </si>
  <si>
    <t>m³ / m</t>
  </si>
  <si>
    <t>ΣΤΑΘ.6</t>
  </si>
  <si>
    <t>ΠΥΛ.1α</t>
  </si>
  <si>
    <t>στράτες</t>
  </si>
  <si>
    <t>ΠΥΛ.1β</t>
  </si>
  <si>
    <t>ΠΥΛ.1γ</t>
  </si>
  <si>
    <t>A.1</t>
  </si>
  <si>
    <t>A.1α</t>
  </si>
  <si>
    <t>m³</t>
  </si>
  <si>
    <t>A.2</t>
  </si>
  <si>
    <t>kg</t>
  </si>
  <si>
    <t>A.3α</t>
  </si>
  <si>
    <t>τεμ. / οπή</t>
  </si>
  <si>
    <t>A.3</t>
  </si>
  <si>
    <t>A.4</t>
  </si>
  <si>
    <t>A.5</t>
  </si>
  <si>
    <t>A.6α</t>
  </si>
  <si>
    <t>m²</t>
  </si>
  <si>
    <t>A.6</t>
  </si>
  <si>
    <t>A.7</t>
  </si>
  <si>
    <t>A.8</t>
  </si>
  <si>
    <t>A.10</t>
  </si>
  <si>
    <t>A.11</t>
  </si>
  <si>
    <t>A.11α</t>
  </si>
  <si>
    <t>A.12</t>
  </si>
  <si>
    <t>A.13</t>
  </si>
  <si>
    <t>A.14</t>
  </si>
  <si>
    <t>τεμ.</t>
  </si>
  <si>
    <t>ΣΥΝ.1</t>
  </si>
  <si>
    <t>ΣΥΝ.2</t>
  </si>
  <si>
    <t>ΣΥΝ.3</t>
  </si>
  <si>
    <t>ΣΥΝ.4</t>
  </si>
  <si>
    <t>ΣΥΝ.4α</t>
  </si>
  <si>
    <t>ΣΥΝ.5</t>
  </si>
  <si>
    <t>ΣΥΝ.6</t>
  </si>
  <si>
    <t>ΣΥΝ.7</t>
  </si>
  <si>
    <t>ΣΥΝ.8</t>
  </si>
  <si>
    <t>ΣΥΝ.9</t>
  </si>
  <si>
    <t>ΣΥΝ.10</t>
  </si>
  <si>
    <t>ΣΥΝ.11</t>
  </si>
  <si>
    <t>ΣΥΝ.12</t>
  </si>
  <si>
    <t>ΣΥΝ.13</t>
  </si>
  <si>
    <t>ΕΡΓΟ: ΠΟΛΥΚΑΤΟΙΚΙΑ EMERALDA 5 (S1480) — ΟΙΚΟΝΟΜΙΚΗ ΠΡΟΣΦΟΡΑ BERLIN WALL &amp; ΑΓΚΥΡΩΣΕΩΝ (ΧΩΡΙΣ Φ.Π.Α.)</t>
  </si>
  <si>
    <t>Αρχιτεκτονική Κουτιών ανά Τύπο Τοίχου (Box Layout v8.0) | [ΚΙΤΡΙΝΟ #FFF2CC] = Τιμές Μονάδας (€) | [ΠΟΡΤΟΚΑΛΙ #FFE699] = Κουγκρί Πάκτωσης | Χωρίς Φ.Π.Α.</t>
  </si>
  <si>
    <t>Περιγραφή Εργασίας / Υλικού (100% Δυναμικός Τίτλος)</t>
  </si>
  <si>
    <t>Τιμή Μονάδας (€)</t>
  </si>
  <si>
    <t>Συνολικό Κόστος (€)</t>
  </si>
  <si>
    <t>Τελ. Σύνολα Κουτιού (€)</t>
  </si>
  <si>
    <t>Πηγή Ποσότητας &amp; Τεχνική Επεξήγηση (Dynamic String)</t>
  </si>
  <si>
    <t>A.9</t>
  </si>
  <si>
    <t>A.15</t>
  </si>
  <si>
    <t>ΣΥΝ. Α</t>
  </si>
  <si>
    <t>ΣΥΝ. Π1</t>
  </si>
  <si>
    <t>ΣΥΝΟΛΟ ΚΟΥΤΙΟΥ ΠΥΛΩΝΑ 1 (ΜΕΤΑΚΙΝΗΣΕΙΣ ΕΞΟΠΛΙΣΜΟΥ &amp; ΣΥΝΕΡΓΕΙΩΝ)</t>
  </si>
  <si>
    <t>🏛️ ΣΥΓΚΕΝΤΡΩΤΙΚΟΣ ΠΙΝΑΚΑΣ ΠΡΟΣΦΟΡΑΣ BERLIN WALL &amp; CROSS-CHECK 4 ΠΥΛΩΝΩΝ (ΧΩΡΙΣ Φ.Π.Α. — ΚΑΝΟΝΑΣ §3.7.2)</t>
  </si>
  <si>
    <t>ΠΥΛ. 1</t>
  </si>
  <si>
    <t>Cross-Check Πυλώνας 1: Μετακινήσεις Εξοπλισμού &amp; Συνεργείων</t>
  </si>
  <si>
    <t>ΠΥΛ. 2</t>
  </si>
  <si>
    <t>ΠΥΛ. 3</t>
  </si>
  <si>
    <t>ΠΥΛ. 4</t>
  </si>
  <si>
    <t>CHECK</t>
  </si>
  <si>
    <t>Άθροισμα 4 Πυλώνων (Πυλώνας 1 + Πυλώνας 2 + Πυλώνας 3 + Πυλώνας 4)</t>
  </si>
  <si>
    <t>ΣΥΝΟΛΟ</t>
  </si>
  <si>
    <t>ΤΕΛΙΚΟ ΣΥΝΟΛΟ ΠΡΟΣΦΟΡΑΣ BERLIN WALL &amp; ΑΓΚΥΡΩΣΕΩΝ (ΧΩΡΙΣ Φ.Π.Α.)</t>
  </si>
  <si>
    <t>📈 ΒΑΣΙΚΟΙ ΔΕΙΚΤΕΣ ΚΟΣΤΟΥΣ &amp; VALUE ENGINEERING (KPIs ΕΡΓΟΥ)</t>
  </si>
  <si>
    <t>KPI 1</t>
  </si>
  <si>
    <t>Συνολικό Κόστος ανά m² Μετώπου Εκσκαφής (€ / m²)</t>
  </si>
  <si>
    <t>€ / m²</t>
  </si>
  <si>
    <t>KPI 2</t>
  </si>
  <si>
    <t>Συνολικό Κόστος ανά Τρέχον Μέτρο Περιμέτρου (€ / τρ.μ.)</t>
  </si>
  <si>
    <t>€ / τρ.μ.</t>
  </si>
  <si>
    <t>KPI 3</t>
  </si>
  <si>
    <t>Κόστος Πυλώνα 3 (Νέφκες 2×UPN300, Διάτρηση, Λάμες, Κουγκρί) ανά Πάσσαλο Π1</t>
  </si>
  <si>
    <t>€ / πάσσαλο</t>
  </si>
  <si>
    <t>KPI 4</t>
  </si>
  <si>
    <t>Κόστος Πυλώνα 4 (Πλήρες Σύστημα Προεντεταμένης Αγκύρωσης) ανά Αγκύρωση</t>
  </si>
  <si>
    <t>€ / αγκύρωση</t>
  </si>
  <si>
    <t>KPI 5</t>
  </si>
  <si>
    <t>Κόστος Πυλώνα 2 (Σχάρα Y10/150×150 &amp; Shotcrete C30/37) ανά m² Μετώπου</t>
  </si>
  <si>
    <t>ΒΙΒΛΙΟΘΗΚΗ ΔΙΑΤΟΜΩΝ ΧΑΛΥΒΑ (EUROPEAN STRUCTURAL STEEL PROFILES)</t>
  </si>
  <si>
    <t>Τεχνικά χαρακτηριστικά &amp; θεωρητικά βάρη ανά μέτρο για διατομές HEA, HEB, UPN, Ισοσκελείς Γωνίες (L) &amp; Ράβδους B500C</t>
  </si>
  <si>
    <t>1. ΔΙΑΤΟΜΕΣ HEA (Ευρωπαϊκά Πλατύπελμα Ελαφρού Τύπου)</t>
  </si>
  <si>
    <t>Ονομασία Διατομής</t>
  </si>
  <si>
    <t>Ύψος h (mm)</t>
  </si>
  <si>
    <t>Πλάτος b (mm)</t>
  </si>
  <si>
    <t>Πάχος tw (mm)</t>
  </si>
  <si>
    <t>Πάχος tf (mm)</t>
  </si>
  <si>
    <t>Διατομή A (cm²)</t>
  </si>
  <si>
    <t>Βάρος (kg / m)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</si>
  <si>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</si>
  <si>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</si>
  <si>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</si>
  <si>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</si>
  <si>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</si>
  <si>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</si>
  <si>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</si>
  <si>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</si>
  <si>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</si>
  <si>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2. ΔΙΑΤΟΜΕΣ HEB (Ευρωπαϊκά Πλατύπελμα Κανονικού Τύπου)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</si>
  <si>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</si>
  <si>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</si>
  <si>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</si>
  <si>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</si>
  <si>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</si>
  <si>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</si>
  <si>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</si>
  <si>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</si>
  <si>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</si>
  <si>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3. ΔΙΑΤΟΜΕΣ UPN (Ευρωπαϊκά Κοίλα Προφίλ U — Ενεργή Διατομή Έργου: UPN 300 = 46.20 kg/m)</t>
  </si>
  <si>
    <t>UPN 140</t>
  </si>
  <si>
    <t>UPN 160</t>
  </si>
  <si>
    <t>UPN 180</t>
  </si>
  <si>
    <t>UPN 200</t>
  </si>
  <si>
    <t>UPN 220</t>
  </si>
  <si>
    <t>UPN 240</t>
  </si>
  <si>
    <t>UPN 260</t>
  </si>
  <si>
    <t>UPN 280</t>
  </si>
  <si>
    <t>4. ΙΣΟΣΚΕΛΕΙΣ ΓΩΝΙΕΣ (Equal Angles L)</t>
  </si>
  <si>
    <t>L 50x50x5</t>
  </si>
  <si>
    <t>L 60x60x6</t>
  </si>
  <si>
    <t>L 70x70x6</t>
  </si>
  <si>
    <t>L 70x70x7</t>
  </si>
  <si>
    <t>L 80x80x8</t>
  </si>
  <si>
    <t>L 90x90x9</t>
  </si>
  <si>
    <t>L 100x100x10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</si>
</sst>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.0000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10"/>
      <color rgb="FF1F4E78"/>
      <name val="Segoe UI"/>
    </font>
    <font>
      <b/>
      <sz val="11"/>
      <color rgb="FFFFFFFF"/>
      <name val="Segoe UI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sz val="9"/>
      <color rgb="FF1F4E78"/>
      <name val="Segoe UI"/>
    </font>
    <font>
      <b/>
      <sz val="9"/>
      <color rgb="FF9C0006"/>
      <name val="Segoe UI"/>
    </font>
    <font>
      <b/>
      <sz val="10"/>
      <color rgb="FF9C0006"/>
      <name val="Segoe UI"/>
    </font>
    <font>
      <sz val="9"/>
      <color rgb="FF262626"/>
      <name val="Segoe UI"/>
    </font>
    <font>
      <b/>
      <sz val="11"/>
      <color rgb="FF000000"/>
      <name val="Segoe UI"/>
    </font>
    <font>
      <b/>
      <sz val="12"/>
      <color rgb="FF000000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385723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548235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/>
      <bottom/>
      <diagonal/>
    </border>
    <border>
      <left style="medium">
        <color rgb="FF1F4E78"/>
      </left>
      <right style="thin">
        <color rgb="FFBFBFBF"/>
      </right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double">
        <color rgb="FF1F4E78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double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double">
        <color rgb="FF1F4E78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1F4E78"/>
      </bottom>
      <diagonal/>
    </border>
    <border>
      <left style="medium">
        <color rgb="FF1F4E78"/>
      </left>
      <right/>
      <top/>
      <bottom/>
      <diagonal/>
    </border>
    <border>
      <left/>
      <right/>
      <top/>
      <bottom/>
      <diagonal/>
    </border>
    <border>
      <left/>
      <right style="medium">
        <color rgb="FF1F4E78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3" fontId="5" fillId="9" borderId="2" xfId="0" applyNumberFormat="1" applyFont="1" applyFill="1" applyBorder="1" applyAlignment="1">
      <alignment horizontal="right" vertical="center" wrapText="1"/>
    </xf>
    <xf numFmtId="4" fontId="5" fillId="9" borderId="2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left" vertical="center" wrapText="1"/>
    </xf>
    <xf numFmtId="4" fontId="5" fillId="10" borderId="2" xfId="0" applyNumberFormat="1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horizontal="left" vertical="center" wrapText="1"/>
    </xf>
    <xf numFmtId="4" fontId="5" fillId="9" borderId="10" xfId="0" applyNumberFormat="1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4" fontId="10" fillId="11" borderId="2" xfId="0" applyNumberFormat="1" applyFont="1" applyFill="1" applyBorder="1" applyAlignment="1">
      <alignment horizontal="right" vertical="center" wrapText="1"/>
    </xf>
    <xf numFmtId="0" fontId="9" fillId="11" borderId="7" xfId="0" applyFont="1" applyFill="1" applyBorder="1" applyAlignment="1">
      <alignment horizontal="left" vertical="center" wrapText="1"/>
    </xf>
    <xf numFmtId="3" fontId="5" fillId="10" borderId="2" xfId="0" applyNumberFormat="1" applyFont="1" applyFill="1" applyBorder="1" applyAlignment="1">
      <alignment horizontal="right" vertical="center" wrapText="1"/>
    </xf>
    <xf numFmtId="3" fontId="5" fillId="9" borderId="10" xfId="0" applyNumberFormat="1" applyFont="1" applyFill="1" applyBorder="1" applyAlignment="1">
      <alignment horizontal="right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164" fontId="5" fillId="10" borderId="2" xfId="0" applyNumberFormat="1" applyFont="1" applyFill="1" applyBorder="1" applyAlignment="1">
      <alignment horizontal="right" vertical="center" wrapText="1"/>
    </xf>
    <xf numFmtId="165" fontId="5" fillId="10" borderId="2" xfId="0" applyNumberFormat="1" applyFont="1" applyFill="1" applyBorder="1" applyAlignment="1">
      <alignment horizontal="right" vertical="center" wrapText="1"/>
    </xf>
    <xf numFmtId="166" fontId="5" fillId="10" borderId="2" xfId="0" applyNumberFormat="1" applyFont="1" applyFill="1" applyBorder="1" applyAlignment="1">
      <alignment horizontal="right" vertical="center" wrapText="1"/>
    </xf>
    <xf numFmtId="0" fontId="4" fillId="8" borderId="12" xfId="0" applyFont="1" applyFill="1" applyBorder="1" applyAlignment="1">
      <alignment horizontal="center" vertical="center" wrapText="1"/>
    </xf>
    <xf numFmtId="3" fontId="5" fillId="10" borderId="10" xfId="0" applyNumberFormat="1" applyFont="1" applyFill="1" applyBorder="1" applyAlignment="1">
      <alignment horizontal="righ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left" vertical="center" wrapText="1"/>
    </xf>
    <xf numFmtId="3" fontId="5" fillId="13" borderId="13" xfId="0" applyNumberFormat="1" applyFont="1" applyFill="1" applyBorder="1" applyAlignment="1">
      <alignment horizontal="right"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left" vertical="center" wrapText="1"/>
    </xf>
    <xf numFmtId="0" fontId="8" fillId="13" borderId="15" xfId="0" applyFont="1" applyFill="1" applyBorder="1" applyAlignment="1">
      <alignment horizontal="left" vertical="center" wrapText="1"/>
    </xf>
    <xf numFmtId="4" fontId="5" fillId="13" borderId="13" xfId="0" applyNumberFormat="1" applyFont="1" applyFill="1" applyBorder="1" applyAlignment="1">
      <alignment horizontal="right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3" fontId="5" fillId="13" borderId="1" xfId="0" applyNumberFormat="1" applyFont="1" applyFill="1" applyBorder="1" applyAlignment="1">
      <alignment horizontal="righ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8" fillId="13" borderId="17" xfId="0" applyFont="1" applyFill="1" applyBorder="1" applyAlignment="1">
      <alignment horizontal="left" vertical="center" wrapText="1"/>
    </xf>
    <xf numFmtId="4" fontId="12" fillId="6" borderId="2" xfId="0" applyNumberFormat="1" applyFont="1" applyFill="1" applyBorder="1" applyAlignment="1">
      <alignment horizontal="right" vertical="center" wrapText="1"/>
    </xf>
    <xf numFmtId="4" fontId="12" fillId="14" borderId="2" xfId="0" applyNumberFormat="1" applyFont="1" applyFill="1" applyBorder="1" applyAlignment="1">
      <alignment horizontal="right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0" fillId="13" borderId="1" xfId="0" applyFill="1" applyBorder="1"/>
    <xf numFmtId="4" fontId="13" fillId="13" borderId="1" xfId="0" applyNumberFormat="1" applyFont="1" applyFill="1" applyBorder="1" applyAlignment="1">
      <alignment horizontal="right" vertical="center" wrapText="1"/>
    </xf>
    <xf numFmtId="0" fontId="5" fillId="13" borderId="17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5" fillId="13" borderId="1" xfId="0" applyNumberFormat="1" applyFont="1" applyFill="1" applyBorder="1" applyAlignment="1">
      <alignment horizontal="right" vertical="center" wrapText="1"/>
    </xf>
    <xf numFmtId="4" fontId="5" fillId="10" borderId="10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right" vertical="center" wrapText="1"/>
    </xf>
    <xf numFmtId="4" fontId="6" fillId="5" borderId="2" xfId="0" applyNumberFormat="1" applyFont="1" applyFill="1" applyBorder="1" applyAlignment="1">
      <alignment horizontal="right" vertical="center" wrapText="1"/>
    </xf>
    <xf numFmtId="4" fontId="5" fillId="5" borderId="2" xfId="0" applyNumberFormat="1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 wrapText="1"/>
    </xf>
    <xf numFmtId="3" fontId="6" fillId="6" borderId="2" xfId="0" applyNumberFormat="1" applyFont="1" applyFill="1" applyBorder="1" applyAlignment="1">
      <alignment horizontal="right" vertical="center" wrapText="1"/>
    </xf>
    <xf numFmtId="4" fontId="6" fillId="6" borderId="2" xfId="0" applyNumberFormat="1" applyFont="1" applyFill="1" applyBorder="1" applyAlignment="1">
      <alignment horizontal="right" vertical="center" wrapText="1"/>
    </xf>
    <xf numFmtId="4" fontId="5" fillId="6" borderId="2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7" fillId="4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7" fillId="7" borderId="3" xfId="0" applyFont="1" applyFill="1" applyBorder="1" applyAlignment="1">
      <alignment horizontal="left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textRotation="90" wrapText="1"/>
    </xf>
    <xf numFmtId="0" fontId="0" fillId="0" borderId="8" xfId="0" applyBorder="1"/>
    <xf numFmtId="0" fontId="0" fillId="0" borderId="9" xfId="0" applyBorder="1"/>
    <xf numFmtId="0" fontId="3" fillId="1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0" fillId="0" borderId="2" xfId="0" applyBorder="1"/>
    <xf numFmtId="0" fontId="8" fillId="5" borderId="10" xfId="0" applyFont="1" applyFill="1" applyBorder="1" applyAlignment="1">
      <alignment horizontal="left" vertical="center" wrapText="1"/>
    </xf>
    <xf numFmtId="0" fontId="0" fillId="0" borderId="11" xfId="0" applyBorder="1"/>
    <xf numFmtId="4" fontId="13" fillId="13" borderId="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5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8" fillId="5" borderId="2" xfId="0" applyFont="1" applyFill="1" applyBorder="1" applyAlignment="1">
      <alignment horizontal="left" vertical="center" wrapText="1"/>
    </xf>
    <xf numFmtId="0" fontId="0" fillId="0" borderId="7" xfId="0" applyBorder="1"/>
    <xf numFmtId="0" fontId="13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5" fillId="5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7" fillId="15" borderId="3" xfId="0" applyFont="1" applyFill="1" applyBorder="1" applyAlignment="1">
      <alignment horizontal="left" vertical="center" wrapText="1"/>
    </xf>
    <xf numFmtId="0" fontId="3" fillId="12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sqref="A1:F1"/>
    </sheetView>
  </sheetViews>
  <sheetFormatPr defaultRowHeight="14.5" x14ac:dyDescent="0.35"/>
  <cols>
    <col min="1" max="1" width="10" customWidth="1"/>
    <col min="2" max="2" width="56" customWidth="1"/>
    <col min="3" max="3" width="18" customWidth="1"/>
    <col min="4" max="4" width="13" customWidth="1"/>
    <col min="5" max="5" width="46" customWidth="1"/>
    <col min="6" max="6" width="62" customWidth="1"/>
  </cols>
  <sheetData>
    <row r="1" spans="1:6" ht="28" customHeight="1" x14ac:dyDescent="0.35">
      <c r="A1" s="68" t="s">
        <v>0</v>
      </c>
      <c r="B1" s="62"/>
      <c r="C1" s="62"/>
      <c r="D1" s="62"/>
      <c r="E1" s="62"/>
      <c r="F1" s="62"/>
    </row>
    <row r="2" spans="1:6" ht="20" customHeight="1" x14ac:dyDescent="0.35">
      <c r="A2" s="61" t="s">
        <v>1</v>
      </c>
      <c r="B2" s="62"/>
      <c r="C2" s="62"/>
      <c r="D2" s="62"/>
      <c r="E2" s="62"/>
      <c r="F2" s="62"/>
    </row>
    <row r="4" spans="1:6" ht="24" customHeight="1" x14ac:dyDescent="0.35">
      <c r="A4" s="73" t="s">
        <v>2</v>
      </c>
      <c r="B4" s="62"/>
      <c r="C4" s="62"/>
      <c r="D4" s="62"/>
      <c r="E4" s="62"/>
      <c r="F4" s="62"/>
    </row>
    <row r="5" spans="1:6" ht="24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2" customHeight="1" x14ac:dyDescent="0.35">
      <c r="A6" s="66" t="s">
        <v>9</v>
      </c>
      <c r="B6" s="64"/>
      <c r="C6" s="64"/>
      <c r="D6" s="64"/>
      <c r="E6" s="64"/>
      <c r="F6" s="65"/>
    </row>
    <row r="7" spans="1:6" ht="24" customHeight="1" x14ac:dyDescent="0.35">
      <c r="A7" s="69" t="s">
        <v>10</v>
      </c>
      <c r="B7" s="2" t="s">
        <v>11</v>
      </c>
      <c r="C7" s="3" t="s">
        <v>12</v>
      </c>
      <c r="D7" s="4" t="s">
        <v>13</v>
      </c>
      <c r="E7" s="2" t="s">
        <v>14</v>
      </c>
      <c r="F7" s="5" t="s">
        <v>15</v>
      </c>
    </row>
    <row r="8" spans="1:6" ht="24" customHeight="1" x14ac:dyDescent="0.35">
      <c r="A8" s="70"/>
      <c r="B8" s="2" t="s">
        <v>16</v>
      </c>
      <c r="C8" s="3" t="s">
        <v>17</v>
      </c>
      <c r="D8" s="4" t="s">
        <v>13</v>
      </c>
      <c r="E8" s="2" t="s">
        <v>18</v>
      </c>
      <c r="F8" s="5" t="s">
        <v>19</v>
      </c>
    </row>
    <row r="9" spans="1:6" ht="24" customHeight="1" x14ac:dyDescent="0.35">
      <c r="A9" s="70"/>
      <c r="B9" s="2" t="s">
        <v>20</v>
      </c>
      <c r="C9" s="6">
        <v>15</v>
      </c>
      <c r="D9" s="4" t="s">
        <v>21</v>
      </c>
      <c r="E9" s="2" t="s">
        <v>22</v>
      </c>
      <c r="F9" s="5" t="s">
        <v>23</v>
      </c>
    </row>
    <row r="10" spans="1:6" ht="24" customHeight="1" x14ac:dyDescent="0.35">
      <c r="A10" s="70"/>
      <c r="B10" s="2" t="s">
        <v>24</v>
      </c>
      <c r="C10" s="3" t="s">
        <v>25</v>
      </c>
      <c r="D10" s="4" t="s">
        <v>13</v>
      </c>
      <c r="E10" s="2" t="s">
        <v>26</v>
      </c>
      <c r="F10" s="5" t="s">
        <v>27</v>
      </c>
    </row>
    <row r="11" spans="1:6" ht="24" customHeight="1" x14ac:dyDescent="0.35">
      <c r="A11" s="70"/>
      <c r="B11" s="2" t="s">
        <v>28</v>
      </c>
      <c r="C11" s="6">
        <v>10</v>
      </c>
      <c r="D11" s="4" t="s">
        <v>29</v>
      </c>
      <c r="E11" s="2" t="s">
        <v>30</v>
      </c>
      <c r="F11" s="5" t="s">
        <v>31</v>
      </c>
    </row>
    <row r="12" spans="1:6" ht="24" customHeight="1" x14ac:dyDescent="0.35">
      <c r="A12" s="70"/>
      <c r="B12" s="2" t="s">
        <v>32</v>
      </c>
      <c r="C12" s="6">
        <v>150</v>
      </c>
      <c r="D12" s="4" t="s">
        <v>29</v>
      </c>
      <c r="E12" s="2" t="s">
        <v>33</v>
      </c>
      <c r="F12" s="5" t="s">
        <v>34</v>
      </c>
    </row>
    <row r="13" spans="1:6" ht="24" customHeight="1" x14ac:dyDescent="0.35">
      <c r="A13" s="70"/>
      <c r="B13" s="2" t="s">
        <v>35</v>
      </c>
      <c r="C13" s="6">
        <v>150</v>
      </c>
      <c r="D13" s="4" t="s">
        <v>29</v>
      </c>
      <c r="E13" s="2" t="s">
        <v>33</v>
      </c>
      <c r="F13" s="5" t="s">
        <v>34</v>
      </c>
    </row>
    <row r="14" spans="1:6" ht="24" customHeight="1" x14ac:dyDescent="0.35">
      <c r="A14" s="70"/>
      <c r="B14" s="2" t="s">
        <v>36</v>
      </c>
      <c r="C14" s="3" t="s">
        <v>37</v>
      </c>
      <c r="D14" s="4" t="s">
        <v>13</v>
      </c>
      <c r="E14" s="2" t="s">
        <v>38</v>
      </c>
      <c r="F14" s="5" t="s">
        <v>39</v>
      </c>
    </row>
    <row r="15" spans="1:6" ht="24" customHeight="1" x14ac:dyDescent="0.35">
      <c r="A15" s="70"/>
      <c r="B15" s="2" t="s">
        <v>40</v>
      </c>
      <c r="C15" s="7">
        <v>0.15</v>
      </c>
      <c r="D15" s="4" t="s">
        <v>41</v>
      </c>
      <c r="E15" s="2" t="s">
        <v>42</v>
      </c>
      <c r="F15" s="5" t="s">
        <v>43</v>
      </c>
    </row>
    <row r="16" spans="1:6" ht="24" customHeight="1" x14ac:dyDescent="0.35">
      <c r="A16" s="70"/>
      <c r="B16" s="2" t="s">
        <v>44</v>
      </c>
      <c r="C16" s="7">
        <v>0.05</v>
      </c>
      <c r="D16" s="4" t="s">
        <v>41</v>
      </c>
      <c r="E16" s="2" t="s">
        <v>45</v>
      </c>
      <c r="F16" s="5" t="s">
        <v>46</v>
      </c>
    </row>
    <row r="17" spans="1:6" ht="24" customHeight="1" x14ac:dyDescent="0.35">
      <c r="A17" s="70"/>
      <c r="B17" s="2" t="s">
        <v>47</v>
      </c>
      <c r="C17" s="7">
        <v>1.5</v>
      </c>
      <c r="D17" s="4" t="s">
        <v>41</v>
      </c>
      <c r="E17" s="2" t="s">
        <v>48</v>
      </c>
      <c r="F17" s="5" t="s">
        <v>49</v>
      </c>
    </row>
    <row r="18" spans="1:6" ht="24" customHeight="1" x14ac:dyDescent="0.35">
      <c r="A18" s="70"/>
      <c r="B18" s="2" t="s">
        <v>50</v>
      </c>
      <c r="C18" s="6">
        <v>200</v>
      </c>
      <c r="D18" s="4" t="s">
        <v>29</v>
      </c>
      <c r="E18" s="2" t="s">
        <v>51</v>
      </c>
      <c r="F18" s="5" t="s">
        <v>52</v>
      </c>
    </row>
    <row r="19" spans="1:6" ht="24" customHeight="1" x14ac:dyDescent="0.35">
      <c r="A19" s="70"/>
      <c r="B19" s="2" t="s">
        <v>53</v>
      </c>
      <c r="C19" s="6">
        <v>200</v>
      </c>
      <c r="D19" s="4" t="s">
        <v>29</v>
      </c>
      <c r="E19" s="2" t="s">
        <v>54</v>
      </c>
      <c r="F19" s="5" t="s">
        <v>55</v>
      </c>
    </row>
    <row r="20" spans="1:6" ht="24" customHeight="1" x14ac:dyDescent="0.35">
      <c r="A20" s="70"/>
      <c r="B20" s="2" t="s">
        <v>56</v>
      </c>
      <c r="C20" s="6">
        <v>10</v>
      </c>
      <c r="D20" s="4" t="s">
        <v>29</v>
      </c>
      <c r="E20" s="2" t="s">
        <v>57</v>
      </c>
      <c r="F20" s="5" t="s">
        <v>58</v>
      </c>
    </row>
    <row r="21" spans="1:6" ht="24" customHeight="1" x14ac:dyDescent="0.35">
      <c r="A21" s="70"/>
      <c r="B21" s="8" t="str">
        <f>"Βάρος 1 Λάμας Σύνδεσης (" &amp; C18 &amp; "×" &amp; C19 &amp; "×" &amp; C20 &amp; " mm)"</f>
        <v>Βάρος 1 Λάμας Σύνδεσης (200×200×10 mm)</v>
      </c>
      <c r="C21" s="9">
        <f>(C18/1000)*(C19/1000)*(C20/1000)*7850</f>
        <v>3.1400000000000006</v>
      </c>
      <c r="D21" s="4" t="s">
        <v>59</v>
      </c>
      <c r="E21" s="2" t="s">
        <v>60</v>
      </c>
      <c r="F21" s="5" t="str">
        <f>"Δυναμικός υπολογισμός: (" &amp; C18 &amp; "/1000)×(" &amp; C19 &amp; "/1000)×(" &amp; C20 &amp; "/1000)×7850 = " &amp; TEXT(C21,"0.00") &amp; " kg/τεμ."</f>
        <v>Δυναμικός υπολογισμός: (200/1000)×(200/1000)×(10/1000)×7850 = 3.14 kg/τεμ.</v>
      </c>
    </row>
    <row r="22" spans="1:6" ht="24" customHeight="1" x14ac:dyDescent="0.35">
      <c r="A22" s="70"/>
      <c r="B22" s="2" t="s">
        <v>61</v>
      </c>
      <c r="C22" s="7">
        <v>0.12</v>
      </c>
      <c r="D22" s="4" t="s">
        <v>41</v>
      </c>
      <c r="E22" s="2" t="s">
        <v>62</v>
      </c>
      <c r="F22" s="5" t="s">
        <v>63</v>
      </c>
    </row>
    <row r="23" spans="1:6" ht="24" customHeight="1" x14ac:dyDescent="0.35">
      <c r="A23" s="70"/>
      <c r="B23" s="2" t="s">
        <v>64</v>
      </c>
      <c r="C23" s="7">
        <v>1.2</v>
      </c>
      <c r="D23" s="4" t="s">
        <v>65</v>
      </c>
      <c r="E23" s="2" t="s">
        <v>66</v>
      </c>
      <c r="F23" s="5" t="s">
        <v>67</v>
      </c>
    </row>
    <row r="24" spans="1:6" ht="24" customHeight="1" x14ac:dyDescent="0.35">
      <c r="A24" s="71"/>
      <c r="B24" s="10" t="s">
        <v>68</v>
      </c>
      <c r="C24" s="11">
        <v>1</v>
      </c>
      <c r="D24" s="12" t="s">
        <v>41</v>
      </c>
      <c r="E24" s="10" t="s">
        <v>69</v>
      </c>
      <c r="F24" s="13" t="s">
        <v>70</v>
      </c>
    </row>
    <row r="26" spans="1:6" ht="24" customHeight="1" x14ac:dyDescent="0.35">
      <c r="A26" s="63" t="str">
        <f>"📦 ΚΟΥΤΙ TYPE A — ΤΟΙΧΟΣ ΑΝΤΙΣΤΗΡΙΞΗΣ Π1 (2×" &amp; C36 &amp; " | " &amp; C27 &amp; " ΠΑΣΣΑΛΟΙ × " &amp; TEXT(C28,"0.00") &amp; "m = " &amp; TEXT(C29,"0.00") &amp; " τρ.μ. | H_exc = " &amp; TEXT(C31,"0.00") &amp; "m)"</f>
        <v>📦 ΚΟΥΤΙ TYPE A — ΤΟΙΧΟΣ ΑΝΤΙΣΤΗΡΙΞΗΣ Π1 (2×UPN 300 | 35 ΠΑΣΣΑΛΟΙ × 2.00m = 70.00 τρ.μ. | H_exc = 7.95m)</v>
      </c>
      <c r="B26" s="64"/>
      <c r="C26" s="64"/>
      <c r="D26" s="64"/>
      <c r="E26" s="64"/>
      <c r="F26" s="65"/>
    </row>
    <row r="27" spans="1:6" ht="24" customHeight="1" x14ac:dyDescent="0.35">
      <c r="A27" s="69" t="s">
        <v>71</v>
      </c>
      <c r="B27" s="2" t="s">
        <v>72</v>
      </c>
      <c r="C27" s="6">
        <v>35</v>
      </c>
      <c r="D27" s="4" t="s">
        <v>73</v>
      </c>
      <c r="E27" s="2" t="s">
        <v>74</v>
      </c>
      <c r="F27" s="5" t="s">
        <v>75</v>
      </c>
    </row>
    <row r="28" spans="1:6" ht="24" customHeight="1" x14ac:dyDescent="0.35">
      <c r="A28" s="70"/>
      <c r="B28" s="2" t="s">
        <v>76</v>
      </c>
      <c r="C28" s="7">
        <v>2</v>
      </c>
      <c r="D28" s="4" t="s">
        <v>41</v>
      </c>
      <c r="E28" s="2" t="s">
        <v>77</v>
      </c>
      <c r="F28" s="5" t="s">
        <v>78</v>
      </c>
    </row>
    <row r="29" spans="1:6" ht="24" customHeight="1" x14ac:dyDescent="0.35">
      <c r="A29" s="70"/>
      <c r="B29" s="8" t="str">
        <f>"Αναπτυγμένο Μήκος Μετώπου Type A (" &amp; C27 &amp; " × " &amp; TEXT(C28,"0.00") &amp; " m)"</f>
        <v>Αναπτυγμένο Μήκος Μετώπου Type A (35 × 2.00 m)</v>
      </c>
      <c r="C29" s="9">
        <f>C27*C28</f>
        <v>70</v>
      </c>
      <c r="D29" s="4" t="s">
        <v>41</v>
      </c>
      <c r="E29" s="2" t="s">
        <v>79</v>
      </c>
      <c r="F29" s="5" t="str">
        <f>"Δυναμικός υπολογισμός περιμέτρου αντιστήριξης: " &amp; C27 &amp; " διαστήματα × " &amp; TEXT(C28,"0.00") &amp; " m = " &amp; TEXT(C29,"0.00") &amp; " m."</f>
        <v>Δυναμικός υπολογισμός περιμέτρου αντιστήριξης: 35 διαστήματα × 2.00 m = 70.00 m.</v>
      </c>
    </row>
    <row r="30" spans="1:6" ht="24" customHeight="1" x14ac:dyDescent="0.35">
      <c r="A30" s="70"/>
      <c r="B30" s="2" t="s">
        <v>80</v>
      </c>
      <c r="C30" s="7">
        <v>0.8</v>
      </c>
      <c r="D30" s="4" t="s">
        <v>41</v>
      </c>
      <c r="E30" s="2" t="s">
        <v>81</v>
      </c>
      <c r="F30" s="5" t="s">
        <v>82</v>
      </c>
    </row>
    <row r="31" spans="1:6" ht="34" customHeight="1" x14ac:dyDescent="0.35">
      <c r="A31" s="70"/>
      <c r="B31" s="8" t="s">
        <v>83</v>
      </c>
      <c r="C31" s="7">
        <v>7.95</v>
      </c>
      <c r="D31" s="4" t="s">
        <v>41</v>
      </c>
      <c r="E31" s="2" t="s">
        <v>84</v>
      </c>
      <c r="F31" s="14" t="s">
        <v>85</v>
      </c>
    </row>
    <row r="32" spans="1:6" ht="24" customHeight="1" x14ac:dyDescent="0.35">
      <c r="A32" s="70"/>
      <c r="B32" s="2" t="s">
        <v>86</v>
      </c>
      <c r="C32" s="7">
        <v>4</v>
      </c>
      <c r="D32" s="4" t="s">
        <v>41</v>
      </c>
      <c r="E32" s="2" t="s">
        <v>87</v>
      </c>
      <c r="F32" s="5" t="s">
        <v>88</v>
      </c>
    </row>
    <row r="33" spans="1:6" ht="34" customHeight="1" x14ac:dyDescent="0.35">
      <c r="A33" s="70"/>
      <c r="B33" s="8" t="s">
        <v>89</v>
      </c>
      <c r="C33" s="7">
        <v>11.95</v>
      </c>
      <c r="D33" s="4" t="s">
        <v>41</v>
      </c>
      <c r="E33" s="2" t="s">
        <v>90</v>
      </c>
      <c r="F33" s="14" t="s">
        <v>91</v>
      </c>
    </row>
    <row r="34" spans="1:6" ht="34" customHeight="1" x14ac:dyDescent="0.35">
      <c r="A34" s="70"/>
      <c r="B34" s="8" t="s">
        <v>92</v>
      </c>
      <c r="C34" s="15"/>
      <c r="D34" s="4" t="s">
        <v>41</v>
      </c>
      <c r="E34" s="2" t="s">
        <v>93</v>
      </c>
      <c r="F34" s="16" t="str">
        <f>IF(ISBLANK(C34), "[!!! ΕΛΛΕΙΨΗ WPL / CUT-OFF LEVEL — ΚΟΚΚΙΝΟ ΚΕΛΙ !!!]: Δεν δόθηκε WPL / Cut-Off Level στη μελέτη. Θεωρείται ότι το ύψος εκσκαφής/διάτρησης ισούται με το μήκος της νέφκας (" &amp; TEXT(C33,"0.00") &amp; " m). Συμπληρώστε εδώ το ύψος εκσκαφής βάσει WPL αν διαφέρει!", "[ΕΦΑΡΜΟΓΗ WPL / CUT-OFF LEVEL]: Το ύψος εκσκαφής/διάτρησης νεφκών ορίστηκε βάσει WPL σε " &amp; TEXT(C34,"0.00") &amp; " m (αντί " &amp; TEXT(C33,"0.00") &amp; " m της νέφκας χάλυβα).")</f>
        <v>[!!! ΕΛΛΕΙΨΗ WPL / CUT-OFF LEVEL — ΚΟΚΚΙΝΟ ΚΕΛΙ !!!]: Δεν δόθηκε WPL / Cut-Off Level στη μελέτη. Θεωρείται ότι το ύψος εκσκαφής/διάτρησης ισούται με το μήκος της νέφκας (11.95 m). Συμπληρώστε εδώ το ύψος εκσκαφής βάσει WPL αν διαφέρει!</v>
      </c>
    </row>
    <row r="35" spans="1:6" ht="24" customHeight="1" x14ac:dyDescent="0.35">
      <c r="A35" s="70"/>
      <c r="B35" s="8" t="s">
        <v>94</v>
      </c>
      <c r="C35" s="9">
        <f>IF(ISBLANK(C34), C33, C34)</f>
        <v>11.95</v>
      </c>
      <c r="D35" s="4" t="s">
        <v>41</v>
      </c>
      <c r="E35" s="2" t="s">
        <v>95</v>
      </c>
      <c r="F35" s="5" t="str">
        <f>"Χρησιμοποιείται αποκλειστικά για τα μέτρα διάτρησης (" &amp; TEXT(C35,"0.00") &amp; " m/οπή) και τα κυβικά εκσκαφής νεφκών (m³), χωρίς να αλλοιώνει το μήκος χάλυβα L_beam (" &amp; TEXT(C33,"0.00") &amp; " m)."</f>
        <v>Χρησιμοποιείται αποκλειστικά για τα μέτρα διάτρησης (11.95 m/οπή) και τα κυβικά εκσκαφής νεφκών (m³), χωρίς να αλλοιώνει το μήκος χάλυβα L_beam (11.95 m).</v>
      </c>
    </row>
    <row r="36" spans="1:6" ht="24" customHeight="1" x14ac:dyDescent="0.35">
      <c r="A36" s="70"/>
      <c r="B36" s="2" t="s">
        <v>96</v>
      </c>
      <c r="C36" s="3" t="s">
        <v>97</v>
      </c>
      <c r="D36" s="4" t="s">
        <v>13</v>
      </c>
      <c r="E36" s="2" t="s">
        <v>98</v>
      </c>
      <c r="F36" s="5" t="s">
        <v>99</v>
      </c>
    </row>
    <row r="37" spans="1:6" ht="24" customHeight="1" x14ac:dyDescent="0.35">
      <c r="A37" s="70"/>
      <c r="B37" s="2" t="s">
        <v>100</v>
      </c>
      <c r="C37" s="6">
        <v>2</v>
      </c>
      <c r="D37" s="4" t="s">
        <v>101</v>
      </c>
      <c r="E37" s="2" t="s">
        <v>102</v>
      </c>
      <c r="F37" s="5" t="s">
        <v>103</v>
      </c>
    </row>
    <row r="38" spans="1:6" ht="24" customHeight="1" x14ac:dyDescent="0.35">
      <c r="A38" s="70"/>
      <c r="B38" s="8" t="str">
        <f>"Θεωρητικό Βάρος 1 Προφίλ (" &amp; C36 &amp; ") ανά Μέτρο"</f>
        <v>Θεωρητικό Βάρος 1 Προφίλ (UPN 300) ανά Μέτρο</v>
      </c>
      <c r="C38" s="9">
        <f>'3_Πίνακες_Διατομών_Χάλυβα'!G38</f>
        <v>46.2</v>
      </c>
      <c r="D38" s="4" t="s">
        <v>104</v>
      </c>
      <c r="E38" s="2" t="s">
        <v>105</v>
      </c>
      <c r="F38" s="5" t="str">
        <f>"Αυτόματη άντληση από Φύλλο 3: 1 × " &amp; C36 &amp; " = " &amp; TEXT(C38,"0.00") &amp; " kg/m (Σύνολο " &amp; C37 &amp; "×" &amp; TEXT(C38,"0.00") &amp; " = " &amp; TEXT(C37*C38,"0.00") &amp; " kg/m ανά πάσσαλο Π1)."</f>
        <v>Αυτόματη άντληση από Φύλλο 3: 1 × UPN 300 = 46.20 kg/m (Σύνολο 2×46.20 = 92.40 kg/m ανά πάσσαλο Π1).</v>
      </c>
    </row>
    <row r="39" spans="1:6" ht="24" customHeight="1" x14ac:dyDescent="0.35">
      <c r="A39" s="70"/>
      <c r="B39" s="2" t="s">
        <v>106</v>
      </c>
      <c r="C39" s="3" t="s">
        <v>107</v>
      </c>
      <c r="D39" s="4" t="s">
        <v>13</v>
      </c>
      <c r="E39" s="2" t="s">
        <v>108</v>
      </c>
      <c r="F39" s="5" t="s">
        <v>109</v>
      </c>
    </row>
    <row r="40" spans="1:6" ht="24" customHeight="1" x14ac:dyDescent="0.35">
      <c r="A40" s="70"/>
      <c r="B40" s="2" t="s">
        <v>110</v>
      </c>
      <c r="C40" s="6">
        <v>2</v>
      </c>
      <c r="D40" s="4" t="s">
        <v>111</v>
      </c>
      <c r="E40" s="2" t="s">
        <v>112</v>
      </c>
      <c r="F40" s="5" t="s">
        <v>113</v>
      </c>
    </row>
    <row r="41" spans="1:6" ht="24" customHeight="1" x14ac:dyDescent="0.35">
      <c r="A41" s="70"/>
      <c r="B41" s="8" t="s">
        <v>114</v>
      </c>
      <c r="C41" s="17">
        <f>C27</f>
        <v>35</v>
      </c>
      <c r="D41" s="4" t="s">
        <v>115</v>
      </c>
      <c r="E41" s="2" t="s">
        <v>116</v>
      </c>
      <c r="F41" s="5" t="str">
        <f>"1 αγκύρωση ανά πάσσαλο Π1 (διέρχεται ανάμεσα στα 2 UPN 300) = " &amp; C41 &amp; " αγκυρώσεις ανά σειρά."</f>
        <v>1 αγκύρωση ανά πάσσαλο Π1 (διέρχεται ανάμεσα στα 2 UPN 300) = 35 αγκυρώσεις ανά σειρά.</v>
      </c>
    </row>
    <row r="42" spans="1:6" ht="24" customHeight="1" x14ac:dyDescent="0.35">
      <c r="A42" s="70"/>
      <c r="B42" s="2" t="s">
        <v>117</v>
      </c>
      <c r="C42" s="7">
        <v>9</v>
      </c>
      <c r="D42" s="4" t="s">
        <v>41</v>
      </c>
      <c r="E42" s="2" t="s">
        <v>118</v>
      </c>
      <c r="F42" s="5" t="s">
        <v>119</v>
      </c>
    </row>
    <row r="43" spans="1:6" ht="24" customHeight="1" x14ac:dyDescent="0.35">
      <c r="A43" s="70"/>
      <c r="B43" s="2" t="s">
        <v>120</v>
      </c>
      <c r="C43" s="7">
        <v>6.5</v>
      </c>
      <c r="D43" s="4" t="s">
        <v>41</v>
      </c>
      <c r="E43" s="2" t="s">
        <v>118</v>
      </c>
      <c r="F43" s="5" t="s">
        <v>121</v>
      </c>
    </row>
    <row r="44" spans="1:6" ht="24" customHeight="1" x14ac:dyDescent="0.35">
      <c r="A44" s="70"/>
      <c r="B44" s="8" t="s">
        <v>122</v>
      </c>
      <c r="C44" s="9">
        <f>C42+C43</f>
        <v>15.5</v>
      </c>
      <c r="D44" s="4" t="s">
        <v>41</v>
      </c>
      <c r="E44" s="2" t="s">
        <v>123</v>
      </c>
      <c r="F44" s="5" t="str">
        <f>"Ελεύθερο " &amp; TEXT(C42,"0.00") &amp; " m + Πακτωμένο " &amp; TEXT(C43,"0.00") &amp; " m = " &amp; TEXT(C44,"0.00") &amp; " m ανά αγκύρωση Σειράς 1."</f>
        <v>Ελεύθερο 9.00 m + Πακτωμένο 6.50 m = 15.50 m ανά αγκύρωση Σειράς 1.</v>
      </c>
    </row>
    <row r="45" spans="1:6" ht="24" customHeight="1" x14ac:dyDescent="0.35">
      <c r="A45" s="70"/>
      <c r="B45" s="2" t="s">
        <v>124</v>
      </c>
      <c r="C45" s="7">
        <v>4.5</v>
      </c>
      <c r="D45" s="4" t="s">
        <v>41</v>
      </c>
      <c r="E45" s="2" t="s">
        <v>125</v>
      </c>
      <c r="F45" s="5" t="s">
        <v>126</v>
      </c>
    </row>
    <row r="46" spans="1:6" ht="24" customHeight="1" x14ac:dyDescent="0.35">
      <c r="A46" s="70"/>
      <c r="B46" s="2" t="s">
        <v>127</v>
      </c>
      <c r="C46" s="7">
        <v>10</v>
      </c>
      <c r="D46" s="4" t="s">
        <v>41</v>
      </c>
      <c r="E46" s="2" t="s">
        <v>125</v>
      </c>
      <c r="F46" s="5" t="s">
        <v>128</v>
      </c>
    </row>
    <row r="47" spans="1:6" ht="24" customHeight="1" x14ac:dyDescent="0.35">
      <c r="A47" s="70"/>
      <c r="B47" s="8" t="s">
        <v>129</v>
      </c>
      <c r="C47" s="9">
        <f>C45+C46</f>
        <v>14.5</v>
      </c>
      <c r="D47" s="4" t="s">
        <v>41</v>
      </c>
      <c r="E47" s="2" t="s">
        <v>123</v>
      </c>
      <c r="F47" s="5" t="str">
        <f>"Ελεύθερο " &amp; TEXT(C45,"0.00") &amp; " m + Πακτωμένο " &amp; TEXT(C46,"0.00") &amp; " m = " &amp; TEXT(C47,"0.00") &amp; " m ανά αγκύρωση Σειράς 2."</f>
        <v>Ελεύθερο 4.50 m + Πακτωμένο 10.00 m = 14.50 m ανά αγκύρωση Σειράς 2.</v>
      </c>
    </row>
    <row r="48" spans="1:6" ht="24" customHeight="1" x14ac:dyDescent="0.35">
      <c r="A48" s="71"/>
      <c r="B48" s="10" t="s">
        <v>130</v>
      </c>
      <c r="C48" s="18">
        <v>4</v>
      </c>
      <c r="D48" s="12" t="s">
        <v>131</v>
      </c>
      <c r="E48" s="10" t="s">
        <v>132</v>
      </c>
      <c r="F48" s="13" t="s">
        <v>133</v>
      </c>
    </row>
    <row r="50" spans="1:6" ht="24" customHeight="1" x14ac:dyDescent="0.35">
      <c r="A50" s="72" t="s">
        <v>134</v>
      </c>
      <c r="B50" s="62"/>
      <c r="C50" s="62"/>
      <c r="D50" s="62"/>
      <c r="E50" s="62"/>
      <c r="F50" s="62"/>
    </row>
    <row r="51" spans="1:6" ht="24" customHeight="1" x14ac:dyDescent="0.35">
      <c r="A51" s="1" t="s">
        <v>135</v>
      </c>
      <c r="B51" s="1" t="s">
        <v>136</v>
      </c>
      <c r="C51" s="1" t="s">
        <v>137</v>
      </c>
      <c r="D51" s="1" t="s">
        <v>6</v>
      </c>
      <c r="E51" s="1" t="s">
        <v>138</v>
      </c>
      <c r="F51" s="1" t="s">
        <v>139</v>
      </c>
    </row>
    <row r="52" spans="1:6" ht="22" customHeight="1" x14ac:dyDescent="0.35">
      <c r="A52" s="66" t="s">
        <v>140</v>
      </c>
      <c r="B52" s="64"/>
      <c r="C52" s="64"/>
      <c r="D52" s="64"/>
      <c r="E52" s="64"/>
      <c r="F52" s="65"/>
    </row>
    <row r="53" spans="1:6" ht="22" customHeight="1" x14ac:dyDescent="0.35">
      <c r="A53" s="19" t="s">
        <v>141</v>
      </c>
      <c r="B53" s="2" t="str">
        <f>"Τρέχοντα Μέτρα Ράβδων Σχάρας (Y" &amp; C11 &amp; " / " &amp; C12 &amp; "×" &amp; C13 &amp; " mm) ανά 1 m²"</f>
        <v>Τρέχοντα Μέτρα Ράβδων Σχάρας (Y10 / 150×150 mm) ανά 1 m²</v>
      </c>
      <c r="C53" s="9">
        <f>ROUND((1000/C12)+(1000/C13), 4)</f>
        <v>13.333299999999999</v>
      </c>
      <c r="D53" s="4" t="s">
        <v>142</v>
      </c>
      <c r="E53" s="20" t="str">
        <f>"1000/" &amp; C12 &amp; " + 1000/" &amp; C13 &amp; " = " &amp; TEXT(C53,"0.00") &amp; " m/m²"</f>
        <v>1000/150 + 1000/150 = 13.33 m/m²</v>
      </c>
      <c r="F53" s="5" t="str">
        <f>"Συνολικό μήκος ράβδων Y" &amp; C11 &amp; " σε 1 m² μετώπου."</f>
        <v>Συνολικό μήκος ράβδων Y10 σε 1 m² μετώπου.</v>
      </c>
    </row>
    <row r="54" spans="1:6" ht="22" customHeight="1" x14ac:dyDescent="0.35">
      <c r="A54" s="19" t="s">
        <v>143</v>
      </c>
      <c r="B54" s="2" t="str">
        <f>"Θεωρητικό Βάρος Ράβδου Y" &amp; C11 &amp; " ανά Μέτρο"</f>
        <v>Θεωρητικό Βάρος Ράβδου Y10 ανά Μέτρο</v>
      </c>
      <c r="C54" s="21">
        <f>ROUND((PI()*((C11/1000)^2)/4)*7850, 4)</f>
        <v>0.61650000000000005</v>
      </c>
      <c r="D54" s="4" t="s">
        <v>104</v>
      </c>
      <c r="E54" s="20" t="str">
        <f>"π × (" &amp; C11 &amp; "/1000)² / 4 × 7850 = " &amp; TEXT(C54,"0.000") &amp; " kg/m"</f>
        <v>π × (10/1000)² / 4 × 7850 = 0.617 kg/m</v>
      </c>
      <c r="F54" s="5" t="str">
        <f>"Βάρος ράβδου B500C διαμέτρου " &amp; C11 &amp; " mm."</f>
        <v>Βάρος ράβδου B500C διαμέτρου 10 mm.</v>
      </c>
    </row>
    <row r="55" spans="1:6" ht="22" customHeight="1" x14ac:dyDescent="0.35">
      <c r="A55" s="19" t="s">
        <v>144</v>
      </c>
      <c r="B55" s="2" t="str">
        <f>"Υπολογιστικό Βάρος Σχάρας Μετώπου (Y" &amp; C11 &amp; "/" &amp; C12 &amp; "×" &amp; C13 &amp; ") ανά 1 m²"</f>
        <v>Υπολογιστικό Βάρος Σχάρας Μετώπου (Y10/150×150) ανά 1 m²</v>
      </c>
      <c r="C55" s="21">
        <f>ROUND(C53*C54, 3)</f>
        <v>8.2200000000000006</v>
      </c>
      <c r="D55" s="4" t="s">
        <v>145</v>
      </c>
      <c r="E55" s="20" t="str">
        <f>"=" &amp; TEXT(C53,"0.00") &amp; " m/m² × " &amp; TEXT(C54,"0.000") &amp; " kg/m = " &amp; TEXT(C55,"0.000") &amp; " kg/m²"</f>
        <v>=13.33 m/m² × 0.617 kg/m = 8.220 kg/m²</v>
      </c>
      <c r="F55" s="5" t="str">
        <f>"Επιφανειακό βάρος σχάρας εκτοξευόμενου σκυροδέματος."</f>
        <v>Επιφανειακό βάρος σχάρας εκτοξευόμενου σκυροδέματος.</v>
      </c>
    </row>
    <row r="56" spans="1:6" ht="22" customHeight="1" x14ac:dyDescent="0.35">
      <c r="A56" s="19" t="s">
        <v>146</v>
      </c>
      <c r="B56" s="2" t="str">
        <f>"Ποσοστό Απώλειας / Αναπήδησης Shotcrete (+" &amp; TEXT(C16,"0.00") &amp; "m επί " &amp; TEXT(C15,"0.00") &amp; "m)"</f>
        <v>Ποσοστό Απώλειας / Αναπήδησης Shotcrete (+0.05m επί 0.15m)</v>
      </c>
      <c r="C56" s="22">
        <f>C16/C15</f>
        <v>0.33333333333333337</v>
      </c>
      <c r="D56" s="4" t="s">
        <v>147</v>
      </c>
      <c r="E56" s="20" t="str">
        <f>"=" &amp; TEXT(C16,"0.00") &amp; " m / " &amp; TEXT(C15,"0.00") &amp; " m = " &amp; TEXT(C56,"0.0%")</f>
        <v>=0.05 m / 0.15 m = 33.3%</v>
      </c>
      <c r="F56" s="5" t="str">
        <f>"Ενσωματώνεται στην τιμή μονάδας εκτόξευσης Shotcrete στο Φύλλο 2."</f>
        <v>Ενσωματώνεται στην τιμή μονάδας εκτόξευσης Shotcrete στο Φύλλο 2.</v>
      </c>
    </row>
    <row r="57" spans="1:6" ht="22" customHeight="1" x14ac:dyDescent="0.35">
      <c r="A57" s="19" t="s">
        <v>148</v>
      </c>
      <c r="B57" s="2" t="str">
        <f>"Όγκος Εκσκαφής / Σκυροδέματος Οπής Πασσάλου (Ø" &amp; TEXT(C30*1000,"0") &amp; " mm) ανά Μέτρο"</f>
        <v>Όγκος Εκσκαφής / Σκυροδέματος Οπής Πασσάλου (Ø800 mm) ανά Μέτρο</v>
      </c>
      <c r="C57" s="23">
        <f>PI()*((C30/2)^2)</f>
        <v>0.50265482457436694</v>
      </c>
      <c r="D57" s="4" t="s">
        <v>149</v>
      </c>
      <c r="E57" s="20" t="str">
        <f>"π × (" &amp; TEXT(C30,"0.00") &amp; "/2)² = " &amp; TEXT(C57,"0.0000") &amp; " m³/m"</f>
        <v>π × (0.80/2)² = 0.5027 m³/m</v>
      </c>
      <c r="F57" s="5" t="str">
        <f>"Διατομή οπής Ø" &amp; TEXT(C30*1000,"0") &amp; " mm μεγάλου διατρητικού."</f>
        <v>Διατομή οπής Ø800 mm μεγάλου διατρητικού.</v>
      </c>
    </row>
    <row r="58" spans="1:6" ht="22" customHeight="1" x14ac:dyDescent="0.35">
      <c r="A58" s="19" t="s">
        <v>150</v>
      </c>
      <c r="B58" s="2" t="str">
        <f>"Όγκος Grout Αγκυρώσεων (Ø" &amp; TEXT(C22*1000,"0") &amp; " mm, συντ. ×" &amp; TEXT(C23,"0.00") &amp; ") ανά Μέτρο"</f>
        <v>Όγκος Grout Αγκυρώσεων (Ø120 mm, συντ. ×1.20) ανά Μέτρο</v>
      </c>
      <c r="C58" s="23">
        <f>PI()*((C22/2)^2)*C23</f>
        <v>1.3571680263507906E-2</v>
      </c>
      <c r="D58" s="4" t="s">
        <v>149</v>
      </c>
      <c r="E58" s="20" t="str">
        <f>"π × (" &amp; TEXT(C22,"0.00") &amp; "/2)² × " &amp; TEXT(C23,"0.00") &amp; " = " &amp; TEXT(C58,"0.0000") &amp; " m³/m"</f>
        <v>π × (0.12/2)² × 1.20 = 0.0136 m³/m</v>
      </c>
      <c r="F58" s="5" t="str">
        <f>"Κατανάλωση τσιμεντενέματος ανά τρέχον μέτρο διάτρησης αγκυρίου."</f>
        <v>Κατανάλωση τσιμεντενέματος ανά τρέχον μέτρο διάτρησης αγκυρίου.</v>
      </c>
    </row>
    <row r="59" spans="1:6" ht="22" customHeight="1" x14ac:dyDescent="0.35">
      <c r="A59" s="19" t="s">
        <v>151</v>
      </c>
      <c r="B59" s="2" t="str">
        <f>"Στράτες Μεγάλου Τρυπανιού (Piling Rig — Απόσταση " &amp; C9 &amp; " km)"</f>
        <v>Στράτες Μεγάλου Τρυπανιού (Piling Rig — Απόσταση 15 km)</v>
      </c>
      <c r="C59" s="17">
        <f>1</f>
        <v>1</v>
      </c>
      <c r="D59" s="4" t="s">
        <v>152</v>
      </c>
      <c r="E59" s="20" t="str">
        <f>"1 στράτα μεταφοράς μεγάλου διατρητικού μηχανήματος"</f>
        <v>1 στράτα μεταφοράς μεγάλου διατρητικού μηχανήματος</v>
      </c>
      <c r="F59" s="5" t="str">
        <f>"Σύνδεση με Κουτί ΠΥΛ. 1 στο Φύλλο 2."</f>
        <v>Σύνδεση με Κουτί ΠΥΛ. 1 στο Φύλλο 2.</v>
      </c>
    </row>
    <row r="60" spans="1:6" ht="22" customHeight="1" x14ac:dyDescent="0.35">
      <c r="A60" s="19" t="s">
        <v>153</v>
      </c>
      <c r="B60" s="2" t="str">
        <f>"Στράτες Εξοπλισμού Αγκυρώσεων (" &amp; C40 &amp; " οριζόντιες σειρές αγκυρώσεων)"</f>
        <v>Στράτες Εξοπλισμού Αγκυρώσεων (2 οριζόντιες σειρές αγκυρώσεων)</v>
      </c>
      <c r="C60" s="17">
        <f>C40</f>
        <v>2</v>
      </c>
      <c r="D60" s="4" t="s">
        <v>152</v>
      </c>
      <c r="E60" s="20" t="str">
        <f>"=" &amp; C40 &amp; " οριζόντιες σειρές αγκυρώσεων = " &amp; C60 &amp; " στράτες"</f>
        <v>=2 οριζόντιες σειρές αγκυρώσεων = 2 στράτες</v>
      </c>
      <c r="F60" s="5" t="str">
        <f>"1 στράτα ανά οριζόντια σειρά αγκυρώσεων."</f>
        <v>1 στράτα ανά οριζόντια σειρά αγκυρώσεων.</v>
      </c>
    </row>
    <row r="61" spans="1:6" ht="22" customHeight="1" x14ac:dyDescent="0.35">
      <c r="A61" s="24" t="s">
        <v>154</v>
      </c>
      <c r="B61" s="10" t="str">
        <f>"Στράτες Συνεργείου &amp; Αντλίας Shotcrete (" &amp; C40 &amp; " σειρές + 1)"</f>
        <v>Στράτες Συνεργείου &amp; Αντλίας Shotcrete (2 σειρές + 1)</v>
      </c>
      <c r="C61" s="25">
        <f>C40+1</f>
        <v>3</v>
      </c>
      <c r="D61" s="12" t="s">
        <v>152</v>
      </c>
      <c r="E61" s="26" t="str">
        <f>"=" &amp; C40 &amp; " σειρές + 1 = " &amp; C61 &amp; " στράτες"</f>
        <v>=2 σειρές + 1 = 3 στράτες</v>
      </c>
      <c r="F61" s="13" t="str">
        <f>"Σειρές αγκυρώσεων + 1 επιπλέον στράτα για τελικό πόδι εκσκαφής."</f>
        <v>Σειρές αγκυρώσεων + 1 επιπλέον στράτα για τελικό πόδι εκσκαφής.</v>
      </c>
    </row>
    <row r="63" spans="1:6" ht="24" customHeight="1" x14ac:dyDescent="0.35">
      <c r="A63" s="63" t="str">
        <f>"📦 ΚΟΥΤΙ ΥΠΟΛΟΓΙΣΜΩΝ TYPE A — ΤΟΙΧΟΣ ΑΝΤΙΣΤΗΡΙΞΗΣ Π1 (" &amp; C27 &amp; " ΠΑΣΣΑΛΟΙ | " &amp; TEXT(C29,"0.00") &amp; " τρ.μ. | ΕΜΒΑΔΟΝ " &amp; TEXT(C71,"#,##0.00") &amp; " m²)"</f>
        <v>📦 ΚΟΥΤΙ ΥΠΟΛΟΓΙΣΜΩΝ TYPE A — ΤΟΙΧΟΣ ΑΝΤΙΣΤΗΡΙΞΗΣ Π1 (35 ΠΑΣΣΑΛΟΙ | 70.00 τρ.μ. | ΕΜΒΑΔΟΝ 556.50 m²)</v>
      </c>
      <c r="B63" s="64"/>
      <c r="C63" s="64"/>
      <c r="D63" s="64"/>
      <c r="E63" s="64"/>
      <c r="F63" s="65"/>
    </row>
    <row r="64" spans="1:6" ht="22" customHeight="1" x14ac:dyDescent="0.35">
      <c r="A64" s="19" t="s">
        <v>155</v>
      </c>
      <c r="B64" s="2" t="str">
        <f>"Διάτρηση Μεγάλου Τρυπανιού Type A (Ø" &amp; TEXT(C30*1000,"0") &amp; " mm, Βάθος WPL/Μελέτης " &amp; TEXT(C35,"0.00") &amp; " m)"</f>
        <v>Διάτρηση Μεγάλου Τρυπανιού Type A (Ø800 mm, Βάθος WPL/Μελέτης 11.95 m)</v>
      </c>
      <c r="C64" s="9">
        <f>ROUND(C27*C35, 2)</f>
        <v>418.25</v>
      </c>
      <c r="D64" s="4" t="s">
        <v>41</v>
      </c>
      <c r="E64" s="20" t="str">
        <f>"=" &amp; C27 &amp; " οπές × " &amp; TEXT(C35,"0.00") &amp; " m = " &amp; TEXT(C64,"#,##0.00") &amp; " m"</f>
        <v>=35 οπές × 11.95 m = 418.25 m</v>
      </c>
      <c r="F64" s="5" t="str">
        <f>IF(ISBLANK(C34), "Υπολογισμός με L_beam = " &amp; TEXT(C33,"0.00") &amp; " m (ελλείψει WPL).", "Υπολογισμός βάσει WPL = " &amp; TEXT(C34,"0.00") &amp; " m.")</f>
        <v>Υπολογισμός με L_beam = 11.95 m (ελλείψει WPL).</v>
      </c>
    </row>
    <row r="65" spans="1:6" ht="22" customHeight="1" x14ac:dyDescent="0.35">
      <c r="A65" s="19" t="s">
        <v>156</v>
      </c>
      <c r="B65" s="2" t="str">
        <f>"Συνολικός Όγκος Εκσκαφής Οπών Νεφκών Type A (Ø" &amp; TEXT(C30*1000,"0") &amp; " mm βάσει WPL/Μελέτης)"</f>
        <v>Συνολικός Όγκος Εκσκαφής Οπών Νεφκών Type A (Ø800 mm βάσει WPL/Μελέτης)</v>
      </c>
      <c r="C65" s="9">
        <f>ROUND(C64*C57, 2)</f>
        <v>210.24</v>
      </c>
      <c r="D65" s="4" t="s">
        <v>157</v>
      </c>
      <c r="E65" s="20" t="str">
        <f>"=" &amp; TEXT(C64,"#,##0.00") &amp; " m × " &amp; TEXT(C57,"0.0000") &amp; " m³/m = " &amp; TEXT(C65,"#,##0.00") &amp; " m³"</f>
        <v>=418.25 m × 0.5027 m³/m = 210.24 m³</v>
      </c>
      <c r="F65" s="5" t="str">
        <f>"Αλλάζει αυτόματα αν συμπληρωθεί διαφορετικό ύψος στο κόκκινο κελί WPL (C34)."</f>
        <v>Αλλάζει αυτόματα αν συμπληρωθεί διαφορετικό ύψος στο κόκκινο κελί WPL (C34).</v>
      </c>
    </row>
    <row r="66" spans="1:6" ht="22" customHeight="1" x14ac:dyDescent="0.35">
      <c r="A66" s="19" t="s">
        <v>158</v>
      </c>
      <c r="B66" s="2" t="str">
        <f>"Χάλυβας Νεφκών Type A (" &amp; C37 &amp; " × " &amp; C36 &amp; " = " &amp; TEXT(C37*C38,"0.00") &amp; " kg/m, Μήκος " &amp; TEXT(C33,"0.00") &amp; " m)"</f>
        <v>Χάλυβας Νεφκών Type A (2 × UPN 300 = 92.40 kg/m, Μήκος 11.95 m)</v>
      </c>
      <c r="C66" s="9">
        <f>ROUND(C27*C37*C33*C38, 2)</f>
        <v>38646.300000000003</v>
      </c>
      <c r="D66" s="4" t="s">
        <v>159</v>
      </c>
      <c r="E66" s="20" t="str">
        <f>"=" &amp; C27 &amp; " οπές × " &amp; C37 &amp; " προφίλ × " &amp; TEXT(C33,"0.00") &amp; " m × " &amp; TEXT(C38,"0.00") &amp; " kg/m = " &amp; TEXT(C66,"#,##0.00") &amp; " kg"</f>
        <v>=35 οπές × 2 προφίλ × 11.95 m × 46.20 kg/m = 38,646.30 kg</v>
      </c>
      <c r="F66" s="5" t="str">
        <f>"Ανεξάρτητο από το WPL (υπολογίζεται πάντα με το μήκος χάλυβα L_beam = " &amp; TEXT(C33,"0.00") &amp; " m)."</f>
        <v>Ανεξάρτητο από το WPL (υπολογίζεται πάντα με το μήκος χάλυβα L_beam = 11.95 m).</v>
      </c>
    </row>
    <row r="67" spans="1:6" ht="22" customHeight="1" x14ac:dyDescent="0.35">
      <c r="A67" s="19" t="s">
        <v>160</v>
      </c>
      <c r="B67" s="2" t="str">
        <f>"Πλήθος Λαμών Σύνδεσης ανά Πάσσαλο Type A (L_beam " &amp; TEXT(C33,"0.00") &amp; "m / " &amp; TEXT(C17,"0.00") &amp; "m)"</f>
        <v>Πλήθος Λαμών Σύνδεσης ανά Πάσσαλο Type A (L_beam 11.95m / 1.50m)</v>
      </c>
      <c r="C67" s="17">
        <f>ROUNDUP(C33/C17, 0)</f>
        <v>8</v>
      </c>
      <c r="D67" s="4" t="s">
        <v>161</v>
      </c>
      <c r="E67" s="20" t="str">
        <f>"ROUNDUP(" &amp; TEXT(C33,"0.00") &amp; " / " &amp; TEXT(C17,"0.00") &amp; ") = " &amp; C67 &amp; " λάμες/πάσσαλο (Σύνολο " &amp; (C27*C67) &amp; " τεμ.)"</f>
        <v>ROUNDUP(11.95 / 1.50) = 8 λάμες/πάσσαλο (Σύνολο 280 τεμ.)</v>
      </c>
      <c r="F67" s="5" t="str">
        <f>"Κανόνας §3.2.2: L_beam / s_plate = " &amp; TEXT(C33/C17,"0.00") &amp; " -&gt; " &amp; C67 &amp; " τεμ./πάσσαλο."</f>
        <v>Κανόνας §3.2.2: L_beam / s_plate = 7.97 -&gt; 8 τεμ./πάσσαλο.</v>
      </c>
    </row>
    <row r="68" spans="1:6" ht="22" customHeight="1" x14ac:dyDescent="0.35">
      <c r="A68" s="19" t="s">
        <v>162</v>
      </c>
      <c r="B68" s="2" t="str">
        <f>"Συνολικό Βάρος Λαμών Σύνδεσης Type A (" &amp; C18 &amp; "×" &amp; C19 &amp; "×" &amp; C20 &amp; " mm, " &amp; TEXT(C21,"0.00") &amp; " kg/τεμ.)"</f>
        <v>Συνολικό Βάρος Λαμών Σύνδεσης Type A (200×200×10 mm, 3.14 kg/τεμ.)</v>
      </c>
      <c r="C68" s="9">
        <f>ROUND(C27*C67*C21, 2)</f>
        <v>879.2</v>
      </c>
      <c r="D68" s="4" t="s">
        <v>159</v>
      </c>
      <c r="E68" s="20" t="str">
        <f>"=" &amp; C27 &amp; " οπές × " &amp; C67 &amp; " λάμες/οπή × " &amp; TEXT(C21,"0.00") &amp; " kg/τεμ. = " &amp; TEXT(C68,"#,##0.00") &amp; " kg"</f>
        <v>=35 οπές × 8 λάμες/οπή × 3.14 kg/τεμ. = 879.20 kg</v>
      </c>
      <c r="F68" s="5" t="str">
        <f>"Συνολικά " &amp; (C27*C67) &amp; " τεμάχια ελασμάτων σύνδεσης των 2×" &amp; C36 &amp; "."</f>
        <v>Συνολικά 280 τεμάχια ελασμάτων σύνδεσης των 2×UPN 300.</v>
      </c>
    </row>
    <row r="69" spans="1:6" ht="22" customHeight="1" x14ac:dyDescent="0.35">
      <c r="A69" s="19" t="s">
        <v>163</v>
      </c>
      <c r="B69" s="2" t="str">
        <f>"Κουγκρί Πάκτωσης Οπών Νεφκών Type A (Ø" &amp; TEXT(C30*1000,"0") &amp; " mm, H_embed = " &amp; TEXT(C32,"0.00") &amp; " m)"</f>
        <v>Κουγκρί Πάκτωσης Οπών Νεφκών Type A (Ø800 mm, H_embed = 4.00 m)</v>
      </c>
      <c r="C69" s="9">
        <f>ROUND(C27*C57*C32, 2)</f>
        <v>70.37</v>
      </c>
      <c r="D69" s="4" t="s">
        <v>157</v>
      </c>
      <c r="E69" s="20" t="str">
        <f>"=" &amp; C27 &amp; " οπές × " &amp; TEXT(C57,"0.0000") &amp; " m³/m × " &amp; TEXT(C32,"0.00") &amp; " m = " &amp; TEXT(C69,"#,##0.00") &amp; " m³"</f>
        <v>=35 οπές × 0.5027 m³/m × 4.00 m = 70.37 m³</v>
      </c>
      <c r="F69" s="5" t="str">
        <f>"Σκυρόδεμα C30/37 πάκτωσης βάσης πασσάλων (Πορτοκαλί κελί στο Φύλλο 2)."</f>
        <v>Σκυρόδεμα C30/37 πάκτωσης βάσης πασσάλων (Πορτοκαλί κελί στο Φύλλο 2).</v>
      </c>
    </row>
    <row r="70" spans="1:6" ht="22" customHeight="1" x14ac:dyDescent="0.35">
      <c r="A70" s="19" t="s">
        <v>164</v>
      </c>
      <c r="B70" s="2" t="str">
        <f>"Γωνιές Στήριξης (Equal Angles L) Type A (" &amp; C39 &amp; ")"</f>
        <v>Γωνιές Στήριξης (Equal Angles L) Type A (ΟΧΙ)</v>
      </c>
      <c r="C70" s="9">
        <f>IF(C39="ΝΑΙ", ROUND(C27*2*C31*6.38, 2), 0)</f>
        <v>0</v>
      </c>
      <c r="D70" s="4" t="s">
        <v>159</v>
      </c>
      <c r="E70" s="20" t="str">
        <f>IF(C39="ΝΑΙ", "2 γωνιές × " &amp; C27 &amp; " οπές × " &amp; TEXT(C31,"0.00") &amp; " m", "0.00 kg (Δεν ζητούνται γωνιές L στη μελέτη)")</f>
        <v>0.00 kg (Δεν ζητούνται γωνιές L στη μελέτη)</v>
      </c>
      <c r="F70" s="5" t="str">
        <f>"Ενεργοποιείται αυτόματα μόνο εάν τεθεί ΝΑΙ στο κελί C39."</f>
        <v>Ενεργοποιείται αυτόματα μόνο εάν τεθεί ΝΑΙ στο κελί C39.</v>
      </c>
    </row>
    <row r="71" spans="1:6" ht="22" customHeight="1" x14ac:dyDescent="0.35">
      <c r="A71" s="19" t="s">
        <v>165</v>
      </c>
      <c r="B71" s="2" t="str">
        <f>"Εμβαδόν Όψης Εκσκαφής Μετώπου Type A (" &amp; TEXT(C29,"0.00") &amp; " m × " &amp; TEXT(C31,"0.00") &amp; " m)"</f>
        <v>Εμβαδόν Όψης Εκσκαφής Μετώπου Type A (70.00 m × 7.95 m)</v>
      </c>
      <c r="C71" s="9">
        <f>ROUND(C29*C31, 2)</f>
        <v>556.5</v>
      </c>
      <c r="D71" s="4" t="s">
        <v>166</v>
      </c>
      <c r="E71" s="20" t="str">
        <f>"=" &amp; TEXT(C29,"0.00") &amp; " m × " &amp; TEXT(C31,"0.00") &amp; " m = " &amp; TEXT(C71,"#,##0.00") &amp; " m²"</f>
        <v>=70.00 m × 7.95 m = 556.50 m²</v>
      </c>
      <c r="F71" s="5" t="str">
        <f>"Επιφάνεια εφαρμογής σχάρας και εκτοξευόμενου σκυροδέματος."</f>
        <v>Επιφάνεια εφαρμογής σχάρας και εκτοξευόμενου σκυροδέματος.</v>
      </c>
    </row>
    <row r="72" spans="1:6" ht="22" customHeight="1" x14ac:dyDescent="0.35">
      <c r="A72" s="19" t="s">
        <v>167</v>
      </c>
      <c r="B72" s="2" t="str">
        <f>"Συνολικό Βάρος Χάλυβα Σχάρας Type A (Y" &amp; C11 &amp; "/" &amp; C12 &amp; "×" &amp; C13 &amp; " " &amp; C10 &amp; ", " &amp; TEXT(C55,"0.000") &amp; " kg/m²)"</f>
        <v>Συνολικό Βάρος Χάλυβα Σχάρας Type A (Y10/150×150 B500C, 8.220 kg/m²)</v>
      </c>
      <c r="C72" s="9">
        <f>ROUND(C71*C55, 2)</f>
        <v>4574.43</v>
      </c>
      <c r="D72" s="4" t="s">
        <v>159</v>
      </c>
      <c r="E72" s="20" t="str">
        <f>"=" &amp; TEXT(C71,"#,##0.00") &amp; " m² × " &amp; TEXT(C55,"0.000") &amp; " kg/m² = " &amp; TEXT(C72,"#,##0.00") &amp; " kg"</f>
        <v>=556.50 m² × 8.220 kg/m² = 4,574.43 kg</v>
      </c>
      <c r="F72" s="5" t="str">
        <f>"Αγορά χάλυβα σχάρας B500C μετώπου αντιστήριξης."</f>
        <v>Αγορά χάλυβα σχάρας B500C μετώπου αντιστήριξης.</v>
      </c>
    </row>
    <row r="73" spans="1:6" ht="22" customHeight="1" x14ac:dyDescent="0.35">
      <c r="A73" s="19" t="s">
        <v>168</v>
      </c>
      <c r="B73" s="2" t="str">
        <f>"Επιφάνεια Τοποθέτησης Σχάρας Μετώπου Type A (Y" &amp; C11 &amp; "/" &amp; C12 &amp; "×" &amp; C13 &amp; ")"</f>
        <v>Επιφάνεια Τοποθέτησης Σχάρας Μετώπου Type A (Y10/150×150)</v>
      </c>
      <c r="C73" s="9">
        <f>C71</f>
        <v>556.5</v>
      </c>
      <c r="D73" s="4" t="s">
        <v>166</v>
      </c>
      <c r="E73" s="20" t="str">
        <f>"=" &amp; TEXT(C71,"#,##0.00") &amp; " m² επιφάνεια τοποθέτησης σχάρας"</f>
        <v>=556.50 m² επιφάνεια τοποθέτησης σχάρας</v>
      </c>
      <c r="F73" s="5" t="str">
        <f>"Εργατικά τοποθέτησης σχάρας ανά m² όψης εκσκαφής."</f>
        <v>Εργατικά τοποθέτησης σχάρας ανά m² όψης εκσκαφής.</v>
      </c>
    </row>
    <row r="74" spans="1:6" ht="22" customHeight="1" x14ac:dyDescent="0.35">
      <c r="A74" s="19" t="s">
        <v>169</v>
      </c>
      <c r="B74" s="2" t="str">
        <f>"Ονομαστικός Όγκος Shotcrete (" &amp; C14 &amp; ") Type A (Πάχος " &amp; TEXT(C15,"0.00") &amp; " m)"</f>
        <v>Ονομαστικός Όγκος Shotcrete (C30/37) Type A (Πάχος 0.15 m)</v>
      </c>
      <c r="C74" s="9">
        <f>ROUND(C71*C15, 2)</f>
        <v>83.48</v>
      </c>
      <c r="D74" s="4" t="s">
        <v>157</v>
      </c>
      <c r="E74" s="20" t="str">
        <f>"=" &amp; TEXT(C71,"#,##0.00") &amp; " m² × " &amp; TEXT(C15,"0.00") &amp; " m = " &amp; TEXT(C74,"#,##0.00") &amp; " m³"</f>
        <v>=556.50 m² × 0.15 m = 83.48 m³</v>
      </c>
      <c r="F74" s="5" t="str">
        <f>"Ποσότητα για αγορά σκυροδέματος (90 €/m³) και εκτόξευση (με +" &amp; TEXT(C56,"0.0%") &amp; " απώλεια)."</f>
        <v>Ποσότητα για αγορά σκυροδέματος (90 €/m³) και εκτόξευση (με +33.3% απώλεια).</v>
      </c>
    </row>
    <row r="75" spans="1:6" ht="22" customHeight="1" x14ac:dyDescent="0.35">
      <c r="A75" s="19" t="s">
        <v>170</v>
      </c>
      <c r="B75" s="2" t="str">
        <f>"Διάτρηση Αγκυρώσεων Σειράς 1 (+93.50, 280 kN) Type A (" &amp; C41 &amp; " τεμ. × " &amp; TEXT(C44,"0.00") &amp; " m)"</f>
        <v>Διάτρηση Αγκυρώσεων Σειράς 1 (+93.50, 280 kN) Type A (35 τεμ. × 15.50 m)</v>
      </c>
      <c r="C75" s="9">
        <f>ROUND(C41*C44, 2)</f>
        <v>542.5</v>
      </c>
      <c r="D75" s="4" t="s">
        <v>41</v>
      </c>
      <c r="E75" s="20" t="str">
        <f>"=" &amp; C41 &amp; " οπές × (" &amp; TEXT(C42,"0.00") &amp; " + " &amp; TEXT(C43,"0.00") &amp; ") m = " &amp; TEXT(C75,"#,##0.00") &amp; " m"</f>
        <v>=35 οπές × (9.00 + 6.50) m = 542.50 m</v>
      </c>
      <c r="F75" s="5" t="str">
        <f>"1η σειρά αγκυρίων στο +93.50 (Ελεύθερο " &amp; TEXT(C42,"0.00") &amp; "m + Πακτωμένο " &amp; TEXT(C43,"0.00") &amp; "m)."</f>
        <v>1η σειρά αγκυρίων στο +93.50 (Ελεύθερο 9.00m + Πακτωμένο 6.50m).</v>
      </c>
    </row>
    <row r="76" spans="1:6" ht="22" customHeight="1" x14ac:dyDescent="0.35">
      <c r="A76" s="19" t="s">
        <v>171</v>
      </c>
      <c r="B76" s="2" t="str">
        <f>"Διάτρηση Αγκυρώσεων Σειράς 2 (+90.00, 400 kN) Type A (" &amp; C41 &amp; " τεμ. × " &amp; TEXT(C47,"0.00") &amp; " m)"</f>
        <v>Διάτρηση Αγκυρώσεων Σειράς 2 (+90.00, 400 kN) Type A (35 τεμ. × 14.50 m)</v>
      </c>
      <c r="C76" s="9">
        <f>ROUND(C41*C47, 2)</f>
        <v>507.5</v>
      </c>
      <c r="D76" s="4" t="s">
        <v>41</v>
      </c>
      <c r="E76" s="20" t="str">
        <f>"=" &amp; C41 &amp; " οπές × (" &amp; TEXT(C45,"0.00") &amp; " + " &amp; TEXT(C46,"0.00") &amp; ") m = " &amp; TEXT(C76,"#,##0.00") &amp; " m"</f>
        <v>=35 οπές × (4.50 + 10.00) m = 507.50 m</v>
      </c>
      <c r="F76" s="5" t="str">
        <f>"2η σειρά αγκυρίων στο +90.00 (Ελεύθερο " &amp; TEXT(C45,"0.00") &amp; "m + Πακτωμένο " &amp; TEXT(C46,"0.00") &amp; "m)."</f>
        <v>2η σειρά αγκυρίων στο +90.00 (Ελεύθερο 4.50m + Πακτωμένο 10.00m).</v>
      </c>
    </row>
    <row r="77" spans="1:6" ht="22" customHeight="1" x14ac:dyDescent="0.35">
      <c r="A77" s="19" t="s">
        <v>172</v>
      </c>
      <c r="B77" s="2" t="str">
        <f>"Συνολικά Μέτρα Διάτρησης Αγκυρώσεων Type A (Σειρά 1 + Σειρά 2)"</f>
        <v>Συνολικά Μέτρα Διάτρησης Αγκυρώσεων Type A (Σειρά 1 + Σειρά 2)</v>
      </c>
      <c r="C77" s="9">
        <f>C75+C76</f>
        <v>1050</v>
      </c>
      <c r="D77" s="4" t="s">
        <v>41</v>
      </c>
      <c r="E77" s="20" t="str">
        <f>"=" &amp; TEXT(C75,"#,##0.00") &amp; " m + " &amp; TEXT(C76,"#,##0.00") &amp; " m = " &amp; TEXT(C77,"#,##0.00") &amp; " m"</f>
        <v>=542.50 m + 507.50 m = 1,050.00 m</v>
      </c>
      <c r="F77" s="5" t="str">
        <f>"Σύνολο μέτρων διάτρησης για τις " &amp; C80 &amp; " αγκυρώσεις του Type A."</f>
        <v>Σύνολο μέτρων διάτρησης για τις 70 αγκυρώσεις του Type A.</v>
      </c>
    </row>
    <row r="78" spans="1:6" ht="22" customHeight="1" x14ac:dyDescent="0.35">
      <c r="A78" s="19" t="s">
        <v>173</v>
      </c>
      <c r="B78" s="2" t="str">
        <f>"Συνολικός Όγκος Grout Αγκυρώσεων Type A (Ø" &amp; TEXT(C22*1000,"0") &amp; " mm, ×" &amp; TEXT(C23,"0.00") &amp; ")"</f>
        <v>Συνολικός Όγκος Grout Αγκυρώσεων Type A (Ø120 mm, ×1.20)</v>
      </c>
      <c r="C78" s="9">
        <f>ROUND(C77*C58, 2)</f>
        <v>14.25</v>
      </c>
      <c r="D78" s="4" t="s">
        <v>157</v>
      </c>
      <c r="E78" s="20" t="str">
        <f>"=" &amp; TEXT(C77,"#,##0.00") &amp; " m × " &amp; TEXT(C58,"0.0000") &amp; " m³/m = " &amp; TEXT(C78,"#,##0.00") &amp; " m³"</f>
        <v>=1,050.00 m × 0.0136 m³/m = 14.25 m³</v>
      </c>
      <c r="F78" s="5" t="str">
        <f>"Τσιμεντένεμα πλήρωσης οπών αγκυρώσεων Σειράς 1 &amp; Σειράς 2."</f>
        <v>Τσιμεντένεμα πλήρωσης οπών αγκυρώσεων Σειράς 1 &amp; Σειράς 2.</v>
      </c>
    </row>
    <row r="79" spans="1:6" ht="22" customHeight="1" x14ac:dyDescent="0.35">
      <c r="A79" s="19" t="s">
        <v>174</v>
      </c>
      <c r="B79" s="2" t="str">
        <f>"Συνολικό Μήκος Τενόντων Προέντασης Type A (" &amp; C48 &amp; "-Strands 0.6'' / 15.2mm, +" &amp; TEXT(C24,"0.00") &amp; "m)"</f>
        <v>Συνολικό Μήκος Τενόντων Προέντασης Type A (4-Strands 0.6'' / 15.2mm, +1.00m)</v>
      </c>
      <c r="C79" s="9">
        <f>ROUND((C41*(C44+C24)*C48)+(C41*(C47+C24)*C48), 2)</f>
        <v>4480</v>
      </c>
      <c r="D79" s="4" t="s">
        <v>41</v>
      </c>
      <c r="E79" s="20" t="str">
        <f>"Σ1: " &amp; C41 &amp; "×(" &amp; TEXT(C44,"0.00") &amp; "+" &amp; TEXT(C24,"0.00") &amp; ")×" &amp; C48 &amp; " + Σ2: " &amp; C41 &amp; "×(" &amp; TEXT(C47,"0.00") &amp; "+" &amp; TEXT(C24,"0.00") &amp; ")×" &amp; C48 &amp; " = " &amp; TEXT(C79,"#,##0.00") &amp; " m"</f>
        <v>Σ1: 35×(15.50+1.00)×4 + Σ2: 35×(14.50+1.00)×4 = 4,480.00 m</v>
      </c>
      <c r="F79" s="5" t="str">
        <f>"Συνολικό βάρος τενόντων (1.10 kg/m) = " &amp; TEXT(C79*1.1,"#,##0.00") &amp; " kg."</f>
        <v>Συνολικό βάρος τενόντων (1.10 kg/m) = 4,928.00 kg.</v>
      </c>
    </row>
    <row r="80" spans="1:6" ht="22" customHeight="1" x14ac:dyDescent="0.35">
      <c r="A80" s="24" t="s">
        <v>175</v>
      </c>
      <c r="B80" s="10" t="str">
        <f>"Συνολικό Πλήθος Αγκυρώσεων για Προένταση &amp; Κεφαλές Type A (" &amp; C40 &amp; " × " &amp; C41 &amp; ")"</f>
        <v>Συνολικό Πλήθος Αγκυρώσεων για Προένταση &amp; Κεφαλές Type A (2 × 35)</v>
      </c>
      <c r="C80" s="25">
        <f>C40*C41</f>
        <v>70</v>
      </c>
      <c r="D80" s="12" t="s">
        <v>176</v>
      </c>
      <c r="E80" s="26" t="str">
        <f>"=" &amp; C40 &amp; " σειρές × " &amp; C41 &amp; " αγκυρώσεις/σειρά = " &amp; C80 &amp; " τεμ."</f>
        <v>=2 σειρές × 35 αγκυρώσεις/σειρά = 70 τεμ.</v>
      </c>
      <c r="F80" s="13" t="str">
        <f>"Πλήθος κεφαλών αγκύρωσης (360×250×20mm) και εργασιών προέντασης."</f>
        <v>Πλήθος κεφαλών αγκύρωσης (360×250×20mm) και εργασιών προέντασης.</v>
      </c>
    </row>
    <row r="82" spans="1:6" ht="24" customHeight="1" x14ac:dyDescent="0.35">
      <c r="A82" s="67" t="str">
        <f>"📊 ΚΟΥΤΙ ΣΥΓΚΕΝΤΡΩΤΙΚΩΝ ΦΥΣΙΚΩΝ ΠΟΣΟΤΗΤΩΝ ΣΥΝΟΛΟΥ ΕΡΓΟΥ (ΣΥΝΟΛΑ — " &amp; C83 &amp; " ΠΑΣΣΑΛΟΙ | " &amp; TEXT(C84,"0.00") &amp; " τρ.μ. | " &amp; TEXT(C85,"#,##0.00") &amp; " m²)"</f>
        <v>📊 ΚΟΥΤΙ ΣΥΓΚΕΝΤΡΩΤΙΚΩΝ ΦΥΣΙΚΩΝ ΠΟΣΟΤΗΤΩΝ ΣΥΝΟΛΟΥ ΕΡΓΟΥ (ΣΥΝΟΛΑ — 35 ΠΑΣΣΑΛΟΙ | 70.00 τρ.μ. | 556.50 m²)</v>
      </c>
      <c r="B82" s="64"/>
      <c r="C82" s="64"/>
      <c r="D82" s="64"/>
      <c r="E82" s="64"/>
      <c r="F82" s="65"/>
    </row>
    <row r="83" spans="1:6" ht="22" customHeight="1" x14ac:dyDescent="0.35">
      <c r="A83" s="27" t="s">
        <v>177</v>
      </c>
      <c r="B83" s="28" t="str">
        <f>"Συνολικό Πλήθος Πασσάλων / Νεφκών Έργου (Π1)"</f>
        <v>Συνολικό Πλήθος Πασσάλων / Νεφκών Έργου (Π1)</v>
      </c>
      <c r="C83" s="29">
        <f>C27</f>
        <v>35</v>
      </c>
      <c r="D83" s="30" t="s">
        <v>73</v>
      </c>
      <c r="E83" s="31" t="str">
        <f>"Type A (" &amp; C27 &amp; " οπές)"</f>
        <v>Type A (35 οπές)</v>
      </c>
      <c r="F83" s="32" t="str">
        <f>"Σύνολο πασσάλων αντιστήριξης έργου."</f>
        <v>Σύνολο πασσάλων αντιστήριξης έργου.</v>
      </c>
    </row>
    <row r="84" spans="1:6" ht="22" customHeight="1" x14ac:dyDescent="0.35">
      <c r="A84" s="27" t="s">
        <v>178</v>
      </c>
      <c r="B84" s="28" t="str">
        <f>"Συνολικό Αναπτυγμένο Μήκος Περιμέτρου Berlin Wall"</f>
        <v>Συνολικό Αναπτυγμένο Μήκος Περιμέτρου Berlin Wall</v>
      </c>
      <c r="C84" s="33">
        <f>C29</f>
        <v>70</v>
      </c>
      <c r="D84" s="30" t="s">
        <v>41</v>
      </c>
      <c r="E84" s="31" t="str">
        <f>"=" &amp; C83 &amp; " πάσσαλοι × " &amp; TEXT(C28,"0.00") &amp; " m = " &amp; TEXT(C84,"#,##0.00") &amp; " m"</f>
        <v>=35 πάσσαλοι × 2.00 m = 70.00 m</v>
      </c>
      <c r="F84" s="32" t="str">
        <f>"Συνολικά τρέχοντα μέτρα μετώπου αντιστήριξης."</f>
        <v>Συνολικά τρέχοντα μέτρα μετώπου αντιστήριξης.</v>
      </c>
    </row>
    <row r="85" spans="1:6" ht="22" customHeight="1" x14ac:dyDescent="0.35">
      <c r="A85" s="27" t="s">
        <v>179</v>
      </c>
      <c r="B85" s="28" t="str">
        <f>"Συνολικό Εμβαδόν Μετώπου Εκσκαφής Έργου (A_total)"</f>
        <v>Συνολικό Εμβαδόν Μετώπου Εκσκαφής Έργου (A_total)</v>
      </c>
      <c r="C85" s="33">
        <f>C71</f>
        <v>556.5</v>
      </c>
      <c r="D85" s="30" t="s">
        <v>166</v>
      </c>
      <c r="E85" s="31" t="str">
        <f>"=" &amp; TEXT(C84,"0.00") &amp; " m × " &amp; TEXT(C31,"0.00") &amp; " m = " &amp; TEXT(C85,"#,##0.00") &amp; " m²"</f>
        <v>=70.00 m × 7.95 m = 556.50 m²</v>
      </c>
      <c r="F85" s="32" t="str">
        <f>"Συνολική επιφάνεια όψης Berlin Wall."</f>
        <v>Συνολική επιφάνεια όψης Berlin Wall.</v>
      </c>
    </row>
    <row r="86" spans="1:6" ht="22" customHeight="1" x14ac:dyDescent="0.35">
      <c r="A86" s="27" t="s">
        <v>180</v>
      </c>
      <c r="B86" s="28" t="str">
        <f>"Συνολικά Μέτρα Διάτρησης Μεγάλου Τρυπανιού (Ø" &amp; TEXT(C30*1000,"0") &amp; " mm βάσει WPL/Μελέτης)"</f>
        <v>Συνολικά Μέτρα Διάτρησης Μεγάλου Τρυπανιού (Ø800 mm βάσει WPL/Μελέτης)</v>
      </c>
      <c r="C86" s="33">
        <f>C64</f>
        <v>418.25</v>
      </c>
      <c r="D86" s="30" t="s">
        <v>41</v>
      </c>
      <c r="E86" s="31" t="str">
        <f>"=" &amp; C83 &amp; " οπές × " &amp; TEXT(C35,"0.00") &amp; " m = " &amp; TEXT(C86,"#,##0.00") &amp; " m"</f>
        <v>=35 οπές × 11.95 m = 418.25 m</v>
      </c>
      <c r="F86" s="32" t="str">
        <f>"Ενημερώνεται αυτόματα από το κελί WPL (C34)."</f>
        <v>Ενημερώνεται αυτόματα από το κελί WPL (C34).</v>
      </c>
    </row>
    <row r="87" spans="1:6" ht="22" customHeight="1" x14ac:dyDescent="0.35">
      <c r="A87" s="27" t="s">
        <v>181</v>
      </c>
      <c r="B87" s="28" t="str">
        <f>"Συνολικός Όγκος Εκσκαφής Οπών Νεφκών (Ø" &amp; TEXT(C30*1000,"0") &amp; " mm βάσει WPL/Μελέτης)"</f>
        <v>Συνολικός Όγκος Εκσκαφής Οπών Νεφκών (Ø800 mm βάσει WPL/Μελέτης)</v>
      </c>
      <c r="C87" s="33">
        <f>C65</f>
        <v>210.24</v>
      </c>
      <c r="D87" s="30" t="s">
        <v>157</v>
      </c>
      <c r="E87" s="31" t="str">
        <f>"=" &amp; TEXT(C86,"#,##0.00") &amp; " m × " &amp; TEXT(C57,"0.0000") &amp; " m³/m = " &amp; TEXT(C87,"#,##0.00") &amp; " m³"</f>
        <v>=418.25 m × 0.5027 m³/m = 210.24 m³</v>
      </c>
      <c r="F87" s="32" t="str">
        <f>"Συνολικά κυβικά εκσκαφής οπών πασσάλων."</f>
        <v>Συνολικά κυβικά εκσκαφής οπών πασσάλων.</v>
      </c>
    </row>
    <row r="88" spans="1:6" ht="22" customHeight="1" x14ac:dyDescent="0.35">
      <c r="A88" s="27" t="s">
        <v>182</v>
      </c>
      <c r="B88" s="28" t="str">
        <f>"Συνολικό Βάρος Χάλυβα Νεφκών (" &amp; C37 &amp; " × " &amp; C36 &amp; " S275)"</f>
        <v>Συνολικό Βάρος Χάλυβα Νεφκών (2 × UPN 300 S275)</v>
      </c>
      <c r="C88" s="33">
        <f>C66</f>
        <v>38646.300000000003</v>
      </c>
      <c r="D88" s="30" t="s">
        <v>159</v>
      </c>
      <c r="E88" s="31" t="str">
        <f>"=" &amp; TEXT(C88,"#,##0.00") &amp; " kg (" &amp; TEXT(C88/1000,"0.000") &amp; " τόνοι)"</f>
        <v>=38,646.30 kg (38.646 τόνοι)</v>
      </c>
      <c r="F88" s="32" t="str">
        <f>"Συνολικός δομικός χάλυβας UPN 300."</f>
        <v>Συνολικός δομικός χάλυβας UPN 300.</v>
      </c>
    </row>
    <row r="89" spans="1:6" ht="22" customHeight="1" x14ac:dyDescent="0.35">
      <c r="A89" s="27" t="s">
        <v>183</v>
      </c>
      <c r="B89" s="28" t="str">
        <f>"Συνολικό Βάρος Λαμών Σύνδεσης (" &amp; C18 &amp; "×" &amp; C19 &amp; "×" &amp; C20 &amp; " mm)"</f>
        <v>Συνολικό Βάρος Λαμών Σύνδεσης (200×200×10 mm)</v>
      </c>
      <c r="C89" s="33">
        <f>C68</f>
        <v>879.2</v>
      </c>
      <c r="D89" s="30" t="s">
        <v>159</v>
      </c>
      <c r="E89" s="31" t="str">
        <f>"=" &amp; (C27*C67) &amp; " τεμ. × " &amp; TEXT(C21,"0.00") &amp; " kg/τεμ. = " &amp; TEXT(C89,"#,##0.00") &amp; " kg"</f>
        <v>=280 τεμ. × 3.14 kg/τεμ. = 879.20 kg</v>
      </c>
      <c r="F89" s="32" t="str">
        <f>"Συνολικό βάρος οριζόντιων ενισχυτικών ελασμάτων."</f>
        <v>Συνολικό βάρος οριζόντιων ενισχυτικών ελασμάτων.</v>
      </c>
    </row>
    <row r="90" spans="1:6" ht="22" customHeight="1" x14ac:dyDescent="0.35">
      <c r="A90" s="27" t="s">
        <v>184</v>
      </c>
      <c r="B90" s="28" t="str">
        <f>"Συνολικός Όγκος Κουγκριού Πάκτωσης Πασσάλων (C30/37)"</f>
        <v>Συνολικός Όγκος Κουγκριού Πάκτωσης Πασσάλων (C30/37)</v>
      </c>
      <c r="C90" s="33">
        <f>C69</f>
        <v>70.37</v>
      </c>
      <c r="D90" s="30" t="s">
        <v>157</v>
      </c>
      <c r="E90" s="31" t="str">
        <f>"=" &amp; C83 &amp; " οπές × " &amp; TEXT(C32,"0.00") &amp; " m × " &amp; TEXT(C57,"0.0000") &amp; " m³/m = " &amp; TEXT(C90,"#,##0.00") &amp; " m³"</f>
        <v>=35 οπές × 4.00 m × 0.5027 m³/m = 70.37 m³</v>
      </c>
      <c r="F90" s="32" t="str">
        <f>"Συνολικά κυβικά σκυροδέματος πάκτωσης βάσης."</f>
        <v>Συνολικά κυβικά σκυροδέματος πάκτωσης βάσης.</v>
      </c>
    </row>
    <row r="91" spans="1:6" ht="22" customHeight="1" x14ac:dyDescent="0.35">
      <c r="A91" s="27" t="s">
        <v>185</v>
      </c>
      <c r="B91" s="28" t="str">
        <f>"Συνολικό Βάρος Χάλυβα Σχάρας Μετώπου (Y" &amp; C11 &amp; "/" &amp; C12 &amp; "×" &amp; C13 &amp; " " &amp; C10 &amp; ")"</f>
        <v>Συνολικό Βάρος Χάλυβα Σχάρας Μετώπου (Y10/150×150 B500C)</v>
      </c>
      <c r="C91" s="33">
        <f>C72</f>
        <v>4574.43</v>
      </c>
      <c r="D91" s="30" t="s">
        <v>159</v>
      </c>
      <c r="E91" s="31" t="str">
        <f>"=" &amp; TEXT(C85,"#,##0.00") &amp; " m² × " &amp; TEXT(C55,"0.000") &amp; " kg/m² = " &amp; TEXT(C91,"#,##0.00") &amp; " kg"</f>
        <v>=556.50 m² × 8.220 kg/m² = 4,574.43 kg</v>
      </c>
      <c r="F91" s="32" t="str">
        <f>"Συνολικά κιλά σιδήρου σχάρας εκτοξευόμενου."</f>
        <v>Συνολικά κιλά σιδήρου σχάρας εκτοξευόμενου.</v>
      </c>
    </row>
    <row r="92" spans="1:6" ht="22" customHeight="1" x14ac:dyDescent="0.35">
      <c r="A92" s="27" t="s">
        <v>186</v>
      </c>
      <c r="B92" s="28" t="str">
        <f>"Συνολικός Ονομαστικός Όγκος Shotcrete (" &amp; C14 &amp; ", Πάχος " &amp; TEXT(C15,"0.00") &amp; " m)"</f>
        <v>Συνολικός Ονομαστικός Όγκος Shotcrete (C30/37, Πάχος 0.15 m)</v>
      </c>
      <c r="C92" s="33">
        <f>C74</f>
        <v>83.48</v>
      </c>
      <c r="D92" s="30" t="s">
        <v>157</v>
      </c>
      <c r="E92" s="31" t="str">
        <f>"=" &amp; TEXT(C85,"#,##0.00") &amp; " m² × " &amp; TEXT(C15,"0.00") &amp; " m = " &amp; TEXT(C92,"#,##0.00") &amp; " m³"</f>
        <v>=556.50 m² × 0.15 m = 83.48 m³</v>
      </c>
      <c r="F92" s="32" t="str">
        <f>"Ονομαστικός όγκος εκτοξευόμενου σκυροδέματος."</f>
        <v>Ονομαστικός όγκος εκτοξευόμενου σκυροδέματος.</v>
      </c>
    </row>
    <row r="93" spans="1:6" ht="22" customHeight="1" x14ac:dyDescent="0.35">
      <c r="A93" s="27" t="s">
        <v>187</v>
      </c>
      <c r="B93" s="28" t="str">
        <f>"Συνολικά Μέτρα Διάτρησης Αγκυρώσεων Έργου (Σειρά 1 + Σειρά 2)"</f>
        <v>Συνολικά Μέτρα Διάτρησης Αγκυρώσεων Έργου (Σειρά 1 + Σειρά 2)</v>
      </c>
      <c r="C93" s="33">
        <f>C77</f>
        <v>1050</v>
      </c>
      <c r="D93" s="30" t="s">
        <v>41</v>
      </c>
      <c r="E93" s="31" t="str">
        <f>"Σειρά 1 (" &amp; TEXT(C75,"#,##0.00") &amp; " m) + Σειρά 2 (" &amp; TEXT(C76,"#,##0.00") &amp; " m) = " &amp; TEXT(C93,"#,##0.00") &amp; " m"</f>
        <v>Σειρά 1 (542.50 m) + Σειρά 2 (507.50 m) = 1,050.00 m</v>
      </c>
      <c r="F93" s="32" t="str">
        <f>"Σύνολο μέτρων διάτρησης αγκυρίων."</f>
        <v>Σύνολο μέτρων διάτρησης αγκυρίων.</v>
      </c>
    </row>
    <row r="94" spans="1:6" ht="22" customHeight="1" x14ac:dyDescent="0.35">
      <c r="A94" s="27" t="s">
        <v>188</v>
      </c>
      <c r="B94" s="28" t="str">
        <f>"Συνολικός Όγκος Grout Αγκυρώσεων Έργου"</f>
        <v>Συνολικός Όγκος Grout Αγκυρώσεων Έργου</v>
      </c>
      <c r="C94" s="33">
        <f>C78</f>
        <v>14.25</v>
      </c>
      <c r="D94" s="30" t="s">
        <v>157</v>
      </c>
      <c r="E94" s="31" t="str">
        <f>"=" &amp; TEXT(C93,"#,##0.00") &amp; " m × " &amp; TEXT(C58,"0.0000") &amp; " m³/m = " &amp; TEXT(C94,"#,##0.00") &amp; " m³"</f>
        <v>=1,050.00 m × 0.0136 m³/m = 14.25 m³</v>
      </c>
      <c r="F94" s="32" t="str">
        <f>"Συνολικά κυβικά τσιμεντενέματος αγκυρώσεων."</f>
        <v>Συνολικά κυβικά τσιμεντενέματος αγκυρώσεων.</v>
      </c>
    </row>
    <row r="95" spans="1:6" ht="22" customHeight="1" x14ac:dyDescent="0.35">
      <c r="A95" s="27" t="s">
        <v>189</v>
      </c>
      <c r="B95" s="28" t="str">
        <f>"Συνολικό Μήκος Τενόντων Προέντασης (" &amp; C48 &amp; "-Strands 0.6'' / 15.2mm Grade 1860)"</f>
        <v>Συνολικό Μήκος Τενόντων Προέντασης (4-Strands 0.6'' / 15.2mm Grade 1860)</v>
      </c>
      <c r="C95" s="33">
        <f>C79</f>
        <v>4480</v>
      </c>
      <c r="D95" s="30" t="s">
        <v>41</v>
      </c>
      <c r="E95" s="31" t="str">
        <f>"=" &amp; TEXT(C95,"#,##0.00") &amp; " m τενόντων (" &amp; TEXT(C95*1.1,"#,##0.00") &amp; " kg)"</f>
        <v>=4,480.00 m τενόντων (4,928.00 kg)</v>
      </c>
      <c r="F95" s="32" t="str">
        <f>"Συνολικά μέτρα συρματόσχοινων προέντασης."</f>
        <v>Συνολικά μέτρα συρματόσχοινων προέντασης.</v>
      </c>
    </row>
    <row r="96" spans="1:6" ht="22" customHeight="1" x14ac:dyDescent="0.35">
      <c r="A96" s="34" t="s">
        <v>190</v>
      </c>
      <c r="B96" s="35" t="str">
        <f>"Συνολικό Πλήθος Προεντεταμένων Αγκυρώσεων &amp; Κεφαλών Έργου"</f>
        <v>Συνολικό Πλήθος Προεντεταμένων Αγκυρώσεων &amp; Κεφαλών Έργου</v>
      </c>
      <c r="C96" s="36">
        <f>C80</f>
        <v>70</v>
      </c>
      <c r="D96" s="37" t="s">
        <v>176</v>
      </c>
      <c r="E96" s="38" t="str">
        <f>"=" &amp; C40 &amp; " σειρές × " &amp; C41 &amp; " αγκυρώσεις = " &amp; C96 &amp; " αγκυρώσεις"</f>
        <v>=2 σειρές × 35 αγκυρώσεις = 70 αγκυρώσεις</v>
      </c>
      <c r="F96" s="39" t="str">
        <f>"Σύνολο κεφαλών αγκύρωσης και εργασιών προέντασης."</f>
        <v>Σύνολο κεφαλών αγκύρωσης και εργασιών προέντασης.</v>
      </c>
    </row>
  </sheetData>
  <mergeCells count="11">
    <mergeCell ref="A2:F2"/>
    <mergeCell ref="A63:F63"/>
    <mergeCell ref="A52:F52"/>
    <mergeCell ref="A82:F82"/>
    <mergeCell ref="A1:F1"/>
    <mergeCell ref="A7:A24"/>
    <mergeCell ref="A6:F6"/>
    <mergeCell ref="A50:F50"/>
    <mergeCell ref="A4:F4"/>
    <mergeCell ref="A26:F26"/>
    <mergeCell ref="A27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4.5" x14ac:dyDescent="0.35"/>
  <cols>
    <col min="1" max="1" width="10" customWidth="1"/>
    <col min="2" max="2" width="56" customWidth="1"/>
    <col min="3" max="3" width="15" customWidth="1"/>
    <col min="4" max="4" width="12" customWidth="1"/>
    <col min="5" max="5" width="16" customWidth="1"/>
    <col min="6" max="7" width="18" customWidth="1"/>
    <col min="8" max="8" width="56" customWidth="1"/>
  </cols>
  <sheetData>
    <row r="1" spans="1:8" ht="28" customHeight="1" x14ac:dyDescent="0.35">
      <c r="A1" s="68" t="s">
        <v>191</v>
      </c>
      <c r="B1" s="62"/>
      <c r="C1" s="62"/>
      <c r="D1" s="62"/>
      <c r="E1" s="62"/>
      <c r="F1" s="62"/>
      <c r="G1" s="62"/>
      <c r="H1" s="62"/>
    </row>
    <row r="2" spans="1:8" ht="20" customHeight="1" x14ac:dyDescent="0.35">
      <c r="A2" s="61" t="s">
        <v>192</v>
      </c>
      <c r="B2" s="62"/>
      <c r="C2" s="62"/>
      <c r="D2" s="62"/>
      <c r="E2" s="62"/>
      <c r="F2" s="62"/>
      <c r="G2" s="62"/>
      <c r="H2" s="62"/>
    </row>
    <row r="4" spans="1:8" ht="24" customHeight="1" x14ac:dyDescent="0.35">
      <c r="A4" s="1" t="s">
        <v>135</v>
      </c>
      <c r="B4" s="1" t="s">
        <v>193</v>
      </c>
      <c r="C4" s="1" t="s">
        <v>137</v>
      </c>
      <c r="D4" s="1" t="s">
        <v>6</v>
      </c>
      <c r="E4" s="1" t="s">
        <v>194</v>
      </c>
      <c r="F4" s="1" t="s">
        <v>195</v>
      </c>
      <c r="G4" s="1" t="s">
        <v>196</v>
      </c>
      <c r="H4" s="1" t="s">
        <v>197</v>
      </c>
    </row>
    <row r="5" spans="1:8" ht="24" customHeight="1" x14ac:dyDescent="0.35">
      <c r="A5" s="63" t="str">
        <f>"📦 ΚΟΥΤΙ TYPE A — ΤΟΙΧΟΣ ΑΝΤΙΣΤΗΡΙΞΗΣ Π1 (2×" &amp; '1_Στοιχεία_Μελέτης_&amp;_Ποσότητες'!C36 &amp; ") | ΜΗΚΟΣ: " &amp; TEXT('1_Στοιχεία_Μελέτης_&amp;_Ποσότητες'!C29,"0.00") &amp; " τρ.μ. | ΚΟΣΤΟΣ/τρ.μ.: " &amp; TEXT(F21/'1_Στοιχεία_Μελέτης_&amp;_Ποσότητες'!C29,"#,##0.00") &amp; " €/τρ.μ. | ΣΥΝΟΛΟ TYPE A: " &amp; TEXT(F21,"#,##0.00") &amp; " €"</f>
        <v>📦 ΚΟΥΤΙ TYPE A — ΤΟΙΧΟΣ ΑΝΤΙΣΤΗΡΙΞΗΣ Π1 (2×UPN 300) | ΜΗΚΟΣ: 70.00 τρ.μ. | ΚΟΣΤΟΣ/τρ.μ.: 2,733.13 €/τρ.μ. | ΣΥΝΟΛΟ TYPE A: 191,319.28 €</v>
      </c>
      <c r="B5" s="64"/>
      <c r="C5" s="64"/>
      <c r="D5" s="64"/>
      <c r="E5" s="64"/>
      <c r="F5" s="64"/>
      <c r="G5" s="64"/>
      <c r="H5" s="65"/>
    </row>
    <row r="6" spans="1:8" ht="22" customHeight="1" x14ac:dyDescent="0.35">
      <c r="A6" s="19" t="s">
        <v>155</v>
      </c>
      <c r="B6" s="2" t="str">
        <f>"Διάτρηση Μεγάλου Τρυπανιού Type A (Ø" &amp; TEXT('1_Στοιχεία_Μελέτης_&amp;_Ποσότητες'!C30*1000,"0") &amp; " mm, " &amp; '1_Στοιχεία_Μελέτης_&amp;_Ποσότητες'!C27 &amp; " οπές × " &amp; TEXT('1_Στοιχεία_Μελέτης_&amp;_Ποσότητες'!C35,"0.00") &amp; " m)"</f>
        <v>Διάτρηση Μεγάλου Τρυπανιού Type A (Ø800 mm, 35 οπές × 11.95 m)</v>
      </c>
      <c r="C6" s="9">
        <f>'1_Στοιχεία_Μελέτης_&amp;_Ποσότητες'!C64</f>
        <v>418.25</v>
      </c>
      <c r="D6" s="4" t="s">
        <v>41</v>
      </c>
      <c r="E6" s="40">
        <v>75</v>
      </c>
      <c r="F6" s="9">
        <f t="shared" ref="F6:F20" si="0">ROUND(C6*E6, 2)</f>
        <v>31368.75</v>
      </c>
      <c r="G6" s="78">
        <f>F21</f>
        <v>191319.28</v>
      </c>
      <c r="H6" s="5" t="str">
        <f>"=" &amp; '1_Στοιχεία_Μελέτης_&amp;_Ποσότητες'!C27 &amp; " οπές × " &amp; TEXT('1_Στοιχεία_Μελέτης_&amp;_Ποσότητες'!C35,"0.00") &amp; " m = " &amp; TEXT(C6,"#,##0.00") &amp; " m (Όγκος εκσκαφής = " &amp; TEXT('1_Στοιχεία_Μελέτης_&amp;_Ποσότητες'!C65,"#,##0.00") &amp; " m³) × " &amp; TEXT(E6,"0.00") &amp; " €/m"</f>
        <v>=35 οπές × 11.95 m = 418.25 m (Όγκος εκσκαφής = 210.24 m³) × 75.00 €/m</v>
      </c>
    </row>
    <row r="7" spans="1:8" ht="22" customHeight="1" x14ac:dyDescent="0.35">
      <c r="A7" s="19" t="s">
        <v>158</v>
      </c>
      <c r="B7" s="2" t="str">
        <f>"Χάλυβας Νεφκών Type A (" &amp; '1_Στοιχεία_Μελέτης_&amp;_Ποσότητες'!C37 &amp; " × " &amp; '1_Στοιχεία_Μελέτης_&amp;_Ποσότητες'!C36 &amp; " S275 = " &amp; TEXT('1_Στοιχεία_Μελέτης_&amp;_Ποσότητες'!C37*'1_Στοιχεία_Μελέτης_&amp;_Ποσότητες'!C38,"0.00") &amp; " kg/m — Αγορά + Επεξεργασία)"</f>
        <v>Χάλυβας Νεφκών Type A (2 × UPN 300 S275 = 92.40 kg/m — Αγορά + Επεξεργασία)</v>
      </c>
      <c r="C7" s="9">
        <f>'1_Στοιχεία_Μελέτης_&amp;_Ποσότητες'!C66</f>
        <v>38646.300000000003</v>
      </c>
      <c r="D7" s="4" t="s">
        <v>159</v>
      </c>
      <c r="E7" s="40">
        <v>1.4</v>
      </c>
      <c r="F7" s="9">
        <f t="shared" si="0"/>
        <v>54104.82</v>
      </c>
      <c r="G7" s="79"/>
      <c r="H7" s="5" t="str">
        <f>"=" &amp; '1_Στοιχεία_Μελέτης_&amp;_Ποσότητες'!C27 &amp; " οπές × " &amp; '1_Στοιχεία_Μελέτης_&amp;_Ποσότητες'!C37 &amp; "×" &amp; '1_Στοιχεία_Μελέτης_&amp;_Ποσότητες'!C36 &amp; " × " &amp; TEXT('1_Στοιχεία_Μελέτης_&amp;_Ποσότητες'!C33,"0.00") &amp; " m = " &amp; TEXT(C7,"#,##0.00") &amp; " kg × (1.00€ αγορά + 0.40€ τοποθέτηση)"</f>
        <v>=35 οπές × 2×UPN 300 × 11.95 m = 38,646.30 kg × (1.00€ αγορά + 0.40€ τοποθέτηση)</v>
      </c>
    </row>
    <row r="8" spans="1:8" ht="22" customHeight="1" x14ac:dyDescent="0.35">
      <c r="A8" s="19" t="s">
        <v>162</v>
      </c>
      <c r="B8" s="2" t="str">
        <f>"Λάμες Σύνδεσης / Ενίσχυσης Type A (" &amp; '1_Στοιχεία_Μελέτης_&amp;_Ποσότητες'!C18 &amp; "×" &amp; '1_Στοιχεία_Μελέτης_&amp;_Ποσότητες'!C19 &amp; "×" &amp; '1_Στοιχεία_Μελέτης_&amp;_Ποσότητες'!C20 &amp; " mm ανά " &amp; TEXT('1_Στοιχεία_Μελέτης_&amp;_Ποσότητες'!C17,"0.00") &amp; " m)"</f>
        <v>Λάμες Σύνδεσης / Ενίσχυσης Type A (200×200×10 mm ανά 1.50 m)</v>
      </c>
      <c r="C8" s="9">
        <f>'1_Στοιχεία_Μελέτης_&amp;_Ποσότητες'!C68</f>
        <v>879.2</v>
      </c>
      <c r="D8" s="4" t="s">
        <v>159</v>
      </c>
      <c r="E8" s="40">
        <v>1.6</v>
      </c>
      <c r="F8" s="9">
        <f t="shared" si="0"/>
        <v>1406.72</v>
      </c>
      <c r="G8" s="79"/>
      <c r="H8" s="5" t="str">
        <f>"=" &amp; ('1_Στοιχεία_Μελέτης_&amp;_Ποσότητες'!C27*'1_Στοιχεία_Μελέτης_&amp;_Ποσότητες'!C67) &amp; " λάμες × " &amp; TEXT('1_Στοιχεία_Μελέτης_&amp;_Ποσότητες'!C21,"0.00") &amp; " kg/τεμ. = " &amp; TEXT(C8,"#,##0.00") &amp; " kg × (1.00€ αγορά + 0.60€ συγκόλληση)"</f>
        <v>=280 λάμες × 3.14 kg/τεμ. = 879.20 kg × (1.00€ αγορά + 0.60€ συγκόλληση)</v>
      </c>
    </row>
    <row r="9" spans="1:8" ht="22" customHeight="1" x14ac:dyDescent="0.35">
      <c r="A9" s="19" t="s">
        <v>163</v>
      </c>
      <c r="B9" s="2" t="str">
        <f>"Κουγκρί Πάκτωσης Οπών Νεφκών Type A (C30/37, Ø" &amp; TEXT('1_Στοιχεία_Μελέτης_&amp;_Ποσότητες'!C30*1000,"0") &amp; " mm, H_embed = " &amp; TEXT('1_Στοιχεία_Μελέτης_&amp;_Ποσότητες'!C32,"0.00") &amp; " m)"</f>
        <v>Κουγκρί Πάκτωσης Οπών Νεφκών Type A (C30/37, Ø800 mm, H_embed = 4.00 m)</v>
      </c>
      <c r="C9" s="9">
        <f>'1_Στοιχεία_Μελέτης_&amp;_Ποσότητες'!C69</f>
        <v>70.37</v>
      </c>
      <c r="D9" s="4" t="s">
        <v>157</v>
      </c>
      <c r="E9" s="41">
        <v>120</v>
      </c>
      <c r="F9" s="9">
        <f t="shared" si="0"/>
        <v>8444.4</v>
      </c>
      <c r="G9" s="79"/>
      <c r="H9" s="5" t="str">
        <f>"=" &amp; '1_Στοιχεία_Μελέτης_&amp;_Ποσότητες'!C27 &amp; " οπές × " &amp; TEXT('1_Στοιχεία_Μελέτης_&amp;_Ποσότητες'!C32,"0.00") &amp; " m πάκτωση = " &amp; TEXT(C9,"#,##0.00") &amp; " m³ × " &amp; TEXT(E9,"0.00") &amp; " €/m³ [Πορτοκαλί Κελί Ελέγχου]"</f>
        <v>=35 οπές × 4.00 m πάκτωση = 70.37 m³ × 120.00 €/m³ [Πορτοκαλί Κελί Ελέγχου]</v>
      </c>
    </row>
    <row r="10" spans="1:8" ht="22" customHeight="1" x14ac:dyDescent="0.35">
      <c r="A10" s="19" t="s">
        <v>164</v>
      </c>
      <c r="B10" s="2" t="str">
        <f>"Γωνιές Στήριξης (Equal Angles L) Type A (" &amp; '1_Στοιχεία_Μελέτης_&amp;_Ποσότητες'!C39 &amp; ")"</f>
        <v>Γωνιές Στήριξης (Equal Angles L) Type A (ΟΧΙ)</v>
      </c>
      <c r="C10" s="9">
        <f>'1_Στοιχεία_Μελέτης_&amp;_Ποσότητες'!C70</f>
        <v>0</v>
      </c>
      <c r="D10" s="4" t="s">
        <v>159</v>
      </c>
      <c r="E10" s="40">
        <v>1.6</v>
      </c>
      <c r="F10" s="9">
        <f t="shared" si="0"/>
        <v>0</v>
      </c>
      <c r="G10" s="79"/>
      <c r="H10" s="5" t="str">
        <f>"Δεν ζητούνται γωνιές στήριξης L στη μελέτη (" &amp; '1_Στοιχεία_Μελέτης_&amp;_Ποσότητες'!C39 &amp; " = " &amp; TEXT(C10,"0.00") &amp; " kg)."</f>
        <v>Δεν ζητούνται γωνιές στήριξης L στη μελέτη (ΟΧΙ = 0.00 kg).</v>
      </c>
    </row>
    <row r="11" spans="1:8" ht="22" customHeight="1" x14ac:dyDescent="0.35">
      <c r="A11" s="19" t="s">
        <v>167</v>
      </c>
      <c r="B11" s="2" t="str">
        <f>"Αγορά Χάλυβα Σχάρας Μετώπου Type A (Y" &amp; '1_Στοιχεία_Μελέτης_&amp;_Ποσότητες'!C11 &amp; "/" &amp; '1_Στοιχεία_Μελέτης_&amp;_Ποσότητες'!C12 &amp; "×" &amp; '1_Στοιχεία_Μελέτης_&amp;_Ποσότητες'!C13 &amp; " " &amp; '1_Στοιχεία_Μελέτης_&amp;_Ποσότητες'!C10 &amp; ")"</f>
        <v>Αγορά Χάλυβα Σχάρας Μετώπου Type A (Y10/150×150 B500C)</v>
      </c>
      <c r="C11" s="9">
        <f>'1_Στοιχεία_Μελέτης_&amp;_Ποσότητες'!C72</f>
        <v>4574.43</v>
      </c>
      <c r="D11" s="4" t="s">
        <v>159</v>
      </c>
      <c r="E11" s="40">
        <v>2.5</v>
      </c>
      <c r="F11" s="9">
        <f t="shared" si="0"/>
        <v>11436.08</v>
      </c>
      <c r="G11" s="79"/>
      <c r="H11" s="5" t="str">
        <f>"=" &amp; TEXT('1_Στοιχεία_Μελέτης_&amp;_Ποσότητες'!C71,"#,##0.00") &amp; " m² × " &amp; TEXT('1_Στοιχεία_Μελέτης_&amp;_Ποσότητες'!C55,"0.000") &amp; " kg/m² = " &amp; TEXT(C11,"#,##0.00") &amp; " kg × " &amp; TEXT(E11,"0.00") &amp; " €/kg"</f>
        <v>=556.50 m² × 8.220 kg/m² = 4,574.43 kg × 2.50 €/kg</v>
      </c>
    </row>
    <row r="12" spans="1:8" ht="22" customHeight="1" x14ac:dyDescent="0.35">
      <c r="A12" s="19" t="s">
        <v>168</v>
      </c>
      <c r="B12" s="2" t="str">
        <f>"Τοποθέτηση Σχάρας / Εργατικά Μετώπου Type A (H_exc = " &amp; TEXT('1_Στοιχεία_Μελέτης_&amp;_Ποσότητες'!C31,"0.00") &amp; " m)"</f>
        <v>Τοποθέτηση Σχάρας / Εργατικά Μετώπου Type A (H_exc = 7.95 m)</v>
      </c>
      <c r="C12" s="9">
        <f>'1_Στοιχεία_Μελέτης_&amp;_Ποσότητες'!C73</f>
        <v>556.5</v>
      </c>
      <c r="D12" s="4" t="s">
        <v>166</v>
      </c>
      <c r="E12" s="40">
        <v>15</v>
      </c>
      <c r="F12" s="9">
        <f t="shared" si="0"/>
        <v>8347.5</v>
      </c>
      <c r="G12" s="79"/>
      <c r="H12" s="5" t="str">
        <f>"=" &amp; TEXT('1_Στοιχεία_Μελέτης_&amp;_Ποσότητες'!C29,"0.00") &amp; " m × " &amp; TEXT('1_Στοιχεία_Μελέτης_&amp;_Ποσότητες'!C31,"0.00") &amp; " m = " &amp; TEXT(C12,"#,##0.00") &amp; " m² × " &amp; TEXT(E12,"0.00") &amp; " €/m²"</f>
        <v>=70.00 m × 7.95 m = 556.50 m² × 15.00 €/m²</v>
      </c>
    </row>
    <row r="13" spans="1:8" ht="22" customHeight="1" x14ac:dyDescent="0.35">
      <c r="A13" s="19" t="s">
        <v>169</v>
      </c>
      <c r="B13" s="2" t="str">
        <f>"Αγορά Σκυροδέματος Shotcrete (" &amp; '1_Στοιχεία_Μελέτης_&amp;_Ποσότητες'!C14 &amp; ") Type A (Ονομαστικό πάχος " &amp; TEXT('1_Στοιχεία_Μελέτης_&amp;_Ποσότητες'!C15,"0.00") &amp; " m)"</f>
        <v>Αγορά Σκυροδέματος Shotcrete (C30/37) Type A (Ονομαστικό πάχος 0.15 m)</v>
      </c>
      <c r="C13" s="9">
        <f>'1_Στοιχεία_Μελέτης_&amp;_Ποσότητες'!C74</f>
        <v>83.48</v>
      </c>
      <c r="D13" s="4" t="s">
        <v>157</v>
      </c>
      <c r="E13" s="40">
        <v>90</v>
      </c>
      <c r="F13" s="9">
        <f t="shared" si="0"/>
        <v>7513.2</v>
      </c>
      <c r="G13" s="79"/>
      <c r="H13" s="5" t="str">
        <f>"=" &amp; TEXT('1_Στοιχεία_Μελέτης_&amp;_Ποσότητες'!C71,"#,##0.00") &amp; " m² × " &amp; TEXT('1_Στοιχεία_Μελέτης_&amp;_Ποσότητες'!C15,"0.00") &amp; " m = " &amp; TEXT(C13,"#,##0.00") &amp; " m³ × " &amp; TEXT(E13,"0.00") &amp; " €/m³"</f>
        <v>=556.50 m² × 0.15 m = 83.48 m³ × 90.00 €/m³</v>
      </c>
    </row>
    <row r="14" spans="1:8" ht="22" customHeight="1" x14ac:dyDescent="0.35">
      <c r="A14" s="19" t="s">
        <v>198</v>
      </c>
      <c r="B14" s="2" t="str">
        <f>"Εφαρμογή / Εκτόξευση Shotcrete Type A (με προσαύξηση απώλειας +" &amp; TEXT('1_Στοιχεία_Μελέτης_&amp;_Ποσότητες'!C56,"0.0%") &amp; ")"</f>
        <v>Εφαρμογή / Εκτόξευση Shotcrete Type A (με προσαύξηση απώλειας +33.3%)</v>
      </c>
      <c r="C14" s="9">
        <f>'1_Στοιχεία_Μελέτης_&amp;_Ποσότητες'!C74</f>
        <v>83.48</v>
      </c>
      <c r="D14" s="4" t="s">
        <v>157</v>
      </c>
      <c r="E14" s="40">
        <f>ROUND((IF(C13&gt;7, 200, 250)*(1+'1_Στοιχεία_Μελέτης_&amp;_Ποσότητες'!C56))-E13, 2)</f>
        <v>176.67</v>
      </c>
      <c r="F14" s="9">
        <f t="shared" si="0"/>
        <v>14748.41</v>
      </c>
      <c r="G14" s="79"/>
      <c r="H14" s="5" t="str">
        <f>"Βάση " &amp; IF(C13&gt;7,200,250) &amp; "€ × (1 + " &amp; TEXT('1_Στοιχεία_Μελέτης_&amp;_Ποσότητες'!C56,"0.0%") &amp; " απώλεια) - " &amp; TEXT(E13,"0.00") &amp; "€ αγορά = " &amp; TEXT(E14,"0.00") &amp; " €/m³"</f>
        <v>Βάση 200€ × (1 + 33.3% απώλεια) - 90.00€ αγορά = 176.67 €/m³</v>
      </c>
    </row>
    <row r="15" spans="1:8" ht="22" customHeight="1" x14ac:dyDescent="0.35">
      <c r="A15" s="19" t="s">
        <v>170</v>
      </c>
      <c r="B15" s="2" t="str">
        <f>"Διάτρηση Αγκυρώσεων Σειράς 1 (+93.50, 280 kN) Type A (" &amp; '1_Στοιχεία_Μελέτης_&amp;_Ποσότητες'!C41 &amp; " οπές × " &amp; TEXT('1_Στοιχεία_Μελέτης_&amp;_Ποσότητες'!C44,"0.00") &amp; " m)"</f>
        <v>Διάτρηση Αγκυρώσεων Σειράς 1 (+93.50, 280 kN) Type A (35 οπές × 15.50 m)</v>
      </c>
      <c r="C15" s="9">
        <f>'1_Στοιχεία_Μελέτης_&amp;_Ποσότητες'!C75</f>
        <v>542.5</v>
      </c>
      <c r="D15" s="4" t="s">
        <v>41</v>
      </c>
      <c r="E15" s="40">
        <v>30</v>
      </c>
      <c r="F15" s="9">
        <f t="shared" si="0"/>
        <v>16275</v>
      </c>
      <c r="G15" s="79"/>
      <c r="H15" s="5" t="str">
        <f>"=" &amp; '1_Στοιχεία_Μελέτης_&amp;_Ποσότητες'!C41 &amp; " οπές × (" &amp; TEXT('1_Στοιχεία_Μελέτης_&amp;_Ποσότητες'!C42,"0.00") &amp; "m ελεύθ. + " &amp; TEXT('1_Στοιχεία_Μελέτης_&amp;_Ποσότητες'!C43,"0.00") &amp; "m πακτ.) = " &amp; TEXT(C15,"#,##0.00") &amp; " m × " &amp; TEXT(E15,"0.00") &amp; " €/m"</f>
        <v>=35 οπές × (9.00m ελεύθ. + 6.50m πακτ.) = 542.50 m × 30.00 €/m</v>
      </c>
    </row>
    <row r="16" spans="1:8" ht="22" customHeight="1" x14ac:dyDescent="0.35">
      <c r="A16" s="19" t="s">
        <v>171</v>
      </c>
      <c r="B16" s="2" t="str">
        <f>"Διάτρηση Αγκυρώσεων Σειράς 2 (+90.00, 400 kN) Type A (" &amp; '1_Στοιχεία_Μελέτης_&amp;_Ποσότητες'!C41 &amp; " οπές × " &amp; TEXT('1_Στοιχεία_Μελέτης_&amp;_Ποσότητες'!C47,"0.00") &amp; " m)"</f>
        <v>Διάτρηση Αγκυρώσεων Σειράς 2 (+90.00, 400 kN) Type A (35 οπές × 14.50 m)</v>
      </c>
      <c r="C16" s="9">
        <f>'1_Στοιχεία_Μελέτης_&amp;_Ποσότητες'!C76</f>
        <v>507.5</v>
      </c>
      <c r="D16" s="4" t="s">
        <v>41</v>
      </c>
      <c r="E16" s="40">
        <v>30</v>
      </c>
      <c r="F16" s="9">
        <f t="shared" si="0"/>
        <v>15225</v>
      </c>
      <c r="G16" s="79"/>
      <c r="H16" s="5" t="str">
        <f>"=" &amp; '1_Στοιχεία_Μελέτης_&amp;_Ποσότητες'!C41 &amp; " οπές × (" &amp; TEXT('1_Στοιχεία_Μελέτης_&amp;_Ποσότητες'!C45,"0.00") &amp; "m ελεύθ. + " &amp; TEXT('1_Στοιχεία_Μελέτης_&amp;_Ποσότητες'!C46,"0.00") &amp; "m πακτ.) = " &amp; TEXT(C16,"#,##0.00") &amp; " m × " &amp; TEXT(E16,"0.00") &amp; " €/m"</f>
        <v>=35 οπές × (4.50m ελεύθ. + 10.00m πακτ.) = 507.50 m × 30.00 €/m</v>
      </c>
    </row>
    <row r="17" spans="1:8" ht="22" customHeight="1" x14ac:dyDescent="0.35">
      <c r="A17" s="19" t="s">
        <v>173</v>
      </c>
      <c r="B17" s="2" t="str">
        <f>"Grout Τσιμεντενέματος Αγκυρώσεων Type A (Ø" &amp; TEXT('1_Στοιχεία_Μελέτης_&amp;_Ποσότητες'!C22*1000,"0") &amp; " mm, συντ. ×" &amp; TEXT('1_Στοιχεία_Μελέτης_&amp;_Ποσότητες'!C23,"0.00") &amp; ")"</f>
        <v>Grout Τσιμεντενέματος Αγκυρώσεων Type A (Ø120 mm, συντ. ×1.20)</v>
      </c>
      <c r="C17" s="9">
        <f>'1_Στοιχεία_Μελέτης_&amp;_Ποσότητες'!C78</f>
        <v>14.25</v>
      </c>
      <c r="D17" s="4" t="s">
        <v>157</v>
      </c>
      <c r="E17" s="40">
        <v>500</v>
      </c>
      <c r="F17" s="9">
        <f t="shared" si="0"/>
        <v>7125</v>
      </c>
      <c r="G17" s="79"/>
      <c r="H17" s="5" t="str">
        <f>"=" &amp; TEXT('1_Στοιχεία_Μελέτης_&amp;_Ποσότητες'!C77,"#,##0.00") &amp; " m διάτρησης × " &amp; TEXT('1_Στοιχεία_Μελέτης_&amp;_Ποσότητες'!C58,"0.0000") &amp; " m³/m = " &amp; TEXT(C17,"#,##0.00") &amp; " m³ × " &amp; TEXT(E17,"0.00") &amp; " €/m³"</f>
        <v>=1,050.00 m διάτρησης × 0.0136 m³/m = 14.25 m³ × 500.00 €/m³</v>
      </c>
    </row>
    <row r="18" spans="1:8" ht="22" customHeight="1" x14ac:dyDescent="0.35">
      <c r="A18" s="19" t="s">
        <v>174</v>
      </c>
      <c r="B18" s="2" t="str">
        <f>"Τένοντες Προέντασης Type A (" &amp; '1_Στοιχεία_Μελέτης_&amp;_Ποσότητες'!C48 &amp; "-Strands 0.6'' / 15.2mm Grade 1860, +" &amp; TEXT('1_Στοιχεία_Μελέτης_&amp;_Ποσότητες'!C24,"0.00") &amp; "m αναμονή)"</f>
        <v>Τένοντες Προέντασης Type A (4-Strands 0.6'' / 15.2mm Grade 1860, +1.00m αναμονή)</v>
      </c>
      <c r="C18" s="9">
        <f>'1_Στοιχεία_Μελέτης_&amp;_Ποσότητες'!C79</f>
        <v>4480</v>
      </c>
      <c r="D18" s="4" t="s">
        <v>41</v>
      </c>
      <c r="E18" s="40">
        <v>2.2799999999999998</v>
      </c>
      <c r="F18" s="9">
        <f t="shared" si="0"/>
        <v>10214.4</v>
      </c>
      <c r="G18" s="79"/>
      <c r="H18" s="5" t="str">
        <f>"=" &amp; TEXT(C18,"#,##0.00") &amp; " m τενόντων (" &amp; TEXT(C18*1.1,"#,##0.00") &amp; " kg) × " &amp; TEXT(E18,"0.00") &amp; " €/m"</f>
        <v>=4,480.00 m τενόντων (4,928.00 kg) × 2.28 €/m</v>
      </c>
    </row>
    <row r="19" spans="1:8" ht="22" customHeight="1" x14ac:dyDescent="0.35">
      <c r="A19" s="19" t="s">
        <v>175</v>
      </c>
      <c r="B19" s="2" t="str">
        <f>"Προένταση Αγκυρώσεων (Stressing &amp; Lock-off) Type A (" &amp; '1_Στοιχεία_Μελέτης_&amp;_Ποσότητες'!C40 &amp; " σειρές × " &amp; '1_Στοιχεία_Μελέτης_&amp;_Ποσότητες'!C41 &amp; " οπές)"</f>
        <v>Προένταση Αγκυρώσεων (Stressing &amp; Lock-off) Type A (2 σειρές × 35 οπές)</v>
      </c>
      <c r="C19" s="17">
        <f>'1_Στοιχεία_Μελέτης_&amp;_Ποσότητες'!C80</f>
        <v>70</v>
      </c>
      <c r="D19" s="4" t="s">
        <v>176</v>
      </c>
      <c r="E19" s="40">
        <v>18</v>
      </c>
      <c r="F19" s="9">
        <f t="shared" si="0"/>
        <v>1260</v>
      </c>
      <c r="G19" s="79"/>
      <c r="H19" s="5" t="str">
        <f>"=" &amp; C19 &amp; " προεντεταμένες αγκυρώσεις × " &amp; TEXT(E19,"0.00") &amp; " €/τεμ."</f>
        <v>=70 προεντεταμένες αγκυρώσεις × 18.00 €/τεμ.</v>
      </c>
    </row>
    <row r="20" spans="1:8" ht="22" customHeight="1" x14ac:dyDescent="0.35">
      <c r="A20" s="19" t="s">
        <v>199</v>
      </c>
      <c r="B20" s="2" t="str">
        <f>"Κεφαλές Αγκύρωσης (Anchor Head, Wedges &amp; Πλάκα Έδρασης 360×250×20mm) Type A"</f>
        <v>Κεφαλές Αγκύρωσης (Anchor Head, Wedges &amp; Πλάκα Έδρασης 360×250×20mm) Type A</v>
      </c>
      <c r="C20" s="17">
        <f>'1_Στοιχεία_Μελέτης_&amp;_Ποσότητες'!C80</f>
        <v>70</v>
      </c>
      <c r="D20" s="4" t="s">
        <v>176</v>
      </c>
      <c r="E20" s="40">
        <v>55</v>
      </c>
      <c r="F20" s="9">
        <f t="shared" si="0"/>
        <v>3850</v>
      </c>
      <c r="G20" s="79"/>
      <c r="H20" s="5" t="str">
        <f>"=" &amp; C20 &amp; " πλήρη σετ κεφαλής, σφηνών και πλάκας έδρασης × " &amp; TEXT(E20,"0.00") &amp; " €/τεμ."</f>
        <v>=70 πλήρη σετ κεφαλής, σφηνών και πλάκας έδρασης × 55.00 €/τεμ.</v>
      </c>
    </row>
    <row r="21" spans="1:8" ht="24" customHeight="1" x14ac:dyDescent="0.35">
      <c r="A21" s="42" t="s">
        <v>200</v>
      </c>
      <c r="B21" s="35" t="str">
        <f>"ΣΥΝΟΛΟ ΚΟΥΤΙΟΥ TYPE A (" &amp; TEXT('1_Στοιχεία_Μελέτης_&amp;_Ποσότητες'!C29,"0.00") &amp; " τρ.μ. | " &amp; TEXT(F21/'1_Στοιχεία_Μελέτης_&amp;_Ποσότητες'!C29,"#,##0.00") &amp; " €/τρ.μ.)"</f>
        <v>ΣΥΝΟΛΟ ΚΟΥΤΙΟΥ TYPE A (70.00 τρ.μ. | 2,733.13 €/τρ.μ.)</v>
      </c>
      <c r="C21" s="43"/>
      <c r="D21" s="43"/>
      <c r="E21" s="43"/>
      <c r="F21" s="44">
        <f>SUM(F6:F20)</f>
        <v>191319.28</v>
      </c>
      <c r="G21" s="80"/>
      <c r="H21" s="45" t="str">
        <f>"Συνολικό κόστος Type A (" &amp; '1_Στοιχεία_Μελέτης_&amp;_Ποσότητες'!C27 &amp; " πάσσαλοι 2×" &amp; '1_Στοιχεία_Μελέτης_&amp;_Ποσότητες'!C36 &amp; " &amp; " &amp; '1_Στοιχεία_Μελέτης_&amp;_Ποσότητες'!C80 &amp; " αγκυρώσεις 4-Strands)"</f>
        <v>Συνολικό κόστος Type A (35 πάσσαλοι 2×UPN 300 &amp; 70 αγκυρώσεις 4-Strands)</v>
      </c>
    </row>
    <row r="23" spans="1:8" ht="24" customHeight="1" x14ac:dyDescent="0.35">
      <c r="A23" s="89" t="str">
        <f>"🚛 ΚΟΥΤΙ ΠΥΛΩΝΑ 1 — ΜΕΤΑΚΙΝΗΣΕΙΣ ΕΞΟΠΛΙΣΜΟΥ &amp; ΣΥΝΕΡΓΕΙΩΝ (ΑΠΟΣΤΑΣΗ: " &amp; '1_Στοιχεία_Μελέτης_&amp;_Ποσότητες'!C9 &amp; " km | ΣΥΝΟΛΟ: " &amp; TEXT(F27,"#,##0.00") &amp; " €)"</f>
        <v>🚛 ΚΟΥΤΙ ΠΥΛΩΝΑ 1 — ΜΕΤΑΚΙΝΗΣΕΙΣ ΕΞΟΠΛΙΣΜΟΥ &amp; ΣΥΝΕΡΓΕΙΩΝ (ΑΠΟΣΤΑΣΗ: 15 km | ΣΥΝΟΛΟ: 2,700.00 €)</v>
      </c>
      <c r="B23" s="64"/>
      <c r="C23" s="64"/>
      <c r="D23" s="64"/>
      <c r="E23" s="64"/>
      <c r="F23" s="64"/>
      <c r="G23" s="64"/>
      <c r="H23" s="65"/>
    </row>
    <row r="24" spans="1:8" ht="22" customHeight="1" x14ac:dyDescent="0.35">
      <c r="A24" s="19" t="s">
        <v>151</v>
      </c>
      <c r="B24" s="2" t="str">
        <f>"Μετακίνηση Μεγάλου Τρυπανιού (Piling Rig — Βασική Ζώνη Λεμεσού " &amp; '1_Στοιχεία_Μελέτης_&amp;_Ποσότητες'!C9 &amp; " km)"</f>
        <v>Μετακίνηση Μεγάλου Τρυπανιού (Piling Rig — Βασική Ζώνη Λεμεσού 15 km)</v>
      </c>
      <c r="C24" s="17">
        <f>'1_Στοιχεία_Μελέτης_&amp;_Ποσότητες'!C59</f>
        <v>1</v>
      </c>
      <c r="D24" s="4" t="s">
        <v>152</v>
      </c>
      <c r="E24" s="40">
        <f>1500+IF('1_Στοιχεία_Μελέτης_&amp;_Ποσότητες'!C9&gt;80,1500,IF('1_Στοιχεία_Μελέτης_&amp;_Ποσότητες'!C9&gt;40,500,0))</f>
        <v>1500</v>
      </c>
      <c r="F24" s="9">
        <f>ROUND(C24*E24, 2)</f>
        <v>1500</v>
      </c>
      <c r="G24" s="78">
        <f>F27</f>
        <v>2700</v>
      </c>
      <c r="H24" s="5" t="str">
        <f>"Βάση Άγιος Συλάς (" &amp; '1_Στοιχεία_Μελέτης_&amp;_Ποσότητες'!C9 &amp; " km ≤ 40 km -&gt; 1,500.00 €/στράτα)"</f>
        <v>Βάση Άγιος Συλάς (15 km ≤ 40 km -&gt; 1,500.00 €/στράτα)</v>
      </c>
    </row>
    <row r="25" spans="1:8" ht="22" customHeight="1" x14ac:dyDescent="0.35">
      <c r="A25" s="19" t="s">
        <v>153</v>
      </c>
      <c r="B25" s="2" t="str">
        <f>"Μετακινήσεις Εξοπλισμού Αγκυρώσεων (" &amp; '1_Στοιχεία_Μελέτης_&amp;_Ποσότητες'!C40 &amp; " οριζόντιες σειρές αγκυρώσεων)"</f>
        <v>Μετακινήσεις Εξοπλισμού Αγκυρώσεων (2 οριζόντιες σειρές αγκυρώσεων)</v>
      </c>
      <c r="C25" s="17">
        <f>'1_Στοιχεία_Μελέτης_&amp;_Ποσότητες'!C60</f>
        <v>2</v>
      </c>
      <c r="D25" s="4" t="s">
        <v>152</v>
      </c>
      <c r="E25" s="40">
        <f>300+MAX(0,ROUNDUP(('1_Στοιχεία_Μελέτης_&amp;_Ποσότητες'!C9-40)/40,0))*50</f>
        <v>300</v>
      </c>
      <c r="F25" s="9">
        <f>ROUND(C25*E25, 2)</f>
        <v>600</v>
      </c>
      <c r="G25" s="79"/>
      <c r="H25" s="5" t="str">
        <f>"1 στράτα ανά οριζόντια σειρά αγκυρώσεων (" &amp; C25 &amp; " × " &amp; TEXT(E25,"0.00") &amp; " €)"</f>
        <v>1 στράτα ανά οριζόντια σειρά αγκυρώσεων (2 × 300.00 €)</v>
      </c>
    </row>
    <row r="26" spans="1:8" ht="22" customHeight="1" x14ac:dyDescent="0.35">
      <c r="A26" s="19" t="s">
        <v>154</v>
      </c>
      <c r="B26" s="2" t="str">
        <f>"Μετακινήσεις Συνεργείου &amp; Αντλίας Shotcrete (" &amp; '1_Στοιχεία_Μελέτης_&amp;_Ποσότητες'!C40 &amp; " σειρές + 1)"</f>
        <v>Μετακινήσεις Συνεργείου &amp; Αντλίας Shotcrete (2 σειρές + 1)</v>
      </c>
      <c r="C26" s="17">
        <f>'1_Στοιχεία_Μελέτης_&amp;_Ποσότητες'!C61</f>
        <v>3</v>
      </c>
      <c r="D26" s="4" t="s">
        <v>152</v>
      </c>
      <c r="E26" s="40">
        <f>200+MAX(0,ROUNDUP(('1_Στοιχεία_Μελέτης_&amp;_Ποσότητες'!C9-40)/40,0))*50</f>
        <v>200</v>
      </c>
      <c r="F26" s="9">
        <f>ROUND(C26*E26, 2)</f>
        <v>600</v>
      </c>
      <c r="G26" s="79"/>
      <c r="H26" s="5" t="str">
        <f>"Σειρές αγκυρώσεων + 1 στράτα (" &amp; C26 &amp; " × " &amp; TEXT(E26,"0.00") &amp; " €)"</f>
        <v>Σειρές αγκυρώσεων + 1 στράτα (3 × 200.00 €)</v>
      </c>
    </row>
    <row r="27" spans="1:8" ht="24" customHeight="1" x14ac:dyDescent="0.35">
      <c r="A27" s="42" t="s">
        <v>201</v>
      </c>
      <c r="B27" s="35" t="s">
        <v>202</v>
      </c>
      <c r="C27" s="43"/>
      <c r="D27" s="43"/>
      <c r="E27" s="43"/>
      <c r="F27" s="44">
        <f>SUM(F24:F26)</f>
        <v>2700</v>
      </c>
      <c r="G27" s="80"/>
      <c r="H27" s="45" t="str">
        <f>"Σύνολο μετακινήσεων μεγάλου τρυπανιού, αγκυρώσεων και shotcrete."</f>
        <v>Σύνολο μετακινήσεων μεγάλου τρυπανιού, αγκυρώσεων και shotcrete.</v>
      </c>
    </row>
    <row r="29" spans="1:8" ht="24" customHeight="1" x14ac:dyDescent="0.35">
      <c r="A29" s="90" t="s">
        <v>203</v>
      </c>
      <c r="B29" s="64"/>
      <c r="C29" s="64"/>
      <c r="D29" s="64"/>
      <c r="E29" s="64"/>
      <c r="F29" s="64"/>
      <c r="G29" s="64"/>
      <c r="H29" s="65"/>
    </row>
    <row r="30" spans="1:8" ht="22" customHeight="1" x14ac:dyDescent="0.35">
      <c r="A30" s="46" t="s">
        <v>204</v>
      </c>
      <c r="B30" s="81" t="s">
        <v>205</v>
      </c>
      <c r="C30" s="82"/>
      <c r="D30" s="82"/>
      <c r="E30" s="82"/>
      <c r="F30" s="9">
        <f>F27</f>
        <v>2700</v>
      </c>
      <c r="G30" s="22">
        <f>F30/$F$36</f>
        <v>1.3916142766842552E-2</v>
      </c>
      <c r="H30" s="47" t="str">
        <f>"3 είδη στρατών (Μεγάλο τρυπάνι, Αγκυρώσεις, Shotcrete)"</f>
        <v>3 είδη στρατών (Μεγάλο τρυπάνι, Αγκυρώσεις, Shotcrete)</v>
      </c>
    </row>
    <row r="31" spans="1:8" ht="22" customHeight="1" x14ac:dyDescent="0.35">
      <c r="A31" s="46" t="s">
        <v>206</v>
      </c>
      <c r="B31" s="81" t="str">
        <f>"Cross-Check Πυλώνας 2: Σχάρες (Y" &amp; '1_Στοιχεία_Μελέτης_&amp;_Ποσότητες'!C11 &amp; "/" &amp; '1_Στοιχεία_Μελέτης_&amp;_Ποσότητες'!C12 &amp; "×" &amp; '1_Στοιχεία_Μελέτης_&amp;_Ποσότητες'!C13 &amp; ") &amp; Εκτοξευόμενο Σκυρόδεμα (" &amp; '1_Στοιχεία_Μελέτης_&amp;_Ποσότητες'!C14 &amp; ")"</f>
        <v>Cross-Check Πυλώνας 2: Σχάρες (Y10/150×150) &amp; Εκτοξευόμενο Σκυρόδεμα (C30/37)</v>
      </c>
      <c r="C31" s="82"/>
      <c r="D31" s="82"/>
      <c r="E31" s="82"/>
      <c r="F31" s="9">
        <f>SUM(F11:F14)</f>
        <v>42045.19</v>
      </c>
      <c r="G31" s="22">
        <f>F31/$F$36</f>
        <v>0.21670624692556328</v>
      </c>
      <c r="H31" s="47" t="str">
        <f>"Επιφάνεια μετώπου " &amp; TEXT('1_Στοιχεία_Μελέτης_&amp;_Ποσότητες'!C85,"#,##0.00") &amp; " m², όγκος shotcrete " &amp; TEXT('1_Στοιχεία_Μελέτης_&amp;_Ποσότητες'!C92,"#,##0.00") &amp; " m³"</f>
        <v>Επιφάνεια μετώπου 556.50 m², όγκος shotcrete 83.48 m³</v>
      </c>
    </row>
    <row r="32" spans="1:8" ht="22" customHeight="1" x14ac:dyDescent="0.35">
      <c r="A32" s="46" t="s">
        <v>207</v>
      </c>
      <c r="B32" s="81" t="str">
        <f>"Cross-Check Πυλώνας 3: Χαλύβδινες Νέφκες (" &amp; '1_Στοιχεία_Μελέτης_&amp;_Ποσότητες'!C37 &amp; "×" &amp; '1_Στοιχεία_Μελέτης_&amp;_Ποσότητες'!C36 &amp; "), Διάτρηση Ø" &amp; TEXT('1_Στοιχεία_Μελέτης_&amp;_Ποσότητες'!C30*1000,"0") &amp; "mm, Λάμες &amp; Κουγκρί"</f>
        <v>Cross-Check Πυλώνας 3: Χαλύβδινες Νέφκες (2×UPN 300), Διάτρηση Ø800mm, Λάμες &amp; Κουγκρί</v>
      </c>
      <c r="C32" s="82"/>
      <c r="D32" s="82"/>
      <c r="E32" s="82"/>
      <c r="F32" s="9">
        <f>SUM(F6:F10)</f>
        <v>95324.69</v>
      </c>
      <c r="G32" s="22">
        <f>F32/$F$36</f>
        <v>0.49131555379444763</v>
      </c>
      <c r="H32" s="47" t="str">
        <f>"=" &amp; '1_Στοιχεία_Μελέτης_&amp;_Ποσότητες'!C83 &amp; " πάσσαλοι Π1 × " &amp; TEXT('1_Στοιχεία_Μελέτης_&amp;_Ποσότητες'!C33,"0.00") &amp; " m (" &amp; TEXT('1_Στοιχεία_Μελέτης_&amp;_Ποσότητες'!C88,"#,##0.00") &amp; " kg χάλυβα)"</f>
        <v>=35 πάσσαλοι Π1 × 11.95 m (38,646.30 kg χάλυβα)</v>
      </c>
    </row>
    <row r="33" spans="1:8" ht="22" customHeight="1" x14ac:dyDescent="0.35">
      <c r="A33" s="46" t="s">
        <v>208</v>
      </c>
      <c r="B33" s="81" t="str">
        <f>"Cross-Check Πυλώνας 4: Προεντεταμένες Αγκυρώσεις (" &amp; '1_Στοιχεία_Μελέτης_&amp;_Ποσότητες'!C96 &amp; " τεμ., " &amp; '1_Στοιχεία_Μελέτης_&amp;_Ποσότητες'!C48 &amp; "-Strands 0.6'')"</f>
        <v>Cross-Check Πυλώνας 4: Προεντεταμένες Αγκυρώσεις (70 τεμ., 4-Strands 0.6'')</v>
      </c>
      <c r="C33" s="82"/>
      <c r="D33" s="82"/>
      <c r="E33" s="82"/>
      <c r="F33" s="9">
        <f>SUM(F15:F20)</f>
        <v>53949.4</v>
      </c>
      <c r="G33" s="22">
        <f>F33/$F$36</f>
        <v>0.27806205651314653</v>
      </c>
      <c r="H33" s="47" t="str">
        <f>"=" &amp; TEXT('1_Στοιχεία_Μελέτης_&amp;_Ποσότητες'!C93,"#,##0.00") &amp; " m διάτρησης, " &amp; TEXT('1_Στοιχεία_Μελέτης_&amp;_Ποσότητες'!C95,"#,##0.00") &amp; " m τενόντων"</f>
        <v>=1,050.00 m διάτρησης, 4,480.00 m τενόντων</v>
      </c>
    </row>
    <row r="34" spans="1:8" ht="22" customHeight="1" x14ac:dyDescent="0.35">
      <c r="A34" s="46" t="s">
        <v>209</v>
      </c>
      <c r="B34" s="81" t="s">
        <v>210</v>
      </c>
      <c r="C34" s="82"/>
      <c r="D34" s="82"/>
      <c r="E34" s="82"/>
      <c r="F34" s="9">
        <f>SUM(F30:F33)</f>
        <v>194019.28</v>
      </c>
      <c r="G34" s="22">
        <f>F34/$F$36</f>
        <v>1</v>
      </c>
      <c r="H34" s="47" t="str">
        <f>"Διασταύρωση με Άθροισμα Κουτιών (Διαφορά = " &amp; TEXT(F34-F36,"0.00") &amp; " €)"</f>
        <v>Διασταύρωση με Άθροισμα Κουτιών (Διαφορά = 0.00 €)</v>
      </c>
    </row>
    <row r="35" spans="1:8" x14ac:dyDescent="0.35">
      <c r="A35" s="48"/>
      <c r="B35" s="49"/>
      <c r="C35" s="49"/>
      <c r="D35" s="49"/>
      <c r="E35" s="49"/>
      <c r="F35" s="49"/>
      <c r="G35" s="49"/>
      <c r="H35" s="50"/>
    </row>
    <row r="36" spans="1:8" ht="26" customHeight="1" x14ac:dyDescent="0.35">
      <c r="A36" s="42" t="s">
        <v>211</v>
      </c>
      <c r="B36" s="85" t="s">
        <v>212</v>
      </c>
      <c r="C36" s="86"/>
      <c r="D36" s="86"/>
      <c r="E36" s="86"/>
      <c r="F36" s="44">
        <f>G6+G24</f>
        <v>194019.28</v>
      </c>
      <c r="G36" s="51">
        <f>1</f>
        <v>1</v>
      </c>
      <c r="H36" s="45" t="str">
        <f>"Τελικό Ποσό Προσφοράς (Κουτί TYPE A + Κουτί ΠΥΛ. 1 — Χωρίς Φ.Π.Α. βάσει Κανόνα §3.7.2)"</f>
        <v>Τελικό Ποσό Προσφοράς (Κουτί TYPE A + Κουτί ΠΥΛ. 1 — Χωρίς Φ.Π.Α. βάσει Κανόνα §3.7.2)</v>
      </c>
    </row>
    <row r="38" spans="1:8" ht="24" customHeight="1" x14ac:dyDescent="0.35">
      <c r="A38" s="91" t="s">
        <v>213</v>
      </c>
      <c r="B38" s="64"/>
      <c r="C38" s="64"/>
      <c r="D38" s="64"/>
      <c r="E38" s="64"/>
      <c r="F38" s="64"/>
      <c r="G38" s="64"/>
      <c r="H38" s="65"/>
    </row>
    <row r="39" spans="1:8" ht="22" customHeight="1" x14ac:dyDescent="0.35">
      <c r="A39" s="19" t="s">
        <v>214</v>
      </c>
      <c r="B39" s="74" t="s">
        <v>215</v>
      </c>
      <c r="C39" s="75"/>
      <c r="D39" s="75"/>
      <c r="E39" s="4" t="s">
        <v>216</v>
      </c>
      <c r="F39" s="9">
        <f>ROUND(F36/'1_Στοιχεία_Μελέτης_&amp;_Ποσότητες'!C85, 2)</f>
        <v>348.64</v>
      </c>
      <c r="G39" s="83" t="str">
        <f>"Τελικό Σύνολο " &amp; TEXT(F36,"#,##0.00") &amp; " € / " &amp; TEXT('1_Στοιχεία_Μελέτης_&amp;_Ποσότητες'!C85,"#,##0.00") &amp; " m²"</f>
        <v>Τελικό Σύνολο 194,019.28 € / 556.50 m²</v>
      </c>
      <c r="H39" s="84"/>
    </row>
    <row r="40" spans="1:8" ht="22" customHeight="1" x14ac:dyDescent="0.35">
      <c r="A40" s="19" t="s">
        <v>217</v>
      </c>
      <c r="B40" s="74" t="s">
        <v>218</v>
      </c>
      <c r="C40" s="75"/>
      <c r="D40" s="75"/>
      <c r="E40" s="4" t="s">
        <v>219</v>
      </c>
      <c r="F40" s="9">
        <f>ROUND(F36/'1_Στοιχεία_Μελέτης_&amp;_Ποσότητες'!C84, 2)</f>
        <v>2771.7</v>
      </c>
      <c r="G40" s="83" t="str">
        <f>"Τελικό Σύνολο " &amp; TEXT(F36,"#,##0.00") &amp; " € / " &amp; TEXT('1_Στοιχεία_Μελέτης_&amp;_Ποσότητες'!C84,"#,##0.00") &amp; " τρ.μ."</f>
        <v>Τελικό Σύνολο 194,019.28 € / 70.00 τρ.μ.</v>
      </c>
      <c r="H40" s="84"/>
    </row>
    <row r="41" spans="1:8" ht="22" customHeight="1" x14ac:dyDescent="0.35">
      <c r="A41" s="19" t="s">
        <v>220</v>
      </c>
      <c r="B41" s="74" t="s">
        <v>221</v>
      </c>
      <c r="C41" s="75"/>
      <c r="D41" s="75"/>
      <c r="E41" s="4" t="s">
        <v>222</v>
      </c>
      <c r="F41" s="9">
        <f>ROUND(F32/'1_Στοιχεία_Μελέτης_&amp;_Ποσότητες'!C83, 2)</f>
        <v>2723.56</v>
      </c>
      <c r="G41" s="83" t="str">
        <f>"Σύνολο Πυλώνα 3 (" &amp; TEXT(F32,"#,##0.00") &amp; " €) / " &amp; '1_Στοιχεία_Μελέτης_&amp;_Ποσότητες'!C83 &amp; " πασσάλους Π1 (Πλήρες έργο/πάσσαλο = " &amp; TEXT(F36/'1_Στοιχεία_Μελέτης_&amp;_Ποσότητες'!C83,"#,##0.00") &amp; " €)"</f>
        <v>Σύνολο Πυλώνα 3 (95,324.69 €) / 35 πασσάλους Π1 (Πλήρες έργο/πάσσαλο = 5,543.41 €)</v>
      </c>
      <c r="H41" s="84"/>
    </row>
    <row r="42" spans="1:8" ht="22" customHeight="1" x14ac:dyDescent="0.35">
      <c r="A42" s="19" t="s">
        <v>223</v>
      </c>
      <c r="B42" s="74" t="s">
        <v>224</v>
      </c>
      <c r="C42" s="75"/>
      <c r="D42" s="75"/>
      <c r="E42" s="4" t="s">
        <v>225</v>
      </c>
      <c r="F42" s="9">
        <f>ROUND(F33/'1_Στοιχεία_Μελέτης_&amp;_Ποσότητες'!C96, 2)</f>
        <v>770.71</v>
      </c>
      <c r="G42" s="83" t="str">
        <f>"Σύνολο Πυλώνα 4 (" &amp; TEXT(F33,"#,##0.00") &amp; " €) / " &amp; '1_Στοιχεία_Μελέτης_&amp;_Ποσότητες'!C96 &amp; " αγκυρώσεις"</f>
        <v>Σύνολο Πυλώνα 4 (53,949.40 €) / 70 αγκυρώσεις</v>
      </c>
      <c r="H42" s="84"/>
    </row>
    <row r="43" spans="1:8" ht="22" customHeight="1" x14ac:dyDescent="0.35">
      <c r="A43" s="24" t="s">
        <v>226</v>
      </c>
      <c r="B43" s="87" t="s">
        <v>227</v>
      </c>
      <c r="C43" s="88"/>
      <c r="D43" s="88"/>
      <c r="E43" s="12" t="s">
        <v>216</v>
      </c>
      <c r="F43" s="52">
        <f>ROUND(F31/'1_Στοιχεία_Μελέτης_&amp;_Ποσότητες'!C85, 2)</f>
        <v>75.55</v>
      </c>
      <c r="G43" s="76" t="str">
        <f>"Σύνολο Πυλώνα 2 (" &amp; TEXT(F31,"#,##0.00") &amp; " €) / " &amp; TEXT('1_Στοιχεία_Μελέτης_&amp;_Ποσότητες'!C85,"#,##0.00") &amp; " m²"</f>
        <v>Σύνολο Πυλώνα 2 (42,045.19 €) / 556.50 m²</v>
      </c>
      <c r="H43" s="77"/>
    </row>
  </sheetData>
  <mergeCells count="24">
    <mergeCell ref="A1:H1"/>
    <mergeCell ref="B36:E36"/>
    <mergeCell ref="G39:H39"/>
    <mergeCell ref="B32:E32"/>
    <mergeCell ref="B40:D40"/>
    <mergeCell ref="G24:G27"/>
    <mergeCell ref="B31:E31"/>
    <mergeCell ref="A2:H2"/>
    <mergeCell ref="A5:H5"/>
    <mergeCell ref="A23:H23"/>
    <mergeCell ref="A29:H29"/>
    <mergeCell ref="A38:H38"/>
    <mergeCell ref="B34:E34"/>
    <mergeCell ref="G40:H40"/>
    <mergeCell ref="B39:D39"/>
    <mergeCell ref="B42:D42"/>
    <mergeCell ref="G43:H43"/>
    <mergeCell ref="G6:G21"/>
    <mergeCell ref="B30:E30"/>
    <mergeCell ref="G42:H42"/>
    <mergeCell ref="B33:E33"/>
    <mergeCell ref="B43:D43"/>
    <mergeCell ref="B41:D41"/>
    <mergeCell ref="G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/>
  </sheetViews>
  <sheetFormatPr defaultRowHeight="14.5" x14ac:dyDescent="0.35"/>
  <cols>
    <col min="1" max="1" width="24" customWidth="1"/>
    <col min="2" max="5" width="16" customWidth="1"/>
    <col min="6" max="7" width="18" customWidth="1"/>
  </cols>
  <sheetData>
    <row r="1" spans="1:7" ht="28" customHeight="1" x14ac:dyDescent="0.35">
      <c r="A1" s="68" t="s">
        <v>228</v>
      </c>
      <c r="B1" s="62"/>
      <c r="C1" s="62"/>
      <c r="D1" s="62"/>
      <c r="E1" s="62"/>
      <c r="F1" s="62"/>
      <c r="G1" s="62"/>
    </row>
    <row r="2" spans="1:7" ht="20" customHeight="1" x14ac:dyDescent="0.35">
      <c r="A2" s="61" t="s">
        <v>229</v>
      </c>
      <c r="B2" s="62"/>
      <c r="C2" s="62"/>
      <c r="D2" s="62"/>
      <c r="E2" s="62"/>
      <c r="F2" s="62"/>
      <c r="G2" s="62"/>
    </row>
    <row r="4" spans="1:7" ht="22" customHeight="1" x14ac:dyDescent="0.35">
      <c r="A4" s="73" t="s">
        <v>230</v>
      </c>
      <c r="B4" s="62"/>
      <c r="C4" s="62"/>
      <c r="D4" s="62"/>
      <c r="E4" s="62"/>
      <c r="F4" s="62"/>
      <c r="G4" s="62"/>
    </row>
    <row r="5" spans="1:7" ht="20" customHeight="1" x14ac:dyDescent="0.35">
      <c r="A5" s="1" t="s">
        <v>231</v>
      </c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</row>
    <row r="6" spans="1:7" ht="19" customHeight="1" x14ac:dyDescent="0.35">
      <c r="A6" s="53" t="s">
        <v>238</v>
      </c>
      <c r="B6" s="54">
        <v>133</v>
      </c>
      <c r="C6" s="54">
        <v>140</v>
      </c>
      <c r="D6" s="55">
        <v>5.5</v>
      </c>
      <c r="E6" s="55">
        <v>8.5</v>
      </c>
      <c r="F6" s="55">
        <v>31.4</v>
      </c>
      <c r="G6" s="56">
        <v>24.7</v>
      </c>
    </row>
    <row r="7" spans="1:7" ht="19" customHeight="1" x14ac:dyDescent="0.35">
      <c r="A7" s="53" t="s">
        <v>239</v>
      </c>
      <c r="B7" s="54">
        <v>152</v>
      </c>
      <c r="C7" s="54">
        <v>160</v>
      </c>
      <c r="D7" s="55">
        <v>6</v>
      </c>
      <c r="E7" s="55">
        <v>9</v>
      </c>
      <c r="F7" s="55">
        <v>38.799999999999997</v>
      </c>
      <c r="G7" s="56">
        <v>30.4</v>
      </c>
    </row>
    <row r="8" spans="1:7" ht="19" customHeight="1" x14ac:dyDescent="0.35">
      <c r="A8" s="53" t="s">
        <v>240</v>
      </c>
      <c r="B8" s="54">
        <v>171</v>
      </c>
      <c r="C8" s="54">
        <v>180</v>
      </c>
      <c r="D8" s="55">
        <v>6</v>
      </c>
      <c r="E8" s="55">
        <v>9.5</v>
      </c>
      <c r="F8" s="55">
        <v>45.3</v>
      </c>
      <c r="G8" s="56">
        <v>35.5</v>
      </c>
    </row>
    <row r="9" spans="1:7" ht="19" customHeight="1" x14ac:dyDescent="0.35">
      <c r="A9" s="53" t="s">
        <v>241</v>
      </c>
      <c r="B9" s="54">
        <v>190</v>
      </c>
      <c r="C9" s="54">
        <v>200</v>
      </c>
      <c r="D9" s="55">
        <v>6.5</v>
      </c>
      <c r="E9" s="55">
        <v>10</v>
      </c>
      <c r="F9" s="55">
        <v>53.8</v>
      </c>
      <c r="G9" s="56">
        <v>42.3</v>
      </c>
    </row>
    <row r="10" spans="1:7" ht="19" customHeight="1" x14ac:dyDescent="0.35">
      <c r="A10" s="53" t="s">
        <v>242</v>
      </c>
      <c r="B10" s="54">
        <v>210</v>
      </c>
      <c r="C10" s="54">
        <v>220</v>
      </c>
      <c r="D10" s="55">
        <v>7</v>
      </c>
      <c r="E10" s="55">
        <v>11</v>
      </c>
      <c r="F10" s="55">
        <v>64.3</v>
      </c>
      <c r="G10" s="56">
        <v>50.5</v>
      </c>
    </row>
    <row r="11" spans="1:7" ht="19" customHeight="1" x14ac:dyDescent="0.35">
      <c r="A11" s="53" t="s">
        <v>243</v>
      </c>
      <c r="B11" s="54">
        <v>230</v>
      </c>
      <c r="C11" s="54">
        <v>240</v>
      </c>
      <c r="D11" s="55">
        <v>7.5</v>
      </c>
      <c r="E11" s="55">
        <v>12</v>
      </c>
      <c r="F11" s="55">
        <v>76.8</v>
      </c>
      <c r="G11" s="56">
        <v>60.3</v>
      </c>
    </row>
    <row r="12" spans="1:7" ht="19" customHeight="1" x14ac:dyDescent="0.35">
      <c r="A12" s="53" t="s">
        <v>244</v>
      </c>
      <c r="B12" s="54">
        <v>250</v>
      </c>
      <c r="C12" s="54">
        <v>260</v>
      </c>
      <c r="D12" s="55">
        <v>7.5</v>
      </c>
      <c r="E12" s="55">
        <v>12.5</v>
      </c>
      <c r="F12" s="55">
        <v>86.8</v>
      </c>
      <c r="G12" s="56">
        <v>68.2</v>
      </c>
    </row>
    <row r="13" spans="1:7" ht="19" customHeight="1" x14ac:dyDescent="0.35">
      <c r="A13" s="53" t="s">
        <v>245</v>
      </c>
      <c r="B13" s="54">
        <v>270</v>
      </c>
      <c r="C13" s="54">
        <v>280</v>
      </c>
      <c r="D13" s="55">
        <v>8</v>
      </c>
      <c r="E13" s="55">
        <v>13</v>
      </c>
      <c r="F13" s="55">
        <v>97.3</v>
      </c>
      <c r="G13" s="56">
        <v>76.400000000000006</v>
      </c>
    </row>
    <row r="14" spans="1:7" ht="19" customHeight="1" x14ac:dyDescent="0.35">
      <c r="A14" s="53" t="s">
        <v>246</v>
      </c>
      <c r="B14" s="54">
        <v>290</v>
      </c>
      <c r="C14" s="54">
        <v>300</v>
      </c>
      <c r="D14" s="55">
        <v>8.5</v>
      </c>
      <c r="E14" s="55">
        <v>14</v>
      </c>
      <c r="F14" s="55">
        <v>112.5</v>
      </c>
      <c r="G14" s="56">
        <v>88.3</v>
      </c>
    </row>
    <row r="16" spans="1:7" ht="22" customHeight="1" x14ac:dyDescent="0.35">
      <c r="A16" s="73" t="s">
        <v>247</v>
      </c>
      <c r="B16" s="62"/>
      <c r="C16" s="62"/>
      <c r="D16" s="62"/>
      <c r="E16" s="62"/>
      <c r="F16" s="62"/>
      <c r="G16" s="62"/>
    </row>
    <row r="17" spans="1:7" ht="20" customHeight="1" x14ac:dyDescent="0.35">
      <c r="A17" s="1" t="s">
        <v>231</v>
      </c>
      <c r="B17" s="1" t="s">
        <v>232</v>
      </c>
      <c r="C17" s="1" t="s">
        <v>233</v>
      </c>
      <c r="D17" s="1" t="s">
        <v>234</v>
      </c>
      <c r="E17" s="1" t="s">
        <v>235</v>
      </c>
      <c r="F17" s="1" t="s">
        <v>236</v>
      </c>
      <c r="G17" s="1" t="s">
        <v>237</v>
      </c>
    </row>
    <row r="18" spans="1:7" ht="19" customHeight="1" x14ac:dyDescent="0.35">
      <c r="A18" s="53" t="s">
        <v>248</v>
      </c>
      <c r="B18" s="54">
        <v>140</v>
      </c>
      <c r="C18" s="54">
        <v>140</v>
      </c>
      <c r="D18" s="55">
        <v>7</v>
      </c>
      <c r="E18" s="55">
        <v>12</v>
      </c>
      <c r="F18" s="55">
        <v>43</v>
      </c>
      <c r="G18" s="56">
        <v>33.700000000000003</v>
      </c>
    </row>
    <row r="19" spans="1:7" ht="19" customHeight="1" x14ac:dyDescent="0.35">
      <c r="A19" s="53" t="s">
        <v>249</v>
      </c>
      <c r="B19" s="54">
        <v>160</v>
      </c>
      <c r="C19" s="54">
        <v>160</v>
      </c>
      <c r="D19" s="55">
        <v>8</v>
      </c>
      <c r="E19" s="55">
        <v>13</v>
      </c>
      <c r="F19" s="55">
        <v>54.3</v>
      </c>
      <c r="G19" s="56">
        <v>42.6</v>
      </c>
    </row>
    <row r="20" spans="1:7" ht="19" customHeight="1" x14ac:dyDescent="0.35">
      <c r="A20" s="53" t="s">
        <v>250</v>
      </c>
      <c r="B20" s="54">
        <v>180</v>
      </c>
      <c r="C20" s="54">
        <v>180</v>
      </c>
      <c r="D20" s="55">
        <v>8.5</v>
      </c>
      <c r="E20" s="55">
        <v>14</v>
      </c>
      <c r="F20" s="55">
        <v>65.3</v>
      </c>
      <c r="G20" s="56">
        <v>51.2</v>
      </c>
    </row>
    <row r="21" spans="1:7" ht="19" customHeight="1" x14ac:dyDescent="0.35">
      <c r="A21" s="53" t="s">
        <v>251</v>
      </c>
      <c r="B21" s="54">
        <v>200</v>
      </c>
      <c r="C21" s="54">
        <v>200</v>
      </c>
      <c r="D21" s="55">
        <v>9</v>
      </c>
      <c r="E21" s="55">
        <v>15</v>
      </c>
      <c r="F21" s="55">
        <v>78.099999999999994</v>
      </c>
      <c r="G21" s="56">
        <v>61.3</v>
      </c>
    </row>
    <row r="22" spans="1:7" ht="19" customHeight="1" x14ac:dyDescent="0.35">
      <c r="A22" s="53" t="s">
        <v>252</v>
      </c>
      <c r="B22" s="54">
        <v>220</v>
      </c>
      <c r="C22" s="54">
        <v>220</v>
      </c>
      <c r="D22" s="55">
        <v>9.5</v>
      </c>
      <c r="E22" s="55">
        <v>16</v>
      </c>
      <c r="F22" s="55">
        <v>91</v>
      </c>
      <c r="G22" s="56">
        <v>71.5</v>
      </c>
    </row>
    <row r="23" spans="1:7" ht="19" customHeight="1" x14ac:dyDescent="0.35">
      <c r="A23" s="53" t="s">
        <v>253</v>
      </c>
      <c r="B23" s="54">
        <v>240</v>
      </c>
      <c r="C23" s="54">
        <v>240</v>
      </c>
      <c r="D23" s="55">
        <v>10</v>
      </c>
      <c r="E23" s="55">
        <v>17</v>
      </c>
      <c r="F23" s="55">
        <v>106</v>
      </c>
      <c r="G23" s="56">
        <v>83.2</v>
      </c>
    </row>
    <row r="24" spans="1:7" ht="19" customHeight="1" x14ac:dyDescent="0.35">
      <c r="A24" s="53" t="s">
        <v>254</v>
      </c>
      <c r="B24" s="54">
        <v>260</v>
      </c>
      <c r="C24" s="54">
        <v>260</v>
      </c>
      <c r="D24" s="55">
        <v>10</v>
      </c>
      <c r="E24" s="55">
        <v>17.5</v>
      </c>
      <c r="F24" s="55">
        <v>118.4</v>
      </c>
      <c r="G24" s="56">
        <v>93</v>
      </c>
    </row>
    <row r="25" spans="1:7" ht="19" customHeight="1" x14ac:dyDescent="0.35">
      <c r="A25" s="53" t="s">
        <v>255</v>
      </c>
      <c r="B25" s="54">
        <v>280</v>
      </c>
      <c r="C25" s="54">
        <v>280</v>
      </c>
      <c r="D25" s="55">
        <v>10.5</v>
      </c>
      <c r="E25" s="55">
        <v>18</v>
      </c>
      <c r="F25" s="55">
        <v>131.4</v>
      </c>
      <c r="G25" s="56">
        <v>103</v>
      </c>
    </row>
    <row r="26" spans="1:7" ht="19" customHeight="1" x14ac:dyDescent="0.35">
      <c r="A26" s="53" t="s">
        <v>256</v>
      </c>
      <c r="B26" s="54">
        <v>300</v>
      </c>
      <c r="C26" s="54">
        <v>300</v>
      </c>
      <c r="D26" s="55">
        <v>11</v>
      </c>
      <c r="E26" s="55">
        <v>19</v>
      </c>
      <c r="F26" s="55">
        <v>149.1</v>
      </c>
      <c r="G26" s="56">
        <v>117</v>
      </c>
    </row>
    <row r="28" spans="1:7" ht="22" customHeight="1" x14ac:dyDescent="0.35">
      <c r="A28" s="73" t="s">
        <v>257</v>
      </c>
      <c r="B28" s="62"/>
      <c r="C28" s="62"/>
      <c r="D28" s="62"/>
      <c r="E28" s="62"/>
      <c r="F28" s="62"/>
      <c r="G28" s="62"/>
    </row>
    <row r="29" spans="1:7" ht="20" customHeight="1" x14ac:dyDescent="0.35">
      <c r="A29" s="1" t="s">
        <v>231</v>
      </c>
      <c r="B29" s="1" t="s">
        <v>232</v>
      </c>
      <c r="C29" s="1" t="s">
        <v>233</v>
      </c>
      <c r="D29" s="1" t="s">
        <v>234</v>
      </c>
      <c r="E29" s="1" t="s">
        <v>235</v>
      </c>
      <c r="F29" s="1" t="s">
        <v>236</v>
      </c>
      <c r="G29" s="1" t="s">
        <v>237</v>
      </c>
    </row>
    <row r="30" spans="1:7" ht="19" customHeight="1" x14ac:dyDescent="0.35">
      <c r="A30" s="53" t="s">
        <v>258</v>
      </c>
      <c r="B30" s="54">
        <v>140</v>
      </c>
      <c r="C30" s="54">
        <v>60</v>
      </c>
      <c r="D30" s="55">
        <v>7</v>
      </c>
      <c r="E30" s="55">
        <v>10</v>
      </c>
      <c r="F30" s="55">
        <v>20.399999999999999</v>
      </c>
      <c r="G30" s="56">
        <v>16</v>
      </c>
    </row>
    <row r="31" spans="1:7" ht="19" customHeight="1" x14ac:dyDescent="0.35">
      <c r="A31" s="53" t="s">
        <v>259</v>
      </c>
      <c r="B31" s="54">
        <v>160</v>
      </c>
      <c r="C31" s="54">
        <v>65</v>
      </c>
      <c r="D31" s="55">
        <v>7.5</v>
      </c>
      <c r="E31" s="55">
        <v>10.5</v>
      </c>
      <c r="F31" s="55">
        <v>24</v>
      </c>
      <c r="G31" s="56">
        <v>18.8</v>
      </c>
    </row>
    <row r="32" spans="1:7" ht="19" customHeight="1" x14ac:dyDescent="0.35">
      <c r="A32" s="53" t="s">
        <v>260</v>
      </c>
      <c r="B32" s="54">
        <v>180</v>
      </c>
      <c r="C32" s="54">
        <v>70</v>
      </c>
      <c r="D32" s="55">
        <v>8</v>
      </c>
      <c r="E32" s="55">
        <v>11</v>
      </c>
      <c r="F32" s="55">
        <v>28</v>
      </c>
      <c r="G32" s="56">
        <v>22</v>
      </c>
    </row>
    <row r="33" spans="1:7" ht="19" customHeight="1" x14ac:dyDescent="0.35">
      <c r="A33" s="53" t="s">
        <v>261</v>
      </c>
      <c r="B33" s="54">
        <v>200</v>
      </c>
      <c r="C33" s="54">
        <v>75</v>
      </c>
      <c r="D33" s="55">
        <v>8.5</v>
      </c>
      <c r="E33" s="55">
        <v>11.5</v>
      </c>
      <c r="F33" s="55">
        <v>32.200000000000003</v>
      </c>
      <c r="G33" s="56">
        <v>25.3</v>
      </c>
    </row>
    <row r="34" spans="1:7" ht="19" customHeight="1" x14ac:dyDescent="0.35">
      <c r="A34" s="53" t="s">
        <v>262</v>
      </c>
      <c r="B34" s="54">
        <v>220</v>
      </c>
      <c r="C34" s="54">
        <v>80</v>
      </c>
      <c r="D34" s="55">
        <v>9</v>
      </c>
      <c r="E34" s="55">
        <v>12.5</v>
      </c>
      <c r="F34" s="55">
        <v>37.4</v>
      </c>
      <c r="G34" s="56">
        <v>29.4</v>
      </c>
    </row>
    <row r="35" spans="1:7" ht="19" customHeight="1" x14ac:dyDescent="0.35">
      <c r="A35" s="53" t="s">
        <v>263</v>
      </c>
      <c r="B35" s="54">
        <v>240</v>
      </c>
      <c r="C35" s="54">
        <v>85</v>
      </c>
      <c r="D35" s="55">
        <v>9.5</v>
      </c>
      <c r="E35" s="55">
        <v>13</v>
      </c>
      <c r="F35" s="55">
        <v>42.3</v>
      </c>
      <c r="G35" s="56">
        <v>33.200000000000003</v>
      </c>
    </row>
    <row r="36" spans="1:7" ht="19" customHeight="1" x14ac:dyDescent="0.35">
      <c r="A36" s="53" t="s">
        <v>264</v>
      </c>
      <c r="B36" s="54">
        <v>260</v>
      </c>
      <c r="C36" s="54">
        <v>90</v>
      </c>
      <c r="D36" s="55">
        <v>10</v>
      </c>
      <c r="E36" s="55">
        <v>14</v>
      </c>
      <c r="F36" s="55">
        <v>48.3</v>
      </c>
      <c r="G36" s="56">
        <v>37.9</v>
      </c>
    </row>
    <row r="37" spans="1:7" ht="19" customHeight="1" x14ac:dyDescent="0.35">
      <c r="A37" s="53" t="s">
        <v>265</v>
      </c>
      <c r="B37" s="54">
        <v>280</v>
      </c>
      <c r="C37" s="54">
        <v>95</v>
      </c>
      <c r="D37" s="55">
        <v>10</v>
      </c>
      <c r="E37" s="55">
        <v>15</v>
      </c>
      <c r="F37" s="55">
        <v>53.3</v>
      </c>
      <c r="G37" s="56">
        <v>41.8</v>
      </c>
    </row>
    <row r="38" spans="1:7" ht="19" customHeight="1" x14ac:dyDescent="0.35">
      <c r="A38" s="57" t="s">
        <v>97</v>
      </c>
      <c r="B38" s="58">
        <v>300</v>
      </c>
      <c r="C38" s="58">
        <v>100</v>
      </c>
      <c r="D38" s="59">
        <v>10</v>
      </c>
      <c r="E38" s="59">
        <v>16</v>
      </c>
      <c r="F38" s="59">
        <v>58.8</v>
      </c>
      <c r="G38" s="60">
        <v>46.2</v>
      </c>
    </row>
    <row r="40" spans="1:7" ht="22" customHeight="1" x14ac:dyDescent="0.35">
      <c r="A40" s="73" t="s">
        <v>266</v>
      </c>
      <c r="B40" s="62"/>
      <c r="C40" s="62"/>
      <c r="D40" s="62"/>
      <c r="E40" s="62"/>
      <c r="F40" s="62"/>
      <c r="G40" s="62"/>
    </row>
    <row r="41" spans="1:7" ht="20" customHeight="1" x14ac:dyDescent="0.35">
      <c r="A41" s="1" t="s">
        <v>231</v>
      </c>
      <c r="B41" s="1" t="s">
        <v>232</v>
      </c>
      <c r="C41" s="1" t="s">
        <v>233</v>
      </c>
      <c r="D41" s="1" t="s">
        <v>234</v>
      </c>
      <c r="E41" s="1" t="s">
        <v>235</v>
      </c>
      <c r="F41" s="1" t="s">
        <v>236</v>
      </c>
      <c r="G41" s="1" t="s">
        <v>237</v>
      </c>
    </row>
    <row r="42" spans="1:7" ht="19" customHeight="1" x14ac:dyDescent="0.35">
      <c r="A42" s="53" t="s">
        <v>267</v>
      </c>
      <c r="B42" s="54">
        <v>50</v>
      </c>
      <c r="C42" s="54">
        <v>50</v>
      </c>
      <c r="D42" s="55">
        <v>5</v>
      </c>
      <c r="E42" s="55">
        <v>5</v>
      </c>
      <c r="F42" s="55">
        <v>4.8</v>
      </c>
      <c r="G42" s="56">
        <v>3.77</v>
      </c>
    </row>
    <row r="43" spans="1:7" ht="19" customHeight="1" x14ac:dyDescent="0.35">
      <c r="A43" s="53" t="s">
        <v>268</v>
      </c>
      <c r="B43" s="54">
        <v>60</v>
      </c>
      <c r="C43" s="54">
        <v>60</v>
      </c>
      <c r="D43" s="55">
        <v>6</v>
      </c>
      <c r="E43" s="55">
        <v>6</v>
      </c>
      <c r="F43" s="55">
        <v>6.91</v>
      </c>
      <c r="G43" s="56">
        <v>5.42</v>
      </c>
    </row>
    <row r="44" spans="1:7" ht="19" customHeight="1" x14ac:dyDescent="0.35">
      <c r="A44" s="53" t="s">
        <v>269</v>
      </c>
      <c r="B44" s="54">
        <v>70</v>
      </c>
      <c r="C44" s="54">
        <v>70</v>
      </c>
      <c r="D44" s="55">
        <v>6</v>
      </c>
      <c r="E44" s="55">
        <v>6</v>
      </c>
      <c r="F44" s="55">
        <v>8.1300000000000008</v>
      </c>
      <c r="G44" s="56">
        <v>6.38</v>
      </c>
    </row>
    <row r="45" spans="1:7" ht="19" customHeight="1" x14ac:dyDescent="0.35">
      <c r="A45" s="53" t="s">
        <v>270</v>
      </c>
      <c r="B45" s="54">
        <v>70</v>
      </c>
      <c r="C45" s="54">
        <v>70</v>
      </c>
      <c r="D45" s="55">
        <v>7</v>
      </c>
      <c r="E45" s="55">
        <v>7</v>
      </c>
      <c r="F45" s="55">
        <v>9.4</v>
      </c>
      <c r="G45" s="56">
        <v>7.38</v>
      </c>
    </row>
    <row r="46" spans="1:7" ht="19" customHeight="1" x14ac:dyDescent="0.35">
      <c r="A46" s="53" t="s">
        <v>271</v>
      </c>
      <c r="B46" s="54">
        <v>80</v>
      </c>
      <c r="C46" s="54">
        <v>80</v>
      </c>
      <c r="D46" s="55">
        <v>8</v>
      </c>
      <c r="E46" s="55">
        <v>8</v>
      </c>
      <c r="F46" s="55">
        <v>12.3</v>
      </c>
      <c r="G46" s="56">
        <v>9.6300000000000008</v>
      </c>
    </row>
    <row r="47" spans="1:7" ht="19" customHeight="1" x14ac:dyDescent="0.35">
      <c r="A47" s="53" t="s">
        <v>272</v>
      </c>
      <c r="B47" s="54">
        <v>90</v>
      </c>
      <c r="C47" s="54">
        <v>90</v>
      </c>
      <c r="D47" s="55">
        <v>9</v>
      </c>
      <c r="E47" s="55">
        <v>9</v>
      </c>
      <c r="F47" s="55">
        <v>15.5</v>
      </c>
      <c r="G47" s="56">
        <v>12.2</v>
      </c>
    </row>
    <row r="48" spans="1:7" ht="19" customHeight="1" x14ac:dyDescent="0.35">
      <c r="A48" s="53" t="s">
        <v>273</v>
      </c>
      <c r="B48" s="54">
        <v>100</v>
      </c>
      <c r="C48" s="54">
        <v>100</v>
      </c>
      <c r="D48" s="55">
        <v>10</v>
      </c>
      <c r="E48" s="55">
        <v>10</v>
      </c>
      <c r="F48" s="55">
        <v>19.2</v>
      </c>
      <c r="G48" s="56">
        <v>15</v>
      </c>
    </row>
  </sheetData>
  <mergeCells count="6">
    <mergeCell ref="A1:G1"/>
    <mergeCell ref="A40:G40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2026-10-27T09:09:16Z</dcterms:created>
  <dcterms:modified xsi:type="dcterms:W3CDTF">2026-10-27T09:10:27Z</dcterms:modified>
</cp:coreProperties>
</file>