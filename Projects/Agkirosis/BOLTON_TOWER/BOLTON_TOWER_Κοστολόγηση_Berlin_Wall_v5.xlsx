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Στοιχεία_Μελέτης_&amp;_Ποσότητες" sheetId="1" state="visible" r:id="rId1"/>
    <sheet xmlns:r="http://schemas.openxmlformats.org/officeDocument/2006/relationships" name="2_Υπολογισμοί_&amp;_Κοστολόγηση" sheetId="2" state="visible" r:id="rId2"/>
    <sheet xmlns:r="http://schemas.openxmlformats.org/officeDocument/2006/relationships" name="3_Πίνακες_Διατομών_Χάλυβ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"/>
    <numFmt numFmtId="166" formatCode="0.0000"/>
    <numFmt numFmtId="167" formatCode="0.000000"/>
    <numFmt numFmtId="168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b val="1"/>
      <color rgb="00000000"/>
      <sz val="10.5"/>
    </font>
    <font>
      <name val="Segoe UI"/>
      <color rgb="00000000"/>
      <sz val="10"/>
    </font>
    <font>
      <name val="Segoe UI"/>
      <i val="1"/>
      <color rgb="00333333"/>
      <sz val="9.5"/>
    </font>
    <font>
      <name val="Segoe UI"/>
      <b val="1"/>
      <color rgb="001F497D"/>
      <sz val="10"/>
    </font>
    <font>
      <name val="Segoe UI"/>
      <b val="1"/>
      <color rgb="00274E13"/>
      <sz val="11"/>
    </font>
    <font>
      <name val="Segoe UI"/>
      <b val="1"/>
      <color rgb="00000000"/>
      <sz val="11.5"/>
    </font>
    <font>
      <name val="Segoe UI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D9D9"/>
        <bgColor rgb="00D9D9D9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DF2F8"/>
        <bgColor rgb="00EDF2F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FE699"/>
        <bgColor rgb="00FFE699"/>
      </patternFill>
    </fill>
    <fill>
      <patternFill patternType="solid">
        <fgColor rgb="00A9D08E"/>
        <bgColor rgb="00A9D08E"/>
      </patternFill>
    </fill>
  </fills>
  <borders count="2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thin">
        <color rgb="00808080"/>
      </bottom>
    </border>
    <border>
      <left style="medium">
        <color rgb="0000000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>
        <color rgb="00000000"/>
      </bottom>
    </border>
    <border>
      <left style="thin">
        <color rgb="0080808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 style="thin">
        <color rgb="00808080"/>
      </left>
      <right style="thin">
        <color rgb="00808080"/>
      </right>
      <top/>
      <bottom/>
    </border>
    <border>
      <left style="thin">
        <color rgb="00808080"/>
      </left>
      <right style="thin">
        <color rgb="00808080"/>
      </right>
      <top/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808080"/>
      </bottom>
    </border>
    <border>
      <left style="medium">
        <color rgb="00000000"/>
      </left>
      <right style="medium">
        <color rgb="00000000"/>
      </right>
      <top/>
      <bottom/>
    </border>
    <border>
      <left style="medium">
        <color rgb="00000000"/>
      </left>
      <right style="medium">
        <color rgb="00000000"/>
      </right>
      <top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808080"/>
      </top>
      <bottom style="double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 style="medium">
        <color rgb="00000000"/>
      </right>
      <top style="thin">
        <color rgb="00808080"/>
      </top>
      <bottom style="medium">
        <color rgb="0000000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3" pivotButton="0" quotePrefix="0" xfId="0"/>
    <xf numFmtId="0" fontId="0" fillId="4" borderId="3" pivotButton="0" quotePrefix="0" xfId="0"/>
    <xf numFmtId="0" fontId="0" fillId="4" borderId="4" pivotButton="0" quotePrefix="0" xfId="0"/>
    <xf numFmtId="0" fontId="4" fillId="0" borderId="5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6" pivotButton="0" quotePrefix="0" xfId="0"/>
    <xf numFmtId="1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0" borderId="1" pivotButton="0" quotePrefix="0" xfId="0"/>
    <xf numFmtId="165" fontId="4" fillId="6" borderId="1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 wrapText="1"/>
    </xf>
    <xf numFmtId="0" fontId="6" fillId="0" borderId="8" pivotButton="0" quotePrefix="0" xfId="0"/>
    <xf numFmtId="2" fontId="4" fillId="5" borderId="8" applyAlignment="1" pivotButton="0" quotePrefix="0" xfId="0">
      <alignment horizontal="right" vertical="center"/>
    </xf>
    <xf numFmtId="0" fontId="6" fillId="0" borderId="8" applyAlignment="1" pivotButton="0" quotePrefix="0" xfId="0">
      <alignment horizontal="center" vertical="center" wrapText="1"/>
    </xf>
    <xf numFmtId="0" fontId="7" fillId="0" borderId="8" pivotButton="0" quotePrefix="0" xfId="0"/>
    <xf numFmtId="0" fontId="7" fillId="0" borderId="9" pivotButton="0" quotePrefix="0" xfId="0"/>
    <xf numFmtId="2" fontId="4" fillId="6" borderId="1" applyAlignment="1" pivotButton="0" quotePrefix="0" xfId="0">
      <alignment horizontal="right" vertical="center"/>
    </xf>
    <xf numFmtId="1" fontId="4" fillId="5" borderId="8" applyAlignment="1" pivotButton="0" quotePrefix="0" xfId="0">
      <alignment horizontal="right" vertical="center"/>
    </xf>
    <xf numFmtId="0" fontId="5" fillId="7" borderId="2" applyAlignment="1" pivotButton="0" quotePrefix="0" xfId="0">
      <alignment horizontal="center" vertical="center" wrapText="1"/>
    </xf>
    <xf numFmtId="0" fontId="8" fillId="7" borderId="3" pivotButton="0" quotePrefix="0" xfId="0"/>
    <xf numFmtId="0" fontId="0" fillId="7" borderId="3" pivotButton="0" quotePrefix="0" xfId="0"/>
    <xf numFmtId="0" fontId="0" fillId="7" borderId="4" pivotButton="0" quotePrefix="0" xfId="0"/>
    <xf numFmtId="166" fontId="4" fillId="6" borderId="1" applyAlignment="1" pivotButton="0" quotePrefix="0" xfId="0">
      <alignment horizontal="right" vertical="center"/>
    </xf>
    <xf numFmtId="167" fontId="4" fillId="6" borderId="1" applyAlignment="1" pivotButton="0" quotePrefix="0" xfId="0">
      <alignment horizontal="right" vertical="center"/>
    </xf>
    <xf numFmtId="168" fontId="4" fillId="6" borderId="8" applyAlignment="1" pivotButton="0" quotePrefix="0" xfId="0">
      <alignment horizontal="right" vertical="center"/>
    </xf>
    <xf numFmtId="4" fontId="5" fillId="4" borderId="3" applyAlignment="1" pivotButton="0" quotePrefix="0" xfId="0">
      <alignment horizontal="right" vertical="center"/>
    </xf>
    <xf numFmtId="0" fontId="5" fillId="4" borderId="3" applyAlignment="1" pivotButton="0" quotePrefix="0" xfId="0">
      <alignment horizontal="center" vertical="center" wrapText="1"/>
    </xf>
    <xf numFmtId="0" fontId="7" fillId="4" borderId="3" pivotButton="0" quotePrefix="0" xfId="0"/>
    <xf numFmtId="0" fontId="7" fillId="4" borderId="4" pivotButton="0" quotePrefix="0" xfId="0"/>
    <xf numFmtId="4" fontId="4" fillId="6" borderId="1" applyAlignment="1" pivotButton="0" quotePrefix="0" xfId="0">
      <alignment horizontal="right" vertical="center"/>
    </xf>
    <xf numFmtId="3" fontId="4" fillId="6" borderId="1" applyAlignment="1" pivotButton="0" quotePrefix="0" xfId="0">
      <alignment horizontal="right" vertical="center"/>
    </xf>
    <xf numFmtId="3" fontId="4" fillId="6" borderId="8" applyAlignment="1" pivotButton="0" quotePrefix="0" xfId="0">
      <alignment horizontal="right" vertical="center"/>
    </xf>
    <xf numFmtId="0" fontId="5" fillId="8" borderId="2" applyAlignment="1" pivotButton="0" quotePrefix="0" xfId="0">
      <alignment horizontal="center" vertical="center" wrapText="1"/>
    </xf>
    <xf numFmtId="0" fontId="9" fillId="8" borderId="3" pivotButton="0" quotePrefix="0" xfId="0"/>
    <xf numFmtId="0" fontId="0" fillId="8" borderId="3" pivotButton="0" quotePrefix="0" xfId="0"/>
    <xf numFmtId="0" fontId="0" fillId="8" borderId="4" pivotButton="0" quotePrefix="0" xfId="0"/>
    <xf numFmtId="1" fontId="4" fillId="6" borderId="1" applyAlignment="1" pivotButton="0" quotePrefix="0" xfId="0">
      <alignment horizontal="right" vertical="center"/>
    </xf>
    <xf numFmtId="3" fontId="9" fillId="8" borderId="1" applyAlignment="1" pivotButton="0" quotePrefix="0" xfId="0">
      <alignment horizontal="right" vertical="center"/>
    </xf>
    <xf numFmtId="4" fontId="9" fillId="8" borderId="1" applyAlignment="1" pivotButton="0" quotePrefix="0" xfId="0">
      <alignment horizontal="right" vertical="center"/>
    </xf>
    <xf numFmtId="0" fontId="4" fillId="0" borderId="8" pivotButton="0" quotePrefix="0" xfId="0"/>
    <xf numFmtId="4" fontId="9" fillId="8" borderId="8" applyAlignment="1" pivotButton="0" quotePrefix="0" xfId="0">
      <alignment horizontal="right" vertical="center"/>
    </xf>
    <xf numFmtId="0" fontId="4" fillId="3" borderId="10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left" vertical="center" wrapText="1"/>
    </xf>
    <xf numFmtId="0" fontId="5" fillId="4" borderId="10" applyAlignment="1" pivotButton="0" quotePrefix="0" xfId="0">
      <alignment horizontal="center" vertical="center" wrapText="1"/>
    </xf>
    <xf numFmtId="0" fontId="5" fillId="4" borderId="10" applyAlignment="1" pivotButton="0" quotePrefix="0" xfId="0">
      <alignment horizontal="left" vertical="center" wrapText="1"/>
    </xf>
    <xf numFmtId="4" fontId="5" fillId="4" borderId="10" applyAlignment="1" pivotButton="0" quotePrefix="0" xfId="0">
      <alignment horizontal="right" vertical="center"/>
    </xf>
    <xf numFmtId="0" fontId="7" fillId="4" borderId="10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4" fontId="5" fillId="9" borderId="1" applyAlignment="1" pivotButton="0" quotePrefix="0" xfId="0">
      <alignment horizontal="right" vertical="center"/>
    </xf>
    <xf numFmtId="4" fontId="10" fillId="8" borderId="1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vertical="center" wrapText="1"/>
    </xf>
    <xf numFmtId="4" fontId="5" fillId="10" borderId="1" applyAlignment="1" pivotButton="0" quotePrefix="0" xfId="0">
      <alignment horizontal="right" vertical="center"/>
    </xf>
    <xf numFmtId="0" fontId="0" fillId="0" borderId="17" pivotButton="0" quotePrefix="0" xfId="0"/>
    <xf numFmtId="3" fontId="4" fillId="0" borderId="1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left" vertical="center" wrapText="1"/>
    </xf>
    <xf numFmtId="3" fontId="4" fillId="0" borderId="8" applyAlignment="1" pivotButton="0" quotePrefix="0" xfId="0">
      <alignment horizontal="right" vertical="center"/>
    </xf>
    <xf numFmtId="4" fontId="5" fillId="9" borderId="8" applyAlignment="1" pivotButton="0" quotePrefix="0" xfId="0">
      <alignment horizontal="right" vertical="center"/>
    </xf>
    <xf numFmtId="4" fontId="4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7" fillId="0" borderId="9" applyAlignment="1" pivotButton="0" quotePrefix="0" xfId="0">
      <alignment horizontal="left" vertical="center" wrapText="1"/>
    </xf>
    <xf numFmtId="0" fontId="3" fillId="2" borderId="20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4" fontId="6" fillId="0" borderId="1" applyAlignment="1" pivotButton="0" quotePrefix="0" xfId="0">
      <alignment horizontal="right" vertical="center"/>
    </xf>
    <xf numFmtId="4" fontId="4" fillId="7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1" fillId="11" borderId="23" applyAlignment="1" pivotButton="0" quotePrefix="0" xfId="0">
      <alignment horizontal="center" vertical="center" wrapText="1"/>
    </xf>
    <xf numFmtId="0" fontId="11" fillId="11" borderId="23" pivotButton="0" quotePrefix="0" xfId="0"/>
    <xf numFmtId="4" fontId="4" fillId="11" borderId="23" applyAlignment="1" pivotButton="0" quotePrefix="0" xfId="0">
      <alignment horizontal="right" vertical="center"/>
    </xf>
    <xf numFmtId="0" fontId="4" fillId="11" borderId="23" applyAlignment="1" pivotButton="0" quotePrefix="0" xfId="0">
      <alignment horizontal="center" vertical="center" wrapText="1"/>
    </xf>
    <xf numFmtId="4" fontId="11" fillId="11" borderId="23" applyAlignment="1" pivotButton="0" quotePrefix="0" xfId="0">
      <alignment horizontal="right" vertical="center"/>
    </xf>
    <xf numFmtId="0" fontId="7" fillId="11" borderId="23" pivotButton="0" quotePrefix="0" xfId="0"/>
    <xf numFmtId="0" fontId="8" fillId="4" borderId="20" pivotButton="0" quotePrefix="0" xfId="0"/>
    <xf numFmtId="0" fontId="0" fillId="0" borderId="1" pivotButton="0" quotePrefix="0" xfId="0"/>
    <xf numFmtId="4" fontId="6" fillId="0" borderId="8" applyAlignment="1" pivotButton="0" quotePrefix="0" xfId="0">
      <alignment horizontal="right" vertical="center"/>
    </xf>
    <xf numFmtId="0" fontId="0" fillId="0" borderId="8" pivotButton="0" quotePrefix="0" xfId="0"/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8" customWidth="1" min="3" max="3"/>
    <col width="14" customWidth="1" min="4" max="4"/>
    <col width="40" customWidth="1" min="5" max="5"/>
    <col width="58" customWidth="1" min="6" max="6"/>
  </cols>
  <sheetData>
    <row r="1">
      <c r="A1" s="1" t="inlineStr">
        <is>
          <t>ΕΡΓΟ: BOLTON TOWER (BERLIN WALL &amp; ΑΓΚΥΡΩΣΕΙΣ) — ΣΤΟΙΧΕΙΑ ΜΕΛΕΤΗΣ &amp; ΦΥΣΙΚΕΣ ΠΟΣΟΤΗΤΕΣ ΑΝΑ ΤΥΠΟ ΤΟΙΧΟΥ (ΧΩΡΙΣ ΕΥΡΩ)</t>
        </is>
      </c>
    </row>
    <row r="2">
      <c r="A2" s="2" t="inlineStr">
        <is>
          <t>100% ΔΥΝΑΜΙΚΟΙ ΤΙΤΛΟΙ, ΤΥΠΟΙ &amp; ΣΗΜΕΙΩΣΕΙΣ ΣΕ ΚΟΥΤΙΑ (BOXES) ΑΝΑ ΤΥΠΟ ΤΟΙΧΟΥ (TYPE A, TYPE B, TYPE C) | [ΚΕΦΑΛΑΙΟ Α] = INPUTS | [ΚΕΦΑΛΑΙΟ Β] = ΥΠΟΛΟΓΙΣΜΟΙ</t>
        </is>
      </c>
    </row>
    <row r="3"/>
    <row r="4">
      <c r="A4" s="3" t="inlineStr">
        <is>
          <t>ΚΕΦΑΛΑΙΟ Α: ΣΤΟΙΧΕΙΑ ΜΕΛΕΤΗΣ (RAW INPUTS) — ΧΩΡΙΣΜΕΝΑ ΣΕ ΚΟΥΤΙΑ ΑΝΑ ΤΥΠΟ ΤΟΙΧΟΥ (100% ΔΥΝΑΜΙΚΗ ΣΥΝΔΕΣΗ)</t>
        </is>
      </c>
    </row>
    <row r="5">
      <c r="A5" s="4" t="inlineStr">
        <is>
          <t>α/α</t>
        </is>
      </c>
      <c r="B5" s="5" t="inlineStr">
        <is>
          <t>ΠΕΡΙΓΡΑΦΗ ΣΤΟΙΧΕΙΟΥ / ΕΡΓΑΣΙΑΣ</t>
        </is>
      </c>
      <c r="C5" s="4" t="inlineStr">
        <is>
          <t>ΤΙΜΗ ΜΕΛΕΤΗΣ</t>
        </is>
      </c>
      <c r="D5" s="4" t="inlineStr">
        <is>
          <t>ΜΟΝ.</t>
        </is>
      </c>
      <c r="E5" s="5" t="inlineStr">
        <is>
          <t>ΠΗΓΗ ΜΕΛΕΤΗΣ (ΣΧΕΔΙΟ)</t>
        </is>
      </c>
      <c r="F5" s="5" t="inlineStr">
        <is>
          <t>ΤΕΧΝΙΚΗ ΣΗΜΕΙΩΣΗ / ΕΛΕΓΧΟΣ ΚΑΝΟΝΑ</t>
        </is>
      </c>
    </row>
    <row r="6">
      <c r="A6" s="6" t="inlineStr">
        <is>
          <t>ΚΟΙΝΑ</t>
        </is>
      </c>
      <c r="B6" s="7" t="inlineStr">
        <is>
          <t>ΚΟΥΤΙ Α.0 — ΓΕΝΙΚΑ ΣΤΟΙΧΕΙΑ ΕΡΓΟΥ &amp; ΚΟΙΝΕΣ ΠΡΟΔΙΑΓΡΑΦΕΣ (Εργοτάξιο, Διάτρηση, Λάμες, Γωνιές, Σχάρα, Shotcrete, Αγκυρώσεις)</t>
        </is>
      </c>
      <c r="C6" s="8" t="n"/>
      <c r="D6" s="8" t="n"/>
      <c r="E6" s="8" t="n"/>
      <c r="F6" s="9" t="n"/>
    </row>
    <row r="7">
      <c r="A7" s="10" t="inlineStr">
        <is>
          <t>Κ.1</t>
        </is>
      </c>
      <c r="B7" s="11" t="inlineStr">
        <is>
          <t>Έδρα Εταιρείας (Αφετηρία)</t>
        </is>
      </c>
      <c r="C7" s="12" t="inlineStr">
        <is>
          <t>Άγιος Συλάς, Σπύρου Κυπριανού 32, Λεμεσός</t>
        </is>
      </c>
      <c r="D7" s="13" t="inlineStr">
        <is>
          <t>-</t>
        </is>
      </c>
      <c r="E7" s="14" t="inlineStr">
        <is>
          <t>Βάση Εταιρείας</t>
        </is>
      </c>
      <c r="F7" s="15" t="inlineStr">
        <is>
          <t>Σταθερή βάση εκκίνησης συνεργείων &amp; μηχανημάτων</t>
        </is>
      </c>
    </row>
    <row r="8">
      <c r="A8" s="10" t="inlineStr">
        <is>
          <t>Κ.2</t>
        </is>
      </c>
      <c r="B8" s="11" t="inlineStr">
        <is>
          <t>Τοποθεσία Εργοταξίου &amp; Χιλιομετρική Απόσταση</t>
        </is>
      </c>
      <c r="C8" s="16" t="n">
        <v>12</v>
      </c>
      <c r="D8" s="13" t="inlineStr">
        <is>
          <t>km</t>
        </is>
      </c>
      <c r="E8" s="14" t="inlineStr">
        <is>
          <t>Σχέδιο ΘΕΜ/1 &amp; ΘΕΜ/6</t>
        </is>
      </c>
      <c r="F8" s="15">
        <f>"Λεμεσός (Bolton Tower, " &amp; C8 &amp; " km) — Ζώνη 0-40 km (βασικές τιμές μετακινήσεων)"</f>
        <v/>
      </c>
    </row>
    <row r="9">
      <c r="A9" s="10" t="inlineStr">
        <is>
          <t>Κ.3</t>
        </is>
      </c>
      <c r="B9" s="11" t="inlineStr">
        <is>
          <t>Μέγιστο Πλήθος Οριζόντιων Σειρών Αγκυρώσεων Έργου</t>
        </is>
      </c>
      <c r="C9" s="16" t="n">
        <v>4</v>
      </c>
      <c r="D9" s="13" t="inlineStr">
        <is>
          <t>σειρές</t>
        </is>
      </c>
      <c r="E9" s="14" t="inlineStr">
        <is>
          <t>Σχέδιο ΘΕΜ/6, Τομές Α, Β, Γ</t>
        </is>
      </c>
      <c r="F9" s="15">
        <f>"Type A &amp; B: " &amp; C9 &amp; " σειρές αγκυρώσεων | Type C: 3 σειρές αγκυρώσεων"</f>
        <v/>
      </c>
    </row>
    <row r="10">
      <c r="A10" s="10" t="inlineStr">
        <is>
          <t>Κ.4</t>
        </is>
      </c>
      <c r="B10" s="11" t="inlineStr">
        <is>
          <t>Αξονική Απόσταση Πασσάλων (s_c/c)</t>
        </is>
      </c>
      <c r="C10" s="17" t="n">
        <v>1.5</v>
      </c>
      <c r="D10" s="13" t="inlineStr">
        <is>
          <t>m</t>
        </is>
      </c>
      <c r="E10" s="14" t="inlineStr">
        <is>
          <t>Σχέδιο ΘΕΜ/1 &amp; ΘΕΜ/6</t>
        </is>
      </c>
      <c r="F10" s="15">
        <f>"[!!! ΣΥΓΚΡΟΥΣΗ ΜΕΛΕΤΗΣ !!!]: Αναγράφονται 2 διαφορετικοί αριθμοί: @ 2000mm στο κείμενο λεπτομέρειας vs (1500) στη διάσταση CL και 1.50m στις τομές. Επιλέχθηκε ο πιο ασφαλής στατικά αριθμός s = " &amp; TEXT(C10,"0.00") &amp; " m."</f>
        <v/>
      </c>
    </row>
    <row r="11">
      <c r="A11" s="10" t="inlineStr">
        <is>
          <t>Κ.5</t>
        </is>
      </c>
      <c r="B11" s="11">
        <f>"Διάμετρος Οπής Διάτρησης Μεγάλου Τρυπανιού (Ø" &amp; (C11*1000) &amp; "mm)"</f>
        <v/>
      </c>
      <c r="C11" s="17" t="n">
        <v>0.8</v>
      </c>
      <c r="D11" s="13" t="inlineStr">
        <is>
          <t>m</t>
        </is>
      </c>
      <c r="E11" s="14" t="inlineStr">
        <is>
          <t>Κανόνας Εταιρείας</t>
        </is>
      </c>
      <c r="F11" s="15">
        <f>"[DEFAULT ΕΤΑΙΡΕΙΑΣ]: Δεν αναγράφεται διάμετρος νέφκας στη μελέτη (το D=800 στο ΘΕΜ/1 αφορά υποστυλώματα κτιρίου). Εφαρμόζεται by default Ø" &amp; (C11*1000) &amp; " mm (" &amp; TEXT(C11,"0.00") &amp; " m)."</f>
        <v/>
      </c>
    </row>
    <row r="12">
      <c r="A12" s="10" t="inlineStr">
        <is>
          <t>Κ.6</t>
        </is>
      </c>
      <c r="B12" s="11" t="inlineStr">
        <is>
          <t>Πλήθος Προφίλ Χάλυβα ανά Πάσσαλο / Οπή</t>
        </is>
      </c>
      <c r="C12" s="16" t="n">
        <v>2</v>
      </c>
      <c r="D12" s="13" t="inlineStr">
        <is>
          <t>No/οπή</t>
        </is>
      </c>
      <c r="E12" s="14" t="inlineStr">
        <is>
          <t>Σχέδιο ΘΕΜ/6, Λεπτομέρεια</t>
        </is>
      </c>
      <c r="F12" s="15">
        <f>"Δίδυμο προφίλ (Ζεύγος " &amp; C12 &amp; " No. HEB ανά πάσσαλο)"</f>
        <v/>
      </c>
    </row>
    <row r="13">
      <c r="A13" s="10" t="inlineStr">
        <is>
          <t>Κ.7</t>
        </is>
      </c>
      <c r="B13" s="11" t="inlineStr">
        <is>
          <t>Θεωρητικό Βάρος Διατομής HEB 220 (για Type A)</t>
        </is>
      </c>
      <c r="C13" s="18" t="n">
        <v>71.5</v>
      </c>
      <c r="D13" s="13" t="inlineStr">
        <is>
          <t>kg/m</t>
        </is>
      </c>
      <c r="E13" s="14" t="inlineStr">
        <is>
          <t>Βιβλιοθήκη Διατομών (Φύλλο 3)</t>
        </is>
      </c>
      <c r="F13" s="15">
        <f>"=" &amp; TEXT(C13,"0.0") &amp; " kg/m ανά HEB 220 (" &amp; TEXT(C13*C12,"0.0") &amp; " kg/m ανά ζεύγος)"</f>
        <v/>
      </c>
    </row>
    <row r="14">
      <c r="A14" s="10" t="inlineStr">
        <is>
          <t>Κ.8</t>
        </is>
      </c>
      <c r="B14" s="11" t="inlineStr">
        <is>
          <t>Θεωρητικό Βάρος Διατομής HEB 200 (για Type B &amp; Type C)</t>
        </is>
      </c>
      <c r="C14" s="18" t="n">
        <v>61.3</v>
      </c>
      <c r="D14" s="13" t="inlineStr">
        <is>
          <t>kg/m</t>
        </is>
      </c>
      <c r="E14" s="14" t="inlineStr">
        <is>
          <t>Βιβλιοθήκη Διατομών (Φύλλο 3)</t>
        </is>
      </c>
      <c r="F14" s="15">
        <f>"=" &amp; TEXT(C14,"0.0") &amp; " kg/m ανά HEB 200 (" &amp; TEXT(C14*C12,"0.0") &amp; " kg/m ανά ζεύγος)"</f>
        <v/>
      </c>
    </row>
    <row r="15">
      <c r="A15" s="10" t="inlineStr">
        <is>
          <t>Κ.9</t>
        </is>
      </c>
      <c r="B15" s="11" t="inlineStr">
        <is>
          <t>Κατακόρυφο Βήμα Λαμών Σύνδεσης (s_plate)</t>
        </is>
      </c>
      <c r="C15" s="17" t="n">
        <v>1</v>
      </c>
      <c r="D15" s="13" t="inlineStr">
        <is>
          <t>m</t>
        </is>
      </c>
      <c r="E15" s="14" t="inlineStr">
        <is>
          <t>Σχέδιο ΘΕΜ/6, Λεπτομέρεια</t>
        </is>
      </c>
      <c r="F15" s="15">
        <f>"Λάμες " &amp; C16 &amp; "x" &amp; C17 &amp; "x" &amp; C18 &amp; "mm ανά " &amp; (C15*1000) &amp; "mm (" &amp; TEXT(C15,"0.00") &amp; "m) καθ' ύψος (Κανόνας L_beam / s_plate)"</f>
        <v/>
      </c>
    </row>
    <row r="16">
      <c r="A16" s="10" t="inlineStr">
        <is>
          <t>Κ.10α</t>
        </is>
      </c>
      <c r="B16" s="11" t="inlineStr">
        <is>
          <t>Πλάτος Λάμας Σύνδεσης (b_plate)</t>
        </is>
      </c>
      <c r="C16" s="16" t="n">
        <v>200</v>
      </c>
      <c r="D16" s="13" t="inlineStr">
        <is>
          <t>mm</t>
        </is>
      </c>
      <c r="E16" s="14" t="inlineStr">
        <is>
          <t>Σχέδιο ΘΕΜ/6, Λεπτομέρεια</t>
        </is>
      </c>
      <c r="F16" s="15">
        <f>"Πλάτος λάμας σύνδεσης = " &amp; C16 &amp; " mm (" &amp; TEXT(C16/1000,"0.00") &amp; " m)"</f>
        <v/>
      </c>
    </row>
    <row r="17">
      <c r="A17" s="10" t="inlineStr">
        <is>
          <t>Κ.10β</t>
        </is>
      </c>
      <c r="B17" s="11" t="inlineStr">
        <is>
          <t>Μήκος / Ύψος Λάμας Σύνδεσης (h_plate)</t>
        </is>
      </c>
      <c r="C17" s="16" t="n">
        <v>200</v>
      </c>
      <c r="D17" s="13" t="inlineStr">
        <is>
          <t>mm</t>
        </is>
      </c>
      <c r="E17" s="14" t="inlineStr">
        <is>
          <t>Σχέδιο ΘΕΜ/6, Λεπτομέρεια</t>
        </is>
      </c>
      <c r="F17" s="15">
        <f>"Μήκος λάμας σύνδεσης = " &amp; C17 &amp; " mm (" &amp; TEXT(C17/1000,"0.00") &amp; " m)"</f>
        <v/>
      </c>
    </row>
    <row r="18">
      <c r="A18" s="10" t="inlineStr">
        <is>
          <t>Κ.10γ</t>
        </is>
      </c>
      <c r="B18" s="11" t="inlineStr">
        <is>
          <t>Πάχος Λάμας Σύνδεσης (t_plate)</t>
        </is>
      </c>
      <c r="C18" s="16" t="n">
        <v>10</v>
      </c>
      <c r="D18" s="13" t="inlineStr">
        <is>
          <t>mm</t>
        </is>
      </c>
      <c r="E18" s="14" t="inlineStr">
        <is>
          <t>Σχέδιο ΘΕΜ/6, Λεπτομέρεια</t>
        </is>
      </c>
      <c r="F18" s="15">
        <f>"Πάχος λάμας σύνδεσης = " &amp; C18 &amp; " mm (" &amp; TEXT(C18/1000,"0.000") &amp; " m)"</f>
        <v/>
      </c>
    </row>
    <row r="19">
      <c r="A19" s="10" t="inlineStr">
        <is>
          <t>Κ.10</t>
        </is>
      </c>
      <c r="B19" s="19">
        <f>"Βάρος 1 Λάμας Σύνδεσης (" &amp; C16 &amp; "x" &amp; C17 &amp; "x" &amp; C18 &amp; " mm)"</f>
        <v/>
      </c>
      <c r="C19" s="20">
        <f>(C16/1000)*(C17/1000)*(C18/1000)*7850</f>
        <v/>
      </c>
      <c r="D19" s="13" t="inlineStr">
        <is>
          <t>kg/τεμ</t>
        </is>
      </c>
      <c r="E19" s="14">
        <f>"Τύπος: (" &amp; C16 &amp; "/1000)×(" &amp; C17 &amp; "/1000)×(" &amp; C18 &amp; "/1000)×7850"</f>
        <v/>
      </c>
      <c r="F19" s="15">
        <f>"=" &amp; TEXT(C16/1000,"0.00") &amp; "m × " &amp; TEXT(C17/1000,"0.00") &amp; "m × " &amp; TEXT(C18/1000,"0.000") &amp; "m × 7,850 kg/m³ = " &amp; TEXT(C19,"0.000") &amp; " kg/τεμ (Αλλάζοντας τα C16:C18 ενημερώνονται αυτόματα τίτλοι &amp; σημειώσεις)"</f>
        <v/>
      </c>
    </row>
    <row r="20">
      <c r="A20" s="10" t="inlineStr">
        <is>
          <t>Κ.11</t>
        </is>
      </c>
      <c r="B20" s="11" t="inlineStr">
        <is>
          <t>Γωνιές Στήριξης Σχάρας L 70x70x6mm (2 τεμ. ανά πάσσαλο)</t>
        </is>
      </c>
      <c r="C20" s="17" t="n">
        <v>6.38</v>
      </c>
      <c r="D20" s="13" t="inlineStr">
        <is>
          <t>kg/m</t>
        </is>
      </c>
      <c r="E20" s="14" t="inlineStr">
        <is>
          <t>Σχέδιο ΘΕΜ/6 &amp; Φύλλο 3</t>
        </is>
      </c>
      <c r="F20" s="15">
        <f>"Γωνιές 70x70x6mm (" &amp; TEXT(C20,"0.00") &amp; " kg/m × 2 γωνιές καθ' ύψος εκσκαφής H_exc)"</f>
        <v/>
      </c>
    </row>
    <row r="21">
      <c r="A21" s="10" t="inlineStr">
        <is>
          <t>Κ.12</t>
        </is>
      </c>
      <c r="B21" s="11">
        <f>"Διάμετρος Ράβδων Σχάρας Οριζόντιων &amp; Κατακόρυφων (#Y" &amp; C21 &amp; "/" &amp; C22 &amp; ")"</f>
        <v/>
      </c>
      <c r="C21" s="16" t="n">
        <v>8</v>
      </c>
      <c r="D21" s="13" t="inlineStr">
        <is>
          <t>mm</t>
        </is>
      </c>
      <c r="E21" s="14" t="inlineStr">
        <is>
          <t>Σχέδιο ΘΕΜ/6, Λεπτομέρεια</t>
        </is>
      </c>
      <c r="F21" s="15">
        <f>"Αναγράφεται ρητά #Y" &amp; C21 &amp; "/" &amp; C22 &amp; " (αυστηρή τήρηση Y" &amp; C21 &amp; " βάσει κανόνα 2.3)"</f>
        <v/>
      </c>
    </row>
    <row r="22">
      <c r="A22" s="10" t="inlineStr">
        <is>
          <t>Κ.13</t>
        </is>
      </c>
      <c r="B22" s="11">
        <f>"Βήμα Ράβδων Σχάρας Οριζόντιων &amp; Κατακόρυφων (#Y" &amp; C21 &amp; "/" &amp; C22 &amp; ")"</f>
        <v/>
      </c>
      <c r="C22" s="16" t="n">
        <v>150</v>
      </c>
      <c r="D22" s="13" t="inlineStr">
        <is>
          <t>mm</t>
        </is>
      </c>
      <c r="E22" s="14" t="inlineStr">
        <is>
          <t>Σχέδιο ΘΕΜ/6, Λεπτομέρεια</t>
        </is>
      </c>
      <c r="F22" s="15">
        <f>"Βήμα " &amp; C22 &amp; "mm × " &amp; C22 &amp; "mm (2 × " &amp; TEXT(1000/C22,"0.00") &amp; " m/m² = " &amp; TEXT(C78,"0.000") &amp; " kg/m²)"</f>
        <v/>
      </c>
    </row>
    <row r="23">
      <c r="A23" s="10" t="inlineStr">
        <is>
          <t>Κ.14</t>
        </is>
      </c>
      <c r="B23" s="11" t="inlineStr">
        <is>
          <t>Κατηγορία Σκυροδέματος Shotcrete &amp; Πάκτωσης</t>
        </is>
      </c>
      <c r="C23" s="12" t="inlineStr">
        <is>
          <t>C30/37</t>
        </is>
      </c>
      <c r="D23" s="13" t="inlineStr">
        <is>
          <t>-</t>
        </is>
      </c>
      <c r="E23" s="14" t="inlineStr">
        <is>
          <t>Κανόνας Εταιρείας</t>
        </is>
      </c>
      <c r="F23" s="15">
        <f>"[DEFAULT ΕΤΑΙΡΕΙΑΣ]: Δεν αναγράφεται στη μελέτη. Εφαρμόζεται by default " &amp; C23 &amp; " βάσει κανόνα εταιρείας."</f>
        <v/>
      </c>
    </row>
    <row r="24">
      <c r="A24" s="10" t="inlineStr">
        <is>
          <t>Κ.15</t>
        </is>
      </c>
      <c r="B24" s="11">
        <f>"Ονομαστικό Πάχος Shotcrete Μελέτης (" &amp; (C24*100) &amp; " cm)"</f>
        <v/>
      </c>
      <c r="C24" s="17" t="n">
        <v>0.15</v>
      </c>
      <c r="D24" s="13" t="inlineStr">
        <is>
          <t>m</t>
        </is>
      </c>
      <c r="E24" s="14" t="inlineStr">
        <is>
          <t>Σχέδιο ΘΕΜ/6, Λεπτομέρεια</t>
        </is>
      </c>
      <c r="F24" s="15">
        <f>"=" &amp; (C24*1000) &amp; " mm (" &amp; (C24*100) &amp; " cm) εκτοξευόμενο σκυρόδεμα (gunite)"</f>
        <v/>
      </c>
    </row>
    <row r="25">
      <c r="A25" s="10" t="inlineStr">
        <is>
          <t>Κ.16</t>
        </is>
      </c>
      <c r="B25" s="11">
        <f>"Πάγια Απώλεια / Αναπήδηση Shotcrete Εταιρείας (+" &amp; (C25*100) &amp; " cm)"</f>
        <v/>
      </c>
      <c r="C25" s="17" t="n">
        <v>0.05</v>
      </c>
      <c r="D25" s="13" t="inlineStr">
        <is>
          <t>m</t>
        </is>
      </c>
      <c r="E25" s="14" t="inlineStr">
        <is>
          <t>Κανόνας Εταιρείας</t>
        </is>
      </c>
      <c r="F25" s="15">
        <f>"+" &amp; (C25*100) &amp; " cm πάγια προσαύξηση εταιρείας (+" &amp; TEXT(C25/C24,"0.0%") &amp; " επί του ονομαστικού πάχους)"</f>
        <v/>
      </c>
    </row>
    <row r="26">
      <c r="A26" s="10" t="inlineStr">
        <is>
          <t>Κ.17</t>
        </is>
      </c>
      <c r="B26" s="11">
        <f>"Διάμετρος Οπής Διάτρησης Αγκυρώσεων (Ø" &amp; (C26*1000) &amp; "mm)"</f>
        <v/>
      </c>
      <c r="C26" s="17" t="n">
        <v>0.12</v>
      </c>
      <c r="D26" s="13" t="inlineStr">
        <is>
          <t>m</t>
        </is>
      </c>
      <c r="E26" s="14" t="inlineStr">
        <is>
          <t>Κανόνας Εταιρείας</t>
        </is>
      </c>
      <c r="F26" s="15">
        <f>"Ø" &amp; (C26*1000) &amp; " mm τυπική διάμετρος διάτρησης αγκυρίων"</f>
        <v/>
      </c>
    </row>
    <row r="27">
      <c r="A27" s="10" t="inlineStr">
        <is>
          <t>Κ.18</t>
        </is>
      </c>
      <c r="B27" s="11" t="inlineStr">
        <is>
          <t>Συντελεστής Απώλειας Grout Αγκυρώσεων</t>
        </is>
      </c>
      <c r="C27" s="17" t="n">
        <v>1.2</v>
      </c>
      <c r="D27" s="13" t="inlineStr">
        <is>
          <t>-</t>
        </is>
      </c>
      <c r="E27" s="14" t="inlineStr">
        <is>
          <t>Κανόνας Εταιρείας</t>
        </is>
      </c>
      <c r="F27" s="15">
        <f>"+" &amp; TEXT((C27-1),"0%") &amp; " προσαύξηση όγκου τσιμεντενέματος (" &amp; TEXT(C79,"0.000000") &amp; " m³/m)"</f>
        <v/>
      </c>
    </row>
    <row r="28">
      <c r="A28" s="10" t="inlineStr">
        <is>
          <t>Κ.19</t>
        </is>
      </c>
      <c r="B28" s="11" t="inlineStr">
        <is>
          <t>Πρόσθετο Μήκος Τένοντα εκτός Μετώπου (για τάνυση/κεφαλή)</t>
        </is>
      </c>
      <c r="C28" s="17" t="n">
        <v>1</v>
      </c>
      <c r="D28" s="13" t="inlineStr">
        <is>
          <t>m</t>
        </is>
      </c>
      <c r="E28" s="14" t="inlineStr">
        <is>
          <t>Κανόνας Εταιρείας</t>
        </is>
      </c>
      <c r="F28" s="15">
        <f>"+" &amp; TEXT(C28,"0.00") &amp; " m έξω από το μέτωπο σε κάθε τένοντα"</f>
        <v/>
      </c>
    </row>
    <row r="29">
      <c r="A29" s="21" t="inlineStr">
        <is>
          <t>Κ.20</t>
        </is>
      </c>
      <c r="B29" s="22" t="inlineStr">
        <is>
          <t>Τυπικό Βάρος Τένοντα Προέντασης 0.6'' (15.2mm)</t>
        </is>
      </c>
      <c r="C29" s="23" t="n">
        <v>1.1</v>
      </c>
      <c r="D29" s="24" t="inlineStr">
        <is>
          <t>kg/m</t>
        </is>
      </c>
      <c r="E29" s="25" t="inlineStr">
        <is>
          <t>Κανόνας Εταιρείας</t>
        </is>
      </c>
      <c r="F29" s="26">
        <f>"7-wire strand 0.6'' (1670/1860 MPa) = " &amp; TEXT(C29,"0.00") &amp; " kg/m"</f>
        <v/>
      </c>
    </row>
    <row r="30"/>
    <row r="31">
      <c r="A31" s="6" t="inlineStr">
        <is>
          <t>TYPE A</t>
        </is>
      </c>
      <c r="B31" s="7">
        <f>"ΚΟΥΤΙ ΣΤΟΙΧΕΙΩΝ ΜΕΛΕΤΗΣ TYPE A — ΤΟΙΧΟΣ ΑΝΤΙΣΤΗΡΙΞΗΣ Α (Εκσκαφή " &amp; TEXT(C34,"0.00") &amp; "m, " &amp; C32 &amp; "No Ζεύγη HEB 220, L=" &amp; TEXT(C36,"0.00") &amp; "m, Πάκτωση " &amp; TEXT(C35,"0.00") &amp; "m, 4 Σειρές Αγκυρώσεων)"</f>
        <v/>
      </c>
      <c r="C31" s="8" t="n"/>
      <c r="D31" s="8" t="n"/>
      <c r="E31" s="8" t="n"/>
      <c r="F31" s="9" t="n"/>
    </row>
    <row r="32">
      <c r="A32" s="10" t="inlineStr">
        <is>
          <t>A.in.1</t>
        </is>
      </c>
      <c r="B32" s="11" t="inlineStr">
        <is>
          <t>Πλήθος Πασσάλων / Ζευγών HEB 220 (Type A)</t>
        </is>
      </c>
      <c r="C32" s="16" t="n">
        <v>27</v>
      </c>
      <c r="D32" s="13" t="inlineStr">
        <is>
          <t>No</t>
        </is>
      </c>
      <c r="E32" s="14" t="inlineStr">
        <is>
          <t>Σχέδιο ΘΕΜ/1 (Κάτοψη — Βέλη Αγκυρώσεων)</t>
        </is>
      </c>
      <c r="F32" s="15">
        <f>"=" &amp; C32 &amp; " πάσσαλοι / θέσεις αγκυρώσεων (22 στο Ανατολικό + 5 στο Νότιο τμήμα Τοίχου Α)"</f>
        <v/>
      </c>
    </row>
    <row r="33">
      <c r="A33" s="10" t="inlineStr">
        <is>
          <t>A.in.2</t>
        </is>
      </c>
      <c r="B33" s="11">
        <f>"Αναπτυγμένο Μήκος Μετώπου Type A (" &amp; C32 &amp; " × " &amp; TEXT(C10,"0.00") &amp; "m)"</f>
        <v/>
      </c>
      <c r="C33" s="27">
        <f>C32*C10</f>
        <v/>
      </c>
      <c r="D33" s="13" t="inlineStr">
        <is>
          <t>τρ.μ.</t>
        </is>
      </c>
      <c r="E33" s="14" t="inlineStr">
        <is>
          <t>Σχέδιο ΘΕΜ/1 (Intervals)</t>
        </is>
      </c>
      <c r="F33" s="15">
        <f>"=" &amp; C32 &amp; " πάσσαλοι × " &amp; TEXT(C10,"0.00") &amp; "m = " &amp; TEXT(C33,"0.00") &amp; " τρ.μ."</f>
        <v/>
      </c>
    </row>
    <row r="34">
      <c r="A34" s="10" t="inlineStr">
        <is>
          <t>A.in.3</t>
        </is>
      </c>
      <c r="B34" s="11" t="inlineStr">
        <is>
          <t>Ελεύθερο Ύψος Εκσκαφής Type A (H_exc_A)</t>
        </is>
      </c>
      <c r="C34" s="17" t="n">
        <v>17</v>
      </c>
      <c r="D34" s="13" t="inlineStr">
        <is>
          <t>m</t>
        </is>
      </c>
      <c r="E34" s="14" t="inlineStr">
        <is>
          <t>Σχέδιο ΘΕΜ/6, Τομή Τοίχου Α</t>
        </is>
      </c>
      <c r="F34" s="15">
        <f>"Αναγραφόμενο ελεύθερο ύψος εκσκαφής " &amp; (C34*1000) &amp; " mm (" &amp; TEXT(C34,"0.00") &amp; " m)"</f>
        <v/>
      </c>
    </row>
    <row r="35">
      <c r="A35" s="10" t="inlineStr">
        <is>
          <t>A.in.4</t>
        </is>
      </c>
      <c r="B35" s="11" t="inlineStr">
        <is>
          <t>Ύψος Πάκτωσης Σκυροδέματος Νέφκας Type A (H_embed_A)</t>
        </is>
      </c>
      <c r="C35" s="17" t="n">
        <v>1.5</v>
      </c>
      <c r="D35" s="13" t="inlineStr">
        <is>
          <t>m</t>
        </is>
      </c>
      <c r="E35" s="14" t="inlineStr">
        <is>
          <t>Σχέδιο ΘΕΜ/6, Τομή Τοίχου Α</t>
        </is>
      </c>
      <c r="F35" s="15">
        <f>"Αναγραφόμενο ύψος πάκτωσης σκυροδέματος " &amp; (C35*1000) &amp; " mm (" &amp; TEXT(C35,"0.00") &amp; " m) στη βάση της νέφκας"</f>
        <v/>
      </c>
    </row>
    <row r="36">
      <c r="A36" s="10" t="inlineStr">
        <is>
          <t>A.in.5</t>
        </is>
      </c>
      <c r="B36" s="11" t="inlineStr">
        <is>
          <t>Συνολικό Μήκος Νέφκας / Διάτρησης Type A (L_beam_A)</t>
        </is>
      </c>
      <c r="C36" s="17" t="n">
        <v>19</v>
      </c>
      <c r="D36" s="13" t="inlineStr">
        <is>
          <t>m</t>
        </is>
      </c>
      <c r="E36" s="14" t="inlineStr">
        <is>
          <t>Σχέδιο ΘΕΜ/6, Τομή Τοίχου Α</t>
        </is>
      </c>
      <c r="F36" s="15">
        <f>"Αναγραφόμενο συνολικό μήκος νέφκας " &amp; (C36*1000) &amp; " mm (" &amp; TEXT(C36,"0.00") &amp; " m) — ελεύθερο " &amp; TEXT(C34,"0.00") &amp; "m, υπόγειο " &amp; TEXT(C36-C34,"0.00") &amp; "m, πάκτωση μπετόν " &amp; TEXT(C35,"0.00") &amp; "m"</f>
        <v/>
      </c>
    </row>
    <row r="37">
      <c r="A37" s="10" t="inlineStr">
        <is>
          <t>A.in.6</t>
        </is>
      </c>
      <c r="B37" s="11" t="inlineStr">
        <is>
          <t>Αγκύρωση Σειρά 1 (στο -2.00m): Μήκος Διάτρησης L1</t>
        </is>
      </c>
      <c r="C37" s="17" t="n">
        <v>20</v>
      </c>
      <c r="D37" s="13" t="inlineStr">
        <is>
          <t>m</t>
        </is>
      </c>
      <c r="E37" s="14" t="inlineStr">
        <is>
          <t>Σχέδιο ΘΕΜ/6, Τομή Τοίχου Α</t>
        </is>
      </c>
      <c r="F37" s="15">
        <f>"10.0m ελεύθερο + 10.0m πάκτωση grout = " &amp; TEXT(C37,"0.00") &amp; "m (30°, 144 kN)"</f>
        <v/>
      </c>
    </row>
    <row r="38">
      <c r="A38" s="10" t="inlineStr">
        <is>
          <t>A.in.7</t>
        </is>
      </c>
      <c r="B38" s="11" t="inlineStr">
        <is>
          <t>Αγκύρωση Σειρά 1 (στο -2.00m): Καλώδια (Strands)</t>
        </is>
      </c>
      <c r="C38" s="16" t="n">
        <v>2</v>
      </c>
      <c r="D38" s="13" t="inlineStr">
        <is>
          <t>καλώδια</t>
        </is>
      </c>
      <c r="E38" s="14" t="inlineStr">
        <is>
          <t>Σχέδιο ΘΕΜ/6, Τομή Τοίχου Α</t>
        </is>
      </c>
      <c r="F38" s="15">
        <f>"Αναγράφεται: " &amp; C38 &amp; " ΚΑΛΩΔΙΑ 15.2mm (Type 1670/1860)"</f>
        <v/>
      </c>
    </row>
    <row r="39">
      <c r="A39" s="10" t="inlineStr">
        <is>
          <t>A.in.8</t>
        </is>
      </c>
      <c r="B39" s="11" t="inlineStr">
        <is>
          <t>Αγκύρωση Σειρά 2 (στο -6.00m): Μήκος Διάτρησης L2</t>
        </is>
      </c>
      <c r="C39" s="17" t="n">
        <v>19.5</v>
      </c>
      <c r="D39" s="13" t="inlineStr">
        <is>
          <t>m</t>
        </is>
      </c>
      <c r="E39" s="14" t="inlineStr">
        <is>
          <t>Σχέδιο ΘΕΜ/6, Τομή Τοίχου Α</t>
        </is>
      </c>
      <c r="F39" s="15">
        <f>"8.5m ελεύθερο + 11.0m πάκτωση grout = " &amp; TEXT(C39,"0.00") &amp; "m (30°, 338 kN)"</f>
        <v/>
      </c>
    </row>
    <row r="40">
      <c r="A40" s="10" t="inlineStr">
        <is>
          <t>A.in.9</t>
        </is>
      </c>
      <c r="B40" s="11" t="inlineStr">
        <is>
          <t>Αγκύρωση Σειρά 2 (στο -6.00m): Καλώδια (Strands)</t>
        </is>
      </c>
      <c r="C40" s="16" t="n">
        <v>2</v>
      </c>
      <c r="D40" s="13" t="inlineStr">
        <is>
          <t>καλώδια</t>
        </is>
      </c>
      <c r="E40" s="14" t="inlineStr">
        <is>
          <t>Σχέδιο ΘΕΜ/6, Τομή Τοίχου Α</t>
        </is>
      </c>
      <c r="F40" s="15">
        <f>"Αναγράφεται: " &amp; C40 &amp; " ΚΑΛΩΔΙΑ 15.2mm (Type 1670/1860)"</f>
        <v/>
      </c>
    </row>
    <row r="41">
      <c r="A41" s="10" t="inlineStr">
        <is>
          <t>A.in.10</t>
        </is>
      </c>
      <c r="B41" s="11" t="inlineStr">
        <is>
          <t>Αγκύρωση Σειρά 3 (στο -9.50m): Μήκος Διάτρησης L3</t>
        </is>
      </c>
      <c r="C41" s="17" t="n">
        <v>20</v>
      </c>
      <c r="D41" s="13" t="inlineStr">
        <is>
          <t>m</t>
        </is>
      </c>
      <c r="E41" s="14" t="inlineStr">
        <is>
          <t>Σχέδιο ΘΕΜ/6, Τομή Τοίχου Α</t>
        </is>
      </c>
      <c r="F41" s="15">
        <f>"8.0m ελεύθερο + 12.0m πάκτωση grout = " &amp; TEXT(C41,"0.00") &amp; "m (30°, 439 kN)"</f>
        <v/>
      </c>
    </row>
    <row r="42">
      <c r="A42" s="10" t="inlineStr">
        <is>
          <t>A.in.11</t>
        </is>
      </c>
      <c r="B42" s="11" t="inlineStr">
        <is>
          <t>Αγκύρωση Σειρά 3 (στο -9.50m): Καλώδια (Strands)</t>
        </is>
      </c>
      <c r="C42" s="16" t="n">
        <v>3</v>
      </c>
      <c r="D42" s="13" t="inlineStr">
        <is>
          <t>καλώδια</t>
        </is>
      </c>
      <c r="E42" s="14" t="inlineStr">
        <is>
          <t>Σχέδιο ΘΕΜ/6, Τομή Τοίχου Α</t>
        </is>
      </c>
      <c r="F42" s="15">
        <f>"Αναγράφεται: " &amp; C42 &amp; " ΚΑΛΩΔΙΑ 15.2mm (Type 1670/1860)"</f>
        <v/>
      </c>
    </row>
    <row r="43">
      <c r="A43" s="10" t="inlineStr">
        <is>
          <t>A.in.12</t>
        </is>
      </c>
      <c r="B43" s="11" t="inlineStr">
        <is>
          <t>Αγκύρωση Σειρά 4 (στο -13.50m): Μήκος Διάτρησης L4</t>
        </is>
      </c>
      <c r="C43" s="17" t="n">
        <v>18.5</v>
      </c>
      <c r="D43" s="13" t="inlineStr">
        <is>
          <t>m</t>
        </is>
      </c>
      <c r="E43" s="14" t="inlineStr">
        <is>
          <t>Σχέδιο ΘΕΜ/6, Τομή Τοίχου Α</t>
        </is>
      </c>
      <c r="F43" s="15">
        <f>"3.5m ελεύθερο + 15.0m πάκτωση grout = " &amp; TEXT(C43,"0.00") &amp; "m (30°, 584 kN)"</f>
        <v/>
      </c>
    </row>
    <row r="44">
      <c r="A44" s="21" t="inlineStr">
        <is>
          <t>A.in.13</t>
        </is>
      </c>
      <c r="B44" s="22" t="inlineStr">
        <is>
          <t>Αγκύρωση Σειρά 4 (στο -13.50m): Καλώδια (Strands)</t>
        </is>
      </c>
      <c r="C44" s="28" t="n">
        <v>3</v>
      </c>
      <c r="D44" s="24" t="inlineStr">
        <is>
          <t>καλώδια</t>
        </is>
      </c>
      <c r="E44" s="25" t="inlineStr">
        <is>
          <t>Σχέδιο ΘΕΜ/6, Τομή Τοίχου Α</t>
        </is>
      </c>
      <c r="F44" s="26">
        <f>"Αναγράφεται: " &amp; C44 &amp; " ΚΑΛΩΔΙΑ 15.2mm (Type 1670/1860)"</f>
        <v/>
      </c>
    </row>
    <row r="45"/>
    <row r="46">
      <c r="A46" s="6" t="inlineStr">
        <is>
          <t>TYPE B</t>
        </is>
      </c>
      <c r="B46" s="7">
        <f>"ΚΟΥΤΙ ΣΤΟΙΧΕΙΩΝ ΜΕΛΕΤΗΣ TYPE B — ΤΟΙΧΟΣ ΑΝΤΙΣΤΗΡΙΞΗΣ Β (Εκσκαφή " &amp; TEXT(C49,"0.00") &amp; "m, " &amp; C47 &amp; "No Ζεύγη HEB 200, L=" &amp; TEXT(C51,"0.00") &amp; "m, Πάκτωση " &amp; TEXT(C50,"0.00") &amp; "m, 4 Σειρές Αγκυρώσεων)"</f>
        <v/>
      </c>
      <c r="C46" s="8" t="n"/>
      <c r="D46" s="8" t="n"/>
      <c r="E46" s="8" t="n"/>
      <c r="F46" s="9" t="n"/>
    </row>
    <row r="47">
      <c r="A47" s="10" t="inlineStr">
        <is>
          <t>B.in.1</t>
        </is>
      </c>
      <c r="B47" s="11" t="inlineStr">
        <is>
          <t>Πλήθος Πασσάλων / Ζευγών HEB 200 (Type B)</t>
        </is>
      </c>
      <c r="C47" s="16" t="n">
        <v>74</v>
      </c>
      <c r="D47" s="13" t="inlineStr">
        <is>
          <t>No</t>
        </is>
      </c>
      <c r="E47" s="14" t="inlineStr">
        <is>
          <t>Σχέδιο ΘΕΜ/1 (Κάτοψη — Βέλη Αγκυρώσεων)</t>
        </is>
      </c>
      <c r="F47" s="15">
        <f>"=" &amp; C47 &amp; " πάσσαλοι / θέσεις αγκυρώσεων (Βόρειο, Δυτικό-Κάτω, Νότιο &amp; Βορειοανατολικό τμήμα Τοίχου Β)"</f>
        <v/>
      </c>
    </row>
    <row r="48">
      <c r="A48" s="10" t="inlineStr">
        <is>
          <t>B.in.2</t>
        </is>
      </c>
      <c r="B48" s="11">
        <f>"Αναπτυγμένο Μήκος Μετώπου Type B (" &amp; C47 &amp; " × " &amp; TEXT(C10,"0.00") &amp; "m)"</f>
        <v/>
      </c>
      <c r="C48" s="27">
        <f>C47*C10</f>
        <v/>
      </c>
      <c r="D48" s="13" t="inlineStr">
        <is>
          <t>τρ.μ.</t>
        </is>
      </c>
      <c r="E48" s="14" t="inlineStr">
        <is>
          <t>Σχέδιο ΘΕΜ/1 (Intervals)</t>
        </is>
      </c>
      <c r="F48" s="15">
        <f>"=" &amp; C47 &amp; " πάσσαλοι × " &amp; TEXT(C10,"0.00") &amp; "m = " &amp; TEXT(C48,"0.00") &amp; " τρ.μ."</f>
        <v/>
      </c>
    </row>
    <row r="49">
      <c r="A49" s="10" t="inlineStr">
        <is>
          <t>B.in.3</t>
        </is>
      </c>
      <c r="B49" s="11" t="inlineStr">
        <is>
          <t>Ελεύθερο Ύψος Εκσκαφής Type B (H_exc_B)</t>
        </is>
      </c>
      <c r="C49" s="17" t="n">
        <v>15.6</v>
      </c>
      <c r="D49" s="13" t="inlineStr">
        <is>
          <t>m</t>
        </is>
      </c>
      <c r="E49" s="14" t="inlineStr">
        <is>
          <t>Σχέδιο ΘΕΜ/6, Τομή Τοίχου Β</t>
        </is>
      </c>
      <c r="F49" s="15">
        <f>"Αναγραφόμενο ελεύθερο ύψος εκσκαφής " &amp; (C49*1000) &amp; " mm (" &amp; TEXT(C49,"0.00") &amp; " m)"</f>
        <v/>
      </c>
    </row>
    <row r="50">
      <c r="A50" s="10" t="inlineStr">
        <is>
          <t>B.in.4</t>
        </is>
      </c>
      <c r="B50" s="11" t="inlineStr">
        <is>
          <t>Ύψος Πάκτωσης Σκυροδέματος Νέφκας Type B (H_embed_B)</t>
        </is>
      </c>
      <c r="C50" s="17" t="n">
        <v>1.5</v>
      </c>
      <c r="D50" s="13" t="inlineStr">
        <is>
          <t>m</t>
        </is>
      </c>
      <c r="E50" s="14" t="inlineStr">
        <is>
          <t>Σχέδιο ΘΕΜ/6, Τομή Τοίχου Β</t>
        </is>
      </c>
      <c r="F50" s="15">
        <f>"Αναγραφόμενο ύψος πάκτωσης σκυροδέματος " &amp; (C50*1000) &amp; " mm (" &amp; TEXT(C50,"0.00") &amp; " m) στη βάση της νέφκας"</f>
        <v/>
      </c>
    </row>
    <row r="51">
      <c r="A51" s="10" t="inlineStr">
        <is>
          <t>B.in.5</t>
        </is>
      </c>
      <c r="B51" s="11" t="inlineStr">
        <is>
          <t>Συνολικό Μήκος Νέφκας / Διάτρησης Type B (L_beam_B)</t>
        </is>
      </c>
      <c r="C51" s="17" t="n">
        <v>17</v>
      </c>
      <c r="D51" s="13" t="inlineStr">
        <is>
          <t>m</t>
        </is>
      </c>
      <c r="E51" s="14" t="inlineStr">
        <is>
          <t>Σχέδιο ΘΕΜ/6, Τομή Τοίχου Β</t>
        </is>
      </c>
      <c r="F51" s="15">
        <f>"Αναγραφόμενο συνολικό μήκος νέφκας " &amp; (C51*1000) &amp; " mm (" &amp; TEXT(C51,"0.00") &amp; " m) — ελεύθερο " &amp; TEXT(C49,"0.00") &amp; "m, υπόγειο " &amp; TEXT(C51-C49,"0.00") &amp; "m, πάκτωση μπετόν " &amp; TEXT(C50,"0.00") &amp; "m"</f>
        <v/>
      </c>
    </row>
    <row r="52">
      <c r="A52" s="10" t="inlineStr">
        <is>
          <t>B.in.6</t>
        </is>
      </c>
      <c r="B52" s="11" t="inlineStr">
        <is>
          <t>Αγκύρωση Σειρά 1 (στο -2.00m): Μήκος Διάτρησης L1</t>
        </is>
      </c>
      <c r="C52" s="17" t="n">
        <v>20</v>
      </c>
      <c r="D52" s="13" t="inlineStr">
        <is>
          <t>m</t>
        </is>
      </c>
      <c r="E52" s="14" t="inlineStr">
        <is>
          <t>Σχέδιο ΘΕΜ/6, Τομή Τοίχου Β</t>
        </is>
      </c>
      <c r="F52" s="15">
        <f>"10.0m ελεύθερο + 10.0m πάκτωση grout = " &amp; TEXT(C52,"0.00") &amp; "m (30°, 141 kN)"</f>
        <v/>
      </c>
    </row>
    <row r="53">
      <c r="A53" s="10" t="inlineStr">
        <is>
          <t>B.in.7</t>
        </is>
      </c>
      <c r="B53" s="11" t="inlineStr">
        <is>
          <t>Αγκύρωση Σειρά 1 (στο -2.00m): Καλώδια (Strands)</t>
        </is>
      </c>
      <c r="C53" s="16" t="n">
        <v>2</v>
      </c>
      <c r="D53" s="13" t="inlineStr">
        <is>
          <t>καλώδια</t>
        </is>
      </c>
      <c r="E53" s="14" t="inlineStr">
        <is>
          <t>Σχέδιο ΘΕΜ/6, Τομή Τοίχου Β</t>
        </is>
      </c>
      <c r="F53" s="15">
        <f>"Αναγράφεται: " &amp; C53 &amp; " ΚΑΛΩΔΙΑ 15.2mm (Type 1670/1860)"</f>
        <v/>
      </c>
    </row>
    <row r="54">
      <c r="A54" s="10" t="inlineStr">
        <is>
          <t>B.in.8</t>
        </is>
      </c>
      <c r="B54" s="11" t="inlineStr">
        <is>
          <t>Αγκύρωση Σειρά 2 (στο -6.00m): Μήκος Διάτρησης L2</t>
        </is>
      </c>
      <c r="C54" s="17" t="n">
        <v>19.5</v>
      </c>
      <c r="D54" s="13" t="inlineStr">
        <is>
          <t>m</t>
        </is>
      </c>
      <c r="E54" s="14" t="inlineStr">
        <is>
          <t>Σχέδιο ΘΕΜ/6, Τομή Τοίχου Β</t>
        </is>
      </c>
      <c r="F54" s="15">
        <f>"8.5m ελεύθερο + 11.0m πάκτωση grout = " &amp; TEXT(C54,"0.00") &amp; "m (30°, 323 kN)"</f>
        <v/>
      </c>
    </row>
    <row r="55">
      <c r="A55" s="10" t="inlineStr">
        <is>
          <t>B.in.9</t>
        </is>
      </c>
      <c r="B55" s="11" t="inlineStr">
        <is>
          <t>Αγκύρωση Σειρά 2 (στο -6.00m): Καλώδια (Strands)</t>
        </is>
      </c>
      <c r="C55" s="16" t="n">
        <v>2</v>
      </c>
      <c r="D55" s="13" t="inlineStr">
        <is>
          <t>καλώδια</t>
        </is>
      </c>
      <c r="E55" s="14" t="inlineStr">
        <is>
          <t>Σχέδιο ΘΕΜ/6, Τομή Τοίχου Β</t>
        </is>
      </c>
      <c r="F55" s="15">
        <f>"Αναγράφεται: " &amp; C55 &amp; " ΚΑΛΩΔΙΑ 15.2mm (Type 1670/1860)"</f>
        <v/>
      </c>
    </row>
    <row r="56">
      <c r="A56" s="10" t="inlineStr">
        <is>
          <t>B.in.10</t>
        </is>
      </c>
      <c r="B56" s="11" t="inlineStr">
        <is>
          <t>Αγκύρωση Σειρά 3 (στο -9.50m): Μήκος Διάτρησης L3</t>
        </is>
      </c>
      <c r="C56" s="17" t="n">
        <v>19.5</v>
      </c>
      <c r="D56" s="13" t="inlineStr">
        <is>
          <t>m</t>
        </is>
      </c>
      <c r="E56" s="14" t="inlineStr">
        <is>
          <t>Σχέδιο ΘΕΜ/6, Τομή Τοίχου Β</t>
        </is>
      </c>
      <c r="F56" s="15">
        <f>"8.5m ελεύθερο + 11.0m πάκτωση grout = " &amp; TEXT(C56,"0.00") &amp; "m (30°, 412 kN)"</f>
        <v/>
      </c>
    </row>
    <row r="57">
      <c r="A57" s="10" t="inlineStr">
        <is>
          <t>B.in.11</t>
        </is>
      </c>
      <c r="B57" s="11" t="inlineStr">
        <is>
          <t>Αγκύρωση Σειρά 3 (στο -9.50m): Καλώδια (Strands)</t>
        </is>
      </c>
      <c r="C57" s="16" t="n">
        <v>3</v>
      </c>
      <c r="D57" s="13" t="inlineStr">
        <is>
          <t>καλώδια</t>
        </is>
      </c>
      <c r="E57" s="14" t="inlineStr">
        <is>
          <t>Σχέδιο ΘΕΜ/6, Τομή Τοίχου Β</t>
        </is>
      </c>
      <c r="F57" s="15">
        <f>"Αναγράφεται: " &amp; C57 &amp; " ΚΑΛΩΔΙΑ 15.2mm (Type 1670/1860)"</f>
        <v/>
      </c>
    </row>
    <row r="58">
      <c r="A58" s="10" t="inlineStr">
        <is>
          <t>B.in.12</t>
        </is>
      </c>
      <c r="B58" s="11" t="inlineStr">
        <is>
          <t>Αγκύρωση Σειρά 4 (στο -12.50m): Μήκος Διάτρησης L4</t>
        </is>
      </c>
      <c r="C58" s="17" t="n">
        <v>16</v>
      </c>
      <c r="D58" s="13" t="inlineStr">
        <is>
          <t>m</t>
        </is>
      </c>
      <c r="E58" s="14" t="inlineStr">
        <is>
          <t>Σχέδιο ΘΕΜ/6, Τομή Τοίχου Β</t>
        </is>
      </c>
      <c r="F58" s="15">
        <f>"4.0m ελεύθερο + 12.0m πάκτωση grout = " &amp; TEXT(C58,"0.00") &amp; "m (30°, 438 kN)"</f>
        <v/>
      </c>
    </row>
    <row r="59">
      <c r="A59" s="21" t="inlineStr">
        <is>
          <t>B.in.13</t>
        </is>
      </c>
      <c r="B59" s="22" t="inlineStr">
        <is>
          <t>Αγκύρωση Σειρά 4 (στο -12.50m): Καλώδια (Strands)</t>
        </is>
      </c>
      <c r="C59" s="28" t="n">
        <v>3</v>
      </c>
      <c r="D59" s="24" t="inlineStr">
        <is>
          <t>καλώδια</t>
        </is>
      </c>
      <c r="E59" s="25" t="inlineStr">
        <is>
          <t>Σχέδιο ΘΕΜ/6, Τομή Τοίχου Β</t>
        </is>
      </c>
      <c r="F59" s="26">
        <f>"Αναγράφεται: " &amp; C59 &amp; " ΚΑΛΩΔΙΑ 15.2mm (Type 1670/1860)"</f>
        <v/>
      </c>
    </row>
    <row r="60"/>
    <row r="61">
      <c r="A61" s="6" t="inlineStr">
        <is>
          <t>TYPE C</t>
        </is>
      </c>
      <c r="B61" s="7">
        <f>"ΚΟΥΤΙ ΣΤΟΙΧΕΙΩΝ ΜΕΛΕΤΗΣ TYPE C — ΤΟΙΧΟΣ ΑΝΤΙΣΤΗΡΙΞΗΣ Γ (Εκσκαφή " &amp; TEXT(C64,"0.00") &amp; "m, " &amp; C62 &amp; "No Ζεύγη HEB 200, L=" &amp; TEXT(C66,"0.00") &amp; "m, Πάκτωση " &amp; TEXT(C65,"0.00") &amp; "m, 3 Σειρές Αγκυρώσεων)"</f>
        <v/>
      </c>
      <c r="C61" s="8" t="n"/>
      <c r="D61" s="8" t="n"/>
      <c r="E61" s="8" t="n"/>
      <c r="F61" s="9" t="n"/>
    </row>
    <row r="62">
      <c r="A62" s="10" t="inlineStr">
        <is>
          <t>C.in.1</t>
        </is>
      </c>
      <c r="B62" s="11" t="inlineStr">
        <is>
          <t>Πλήθος Πασσάλων / Ζευγών HEB 200 (Type C)</t>
        </is>
      </c>
      <c r="C62" s="16" t="n">
        <v>15</v>
      </c>
      <c r="D62" s="13" t="inlineStr">
        <is>
          <t>No</t>
        </is>
      </c>
      <c r="E62" s="14" t="inlineStr">
        <is>
          <t>Σχέδιο ΘΕΜ/1 (Κάτοψη — Βέλη Αγκυρώσεων)</t>
        </is>
      </c>
      <c r="F62" s="15">
        <f>"=" &amp; C62 &amp; " πάσσαλοι / θέσεις αγκυρώσεων (Βορειοδυτικό τμήμα Τοίχου Γ)"</f>
        <v/>
      </c>
    </row>
    <row r="63">
      <c r="A63" s="10" t="inlineStr">
        <is>
          <t>C.in.2</t>
        </is>
      </c>
      <c r="B63" s="11">
        <f>"Αναπτυγμένο Μήκος Μετώπου Type C (" &amp; C62 &amp; " × " &amp; TEXT(C10,"0.00") &amp; "m)"</f>
        <v/>
      </c>
      <c r="C63" s="27">
        <f>C62*C10</f>
        <v/>
      </c>
      <c r="D63" s="13" t="inlineStr">
        <is>
          <t>τρ.μ.</t>
        </is>
      </c>
      <c r="E63" s="14" t="inlineStr">
        <is>
          <t>Σχέδιο ΘΕΜ/1 (Intervals)</t>
        </is>
      </c>
      <c r="F63" s="15">
        <f>"=" &amp; C62 &amp; " πάσσαλοι × " &amp; TEXT(C10,"0.00") &amp; "m = " &amp; TEXT(C63,"0.00") &amp; " τρ.μ."</f>
        <v/>
      </c>
    </row>
    <row r="64">
      <c r="A64" s="10" t="inlineStr">
        <is>
          <t>C.in.3</t>
        </is>
      </c>
      <c r="B64" s="11" t="inlineStr">
        <is>
          <t>Ελεύθερο Ύψος Εκσκαφής Type C (H_exc_C)</t>
        </is>
      </c>
      <c r="C64" s="17" t="n">
        <v>11.1</v>
      </c>
      <c r="D64" s="13" t="inlineStr">
        <is>
          <t>m</t>
        </is>
      </c>
      <c r="E64" s="14" t="inlineStr">
        <is>
          <t>Σχέδιο ΘΕΜ/6, Τομή Τοίχου Γ</t>
        </is>
      </c>
      <c r="F64" s="15">
        <f>"Αναγραφόμενο ελεύθερο ύψος εκσκαφής " &amp; (C64*1000) &amp; " mm (" &amp; TEXT(C64,"0.00") &amp; " m)"</f>
        <v/>
      </c>
    </row>
    <row r="65">
      <c r="A65" s="10" t="inlineStr">
        <is>
          <t>C.in.4</t>
        </is>
      </c>
      <c r="B65" s="11" t="inlineStr">
        <is>
          <t>Ύψος Πάκτωσης Σκυροδέματος Νέφκας Type C (H_embed_C)</t>
        </is>
      </c>
      <c r="C65" s="17" t="n">
        <v>1.5</v>
      </c>
      <c r="D65" s="13" t="inlineStr">
        <is>
          <t>m</t>
        </is>
      </c>
      <c r="E65" s="14" t="inlineStr">
        <is>
          <t>Σχέδιο ΘΕΜ/6, Τομή Τοίχου Γ</t>
        </is>
      </c>
      <c r="F65" s="15">
        <f>"Αναγραφόμενο ύψος πάκτωσης σκυροδέματος " &amp; (C65*1000) &amp; " mm (" &amp; TEXT(C65,"0.00") &amp; " m) στη βάση της νέφκας"</f>
        <v/>
      </c>
    </row>
    <row r="66">
      <c r="A66" s="10" t="inlineStr">
        <is>
          <t>C.in.5</t>
        </is>
      </c>
      <c r="B66" s="11" t="inlineStr">
        <is>
          <t>Συνολικό Μήκος Νέφκας / Διάτρησης Type C (L_beam_C)</t>
        </is>
      </c>
      <c r="C66" s="17" t="n">
        <v>13</v>
      </c>
      <c r="D66" s="13" t="inlineStr">
        <is>
          <t>m</t>
        </is>
      </c>
      <c r="E66" s="14" t="inlineStr">
        <is>
          <t>Σχέδιο ΘΕΜ/6, Τομή Τοίχου Γ</t>
        </is>
      </c>
      <c r="F66" s="15">
        <f>"Αναγραφόμενο συνολικό μήκος νέφκας " &amp; (C66*1000) &amp; " mm (" &amp; TEXT(C66,"0.00") &amp; " m) — ελεύθερο " &amp; TEXT(C64,"0.00") &amp; "m, υπόγειο " &amp; TEXT(C66-C64,"0.00") &amp; "m, πάκτωση μπετόν " &amp; TEXT(C65,"0.00") &amp; "m"</f>
        <v/>
      </c>
    </row>
    <row r="67">
      <c r="A67" s="10" t="inlineStr">
        <is>
          <t>C.in.6</t>
        </is>
      </c>
      <c r="B67" s="11" t="inlineStr">
        <is>
          <t>Αγκύρωση Σειρά 1 (στο -2.00m): Μήκος Διάτρησης L1</t>
        </is>
      </c>
      <c r="C67" s="17" t="n">
        <v>19</v>
      </c>
      <c r="D67" s="13" t="inlineStr">
        <is>
          <t>m</t>
        </is>
      </c>
      <c r="E67" s="14" t="inlineStr">
        <is>
          <t>Σχέδιο ΘΕΜ/6, Τομή Τοίχου Γ</t>
        </is>
      </c>
      <c r="F67" s="15">
        <f>"9.0m ελεύθερο + 10.0m πάκτωση grout = " &amp; TEXT(C67,"0.00") &amp; "m (30°, 176 kN)"</f>
        <v/>
      </c>
    </row>
    <row r="68">
      <c r="A68" s="10" t="inlineStr">
        <is>
          <t>C.in.7</t>
        </is>
      </c>
      <c r="B68" s="11" t="inlineStr">
        <is>
          <t>Αγκύρωση Σειρά 1 (στο -2.00m): Καλώδια (Strands)</t>
        </is>
      </c>
      <c r="C68" s="16" t="n">
        <v>3</v>
      </c>
      <c r="D68" s="13" t="inlineStr">
        <is>
          <t>καλώδια</t>
        </is>
      </c>
      <c r="E68" s="14" t="inlineStr">
        <is>
          <t>Σχέδιο ΘΕΜ/6, Τομή Τοίχου Γ</t>
        </is>
      </c>
      <c r="F68" s="15">
        <f>"Αναγράφεται: " &amp; C68 &amp; " ΚΑΛΩΔΙΑ 15.2mm (Type 1670/1860)"</f>
        <v/>
      </c>
    </row>
    <row r="69">
      <c r="A69" s="10" t="inlineStr">
        <is>
          <t>C.in.8</t>
        </is>
      </c>
      <c r="B69" s="11" t="inlineStr">
        <is>
          <t>Αγκύρωση Σειρά 2 (στο -6.00m): Μήκος Διάτρησης L2</t>
        </is>
      </c>
      <c r="C69" s="17" t="n">
        <v>17</v>
      </c>
      <c r="D69" s="13" t="inlineStr">
        <is>
          <t>m</t>
        </is>
      </c>
      <c r="E69" s="14" t="inlineStr">
        <is>
          <t>Σχέδιο ΘΕΜ/6, Τομή Τοίχου Γ</t>
        </is>
      </c>
      <c r="F69" s="15">
        <f>"7.0m ελεύθερο + 10.0m πάκτωση grout = " &amp; TEXT(C69,"0.00") &amp; "m (30°, 371 kN)"</f>
        <v/>
      </c>
    </row>
    <row r="70">
      <c r="A70" s="10" t="inlineStr">
        <is>
          <t>C.in.9</t>
        </is>
      </c>
      <c r="B70" s="11" t="inlineStr">
        <is>
          <t>Αγκύρωση Σειρά 2 (στο -6.00m): Καλώδια (Strands)</t>
        </is>
      </c>
      <c r="C70" s="16" t="n">
        <v>3</v>
      </c>
      <c r="D70" s="13" t="inlineStr">
        <is>
          <t>καλώδια</t>
        </is>
      </c>
      <c r="E70" s="14" t="inlineStr">
        <is>
          <t>Σχέδιο ΘΕΜ/6, Τομή Τοίχου Γ</t>
        </is>
      </c>
      <c r="F70" s="15">
        <f>"Αναγράφεται: " &amp; C70 &amp; " ΚΑΛΩΔΙΑ 15.2mm (Type 1670/1860)"</f>
        <v/>
      </c>
    </row>
    <row r="71">
      <c r="A71" s="10" t="inlineStr">
        <is>
          <t>C.in.10</t>
        </is>
      </c>
      <c r="B71" s="11" t="inlineStr">
        <is>
          <t>Αγκύρωση Σειρά 3 (στο -9.50m): Μήκος Διάτρησης L3</t>
        </is>
      </c>
      <c r="C71" s="17" t="n">
        <v>16</v>
      </c>
      <c r="D71" s="13" t="inlineStr">
        <is>
          <t>m</t>
        </is>
      </c>
      <c r="E71" s="14" t="inlineStr">
        <is>
          <t>Σχέδιο ΘΕΜ/6, Τομή Τοίχου Γ</t>
        </is>
      </c>
      <c r="F71" s="15">
        <f>"6.0m ελεύθερο + 10.0m πάκτωση grout = " &amp; TEXT(C71,"0.00") &amp; "m (30°, 341.6 kN)"</f>
        <v/>
      </c>
    </row>
    <row r="72">
      <c r="A72" s="21" t="inlineStr">
        <is>
          <t>C.in.11</t>
        </is>
      </c>
      <c r="B72" s="22" t="inlineStr">
        <is>
          <t>Αγκύρωση Σειρά 3 (στο -9.50m): Καλώδια (Strands)</t>
        </is>
      </c>
      <c r="C72" s="28" t="n">
        <v>3</v>
      </c>
      <c r="D72" s="24" t="inlineStr">
        <is>
          <t>καλώδια</t>
        </is>
      </c>
      <c r="E72" s="25" t="inlineStr">
        <is>
          <t>Σχέδιο ΘΕΜ/6, Τομή Τοίχου Γ</t>
        </is>
      </c>
      <c r="F72" s="26">
        <f>"Αναγράφεται: " &amp; C72 &amp; " ΚΑΛΩΔΙΑ 15.2mm (Type 1670/1860)"</f>
        <v/>
      </c>
    </row>
    <row r="73"/>
    <row r="74">
      <c r="A74" s="3" t="inlineStr">
        <is>
          <t>ΚΕΦΑΛΑΙΟ Β: ΥΠΟΛΟΓΙΣΜΟΙ ΦΥΣΙΚΩΝ ΠΟΣΟΤΗΤΩΝ ΑΝΑ ΤΥΠΟ ΤΟΙΧΟΥ (1-ΠΡΟΣ-1 ΑΝΤΙΣΤΟΙΧΙΑ ΜΕ ΤΑ ΚΟΥΤΙΑ ΤΟΥ ΦΥΛΛΟΥ 2)</t>
        </is>
      </c>
    </row>
    <row r="75">
      <c r="A75" s="4" t="inlineStr">
        <is>
          <t>α/α</t>
        </is>
      </c>
      <c r="B75" s="5" t="inlineStr">
        <is>
          <t>ΠΕΡΙΓΡΑΦΗ ΥΠΟΛΟΓΙΣΜΟΥ ΠΟΣΟΤΗΤΑΣ</t>
        </is>
      </c>
      <c r="C75" s="4" t="inlineStr">
        <is>
          <t>ΠΟΣΟΤΗΤΑ</t>
        </is>
      </c>
      <c r="D75" s="4" t="inlineStr">
        <is>
          <t>ΜΟΝ.</t>
        </is>
      </c>
      <c r="E75" s="5" t="inlineStr">
        <is>
          <t>ΔΥΝΑΜΙΚΟΣ ΤΥΠΟΣ &amp; ΕΠΕΞΗΓΗΣΗ</t>
        </is>
      </c>
      <c r="F75" s="5" t="inlineStr">
        <is>
          <t>ΤΕΧΝΙΚΗ ΣΗΜΕΙΩΣΗ / ΕΛΕΓΧΟΣ ΚΑΝΟΝΑ</t>
        </is>
      </c>
    </row>
    <row r="76">
      <c r="A76" s="29" t="inlineStr">
        <is>
          <t>ΣΤΑΘ.</t>
        </is>
      </c>
      <c r="B76" s="30" t="inlineStr">
        <is>
          <t>Β.0 ΒΟΗΘΗΤΙΚΕΣ ΦΥΣΙΚΕΣ ΣΤΑΘΕΡΕΣ ΜΟΝΑΔΑΣ (Διατομή Οπής, Βάρος Σχάρας ανά m², Όγκος Grout ανά m, % Απώλεια Shotcrete)</t>
        </is>
      </c>
      <c r="C76" s="31" t="n"/>
      <c r="D76" s="31" t="n"/>
      <c r="E76" s="31" t="n"/>
      <c r="F76" s="32" t="n"/>
    </row>
    <row r="77">
      <c r="A77" s="10" t="inlineStr">
        <is>
          <t>Σ.1</t>
        </is>
      </c>
      <c r="B77" s="11">
        <f>"Διατομή / Όγκος Οπής Μεγάλου Τρυπανιού ανά Μέτρο (Ø" &amp; (C11*1000) &amp; "mm)"</f>
        <v/>
      </c>
      <c r="C77" s="33">
        <f>PI()*((C11/2)^2)</f>
        <v/>
      </c>
      <c r="D77" s="13" t="inlineStr">
        <is>
          <t>m³/m</t>
        </is>
      </c>
      <c r="E77" s="14">
        <f>"π × (" &amp; TEXT(C11,"0.00") &amp; "/2)² = " &amp; TEXT(C77,"0.0000") &amp; " m³/m"</f>
        <v/>
      </c>
      <c r="F77" s="15">
        <f>"=" &amp; TEXT(C77,"0.0000") &amp; " m³/m για διάτρηση Ø" &amp; (C11*1000) &amp; "mm"</f>
        <v/>
      </c>
    </row>
    <row r="78">
      <c r="A78" s="10" t="inlineStr">
        <is>
          <t>Σ.2</t>
        </is>
      </c>
      <c r="B78" s="11">
        <f>"Υπολογιστικό Βάρος Σχάρας #Y" &amp; C21 &amp; "/" &amp; C22 &amp; " ανά m² (Οριζ. + Κατακ.)"</f>
        <v/>
      </c>
      <c r="C78" s="20">
        <f>ROUND(2*(1000/C22)*((PI()*((C21/1000)^2)/4)*7850), 3)</f>
        <v/>
      </c>
      <c r="D78" s="13" t="inlineStr">
        <is>
          <t>kg/m²</t>
        </is>
      </c>
      <c r="E78" s="14">
        <f>"2 × (1000/" &amp; C22 &amp; ") × " &amp; TEXT((PI()*((C21/1000)^2)/4)*7850,"0.000") &amp; " kg/m = " &amp; TEXT(C78,"0.000") &amp; " kg/m²"</f>
        <v/>
      </c>
      <c r="F78" s="15">
        <f>"=" &amp; TEXT(C78,"0.000") &amp; " kg/m² για #Y" &amp; C21 &amp; "/" &amp; C22 &amp; " (2 κατευθύνσεις)"</f>
        <v/>
      </c>
    </row>
    <row r="79">
      <c r="A79" s="10" t="inlineStr">
        <is>
          <t>Σ.3</t>
        </is>
      </c>
      <c r="B79" s="11">
        <f>"Όγκος Grout Αγκύρωσης ανά Μέτρο Διάτρησης (Ø" &amp; (C26*1000) &amp; "mm × " &amp; TEXT(C27,"0.00") &amp; ")"</f>
        <v/>
      </c>
      <c r="C79" s="34">
        <f>PI()*((C26/2)^2)*C27</f>
        <v/>
      </c>
      <c r="D79" s="13" t="inlineStr">
        <is>
          <t>m³/m</t>
        </is>
      </c>
      <c r="E79" s="14">
        <f>"π × (" &amp; TEXT(C26,"0.00") &amp; "/2)² × " &amp; TEXT(C27,"0.00") &amp; " = " &amp; TEXT(C79,"0.000000") &amp; " m³/m"</f>
        <v/>
      </c>
      <c r="F79" s="15">
        <f>"=" &amp; TEXT(C79,"0.000000") &amp; " m³/m (συμπεριλαμβάνει +" &amp; TEXT(C27-1,"0%") &amp; " απώλεια)"</f>
        <v/>
      </c>
    </row>
    <row r="80">
      <c r="A80" s="21" t="inlineStr">
        <is>
          <t>Σ.4</t>
        </is>
      </c>
      <c r="B80" s="22">
        <f>"Ποσοστό Απώλειας Shotcrete επί του Ονομαστικού Πάχους (+" &amp; (C25*100) &amp; "cm / " &amp; (C24*100) &amp; "cm)"</f>
        <v/>
      </c>
      <c r="C80" s="35">
        <f>C25/C24</f>
        <v/>
      </c>
      <c r="D80" s="24" t="inlineStr">
        <is>
          <t>%</t>
        </is>
      </c>
      <c r="E80" s="25">
        <f>"Απώλεια " &amp; TEXT(C25,"0.00") &amp; "m / Ονομαστικό " &amp; TEXT(C24,"0.00") &amp; "m = " &amp; TEXT(C80,"0.0%")</f>
        <v/>
      </c>
      <c r="F80" s="26">
        <f>"+" &amp; TEXT(C80,"0.0%") &amp; " προσαύξηση λόγω αναπήδησης (+" &amp; (C25*100) &amp; "cm)"</f>
        <v/>
      </c>
    </row>
    <row r="81"/>
    <row r="82">
      <c r="A82" s="6" t="inlineStr">
        <is>
          <t>TYPE A</t>
        </is>
      </c>
      <c r="B82" s="7">
        <f>"BERLIN WALL TYPE A: " &amp; C32 &amp; "No Ζεύγη HEB220, L=" &amp; TEXT(C36,"0.00") &amp; "m για βάθος εκσκαφής " &amp; TEXT(C34,"0.00") &amp; "m και " &amp; TEXT(C33,"0.00") &amp; " τρ.μ."</f>
        <v/>
      </c>
      <c r="C82" s="36">
        <f>C33</f>
        <v/>
      </c>
      <c r="D82" s="37" t="inlineStr">
        <is>
          <t>τρ.μ.</t>
        </is>
      </c>
      <c r="E82" s="38">
        <f>"Περίμετρος Type A = " &amp; C32 &amp; " × " &amp; TEXT(C10,"0.00") &amp; "m = " &amp; TEXT(C33,"0.00") &amp; " m"</f>
        <v/>
      </c>
      <c r="F82" s="39" t="inlineStr">
        <is>
          <t>Όλες οι ποσότητες A.1–A.15 μεταφέρονται 1-προς-1 στο Κουτί TYPE A του Φύλλου 2</t>
        </is>
      </c>
    </row>
    <row r="83">
      <c r="A83" s="10" t="inlineStr">
        <is>
          <t>A.1</t>
        </is>
      </c>
      <c r="B83" s="11">
        <f>"ΤΡΥΠΗΜΑ Ø" &amp; (C11*1000) &amp; "mm = " &amp; C32 &amp; "No X " &amp; TEXT(C36,"0.00") &amp; "m"</f>
        <v/>
      </c>
      <c r="C83" s="40">
        <f>C32*C36</f>
        <v/>
      </c>
      <c r="D83" s="13" t="inlineStr">
        <is>
          <t>m</t>
        </is>
      </c>
      <c r="E83" s="14">
        <f>"=" &amp; C32 &amp; " πάσσαλοι × " &amp; TEXT(C36,"0.00") &amp; "m = " &amp; TEXT(C83,"#,##0.00") &amp; " m"</f>
        <v/>
      </c>
      <c r="F83" s="15">
        <f>"Διάτρηση Μεγάλου Τρυπανιού Ø" &amp; (C11*1000) &amp; "mm (Type A)"</f>
        <v/>
      </c>
    </row>
    <row r="84">
      <c r="A84" s="10" t="inlineStr">
        <is>
          <t>A.2</t>
        </is>
      </c>
      <c r="B84" s="11">
        <f>"ΜΠΕΤΟΝ ΠΑΚΤΩΣΗΣ " &amp; C23 &amp; " = " &amp; C32 &amp; "No X " &amp; TEXT(C35,"0.00") &amp; "m X " &amp; TEXT(C77,"0.000") &amp; "m³/m"</f>
        <v/>
      </c>
      <c r="C84" s="40">
        <f>ROUND(C32*C35*C77, 2)</f>
        <v/>
      </c>
      <c r="D84" s="13" t="inlineStr">
        <is>
          <t>m³</t>
        </is>
      </c>
      <c r="E84" s="14">
        <f>"=" &amp; C32 &amp; " × " &amp; TEXT(C35,"0.00") &amp; "m × " &amp; TEXT(C77,"0.0000") &amp; " = " &amp; TEXT(C84,"#,##0.00") &amp; " m³"</f>
        <v/>
      </c>
      <c r="F84" s="15">
        <f>"Κουγκρί πάκτωσης σε ύψος H_embed = " &amp; TEXT(C35,"0.00") &amp; "m (" &amp; (C35*1000) &amp; "mm)"</f>
        <v/>
      </c>
    </row>
    <row r="85">
      <c r="A85" s="10" t="inlineStr">
        <is>
          <t>A.3</t>
        </is>
      </c>
      <c r="B85" s="11">
        <f>"HEB220 - ΠΡΟΜΗΘΕΙΑ, ΕΠΕΞΕΡΓΑΣΙΑ &amp; ΤΟΠΟΘΕΤΗΣΗ (" &amp; C32 &amp; "No x " &amp; C12 &amp; "No x " &amp; TEXT(C36,"0.00") &amp; "m x " &amp; TEXT(C13,"0.0") &amp; "kg/m)"</f>
        <v/>
      </c>
      <c r="C85" s="40">
        <f>ROUND(C32*C12*C36*C13, 2)</f>
        <v/>
      </c>
      <c r="D85" s="13" t="inlineStr">
        <is>
          <t>kg</t>
        </is>
      </c>
      <c r="E85" s="14">
        <f>"=" &amp; C32 &amp; " × " &amp; C12 &amp; " × " &amp; TEXT(C36,"0.00") &amp; "m × " &amp; TEXT(C13,"0.0") &amp; " = " &amp; TEXT(C85,"#,##0.00") &amp; " kg"</f>
        <v/>
      </c>
      <c r="F85" s="15" t="inlineStr">
        <is>
          <t>Ξεχωριστό κουτάκι HEB 220 (Κανόνας 3.6)</t>
        </is>
      </c>
    </row>
    <row r="86">
      <c r="A86" s="10" t="inlineStr">
        <is>
          <t>A.4</t>
        </is>
      </c>
      <c r="B86" s="11">
        <f>"ΛΑΜΕΣ ΣΥΝΔΕΣΗΣ " &amp; C16 &amp; "x" &amp; C17 &amp; "x" &amp; C18 &amp; "mm = " &amp; C32 &amp; "No x (" &amp; (C36/C15) &amp; "No x " &amp; TEXT(C19,"0.000") &amp; "kg)"</f>
        <v/>
      </c>
      <c r="C86" s="40">
        <f>ROUND(C32*(C36/C15)*C19, 2)</f>
        <v/>
      </c>
      <c r="D86" s="13" t="inlineStr">
        <is>
          <t>kg</t>
        </is>
      </c>
      <c r="E86" s="14">
        <f>"=" &amp; C32 &amp; " × " &amp; (C36/C15) &amp; " λάμες/οπή (" &amp; (C32*(C36/C15)) &amp; " τεμ.) × " &amp; TEXT(C19,"0.000") &amp; " kg"</f>
        <v/>
      </c>
      <c r="F86" s="15">
        <f>"Κανόνας 3.2: L_beam / s_plate = " &amp; TEXT(C36,"0.0") &amp; "m / " &amp; TEXT(C15,"0.0") &amp; "m = " &amp; (C36/C15) &amp; " λάμες/οπή (" &amp; C16 &amp; "x" &amp; C17 &amp; "x" &amp; C18 &amp; "mm)"</f>
        <v/>
      </c>
    </row>
    <row r="87">
      <c r="A87" s="10" t="inlineStr">
        <is>
          <t>A.5</t>
        </is>
      </c>
      <c r="B87" s="11">
        <f>"ΓΩΝΙΕΣ ΣΤΗΡΙΞΗΣ L70x70x6mm = " &amp; C32 &amp; "No x " &amp; TEXT(C34,"0.00") &amp; "m x " &amp; TEXT(C20,"0.00") &amp; "kg/m x 2No"</f>
        <v/>
      </c>
      <c r="C87" s="40">
        <f>ROUND(C32*2*C34*C20, 2)</f>
        <v/>
      </c>
      <c r="D87" s="13" t="inlineStr">
        <is>
          <t>kg</t>
        </is>
      </c>
      <c r="E87" s="14">
        <f>"=" &amp; C32 &amp; " × 2 × " &amp; TEXT(C34,"0.00") &amp; "m (" &amp; TEXT(C32*2*C34,"0.0") &amp; "m) × " &amp; TEXT(C20,"0.00") &amp; " kg/m"</f>
        <v/>
      </c>
      <c r="F87" s="15">
        <f>"2 γωνιές L 70x70x6 ανά πάσσαλο στο ύψος εκσκαφής " &amp; TEXT(C34,"0.00") &amp; "m"</f>
        <v/>
      </c>
    </row>
    <row r="88">
      <c r="A88" s="10" t="inlineStr">
        <is>
          <t>A.6</t>
        </is>
      </c>
      <c r="B88" s="11">
        <f>"ΑΓΟΡΑ ΧΑΛΥΒΑ ΣΧΑΡΑΣ #Y" &amp; C21 &amp; "/" &amp; C22 &amp; " = " &amp; TEXT(C89,"#,##0.00") &amp; "m² x " &amp; TEXT(C78,"0.000") &amp; "kg/m²"</f>
        <v/>
      </c>
      <c r="C88" s="40">
        <f>ROUND(C89*C78, 2)</f>
        <v/>
      </c>
      <c r="D88" s="13" t="inlineStr">
        <is>
          <t>kg</t>
        </is>
      </c>
      <c r="E88" s="14">
        <f>"=" &amp; TEXT(C89,"#,##0.00") &amp; " m² × " &amp; TEXT(C78,"0.000") &amp; " kg/m² = " &amp; TEXT(C88,"#,##0.00") &amp; " kg"</f>
        <v/>
      </c>
      <c r="F88" s="15">
        <f>"Χάλυβας σχάρας #Y" &amp; C21 &amp; "/" &amp; C22 &amp; " μετώπου Type A"</f>
        <v/>
      </c>
    </row>
    <row r="89">
      <c r="A89" s="10" t="inlineStr">
        <is>
          <t>A.7</t>
        </is>
      </c>
      <c r="B89" s="11">
        <f>"ΤΟΠΟΘΕΤΗΣΗ ΣΧΑΡΑΣ ΜΕΤΩΠΟΥ = " &amp; TEXT(C33,"0.00") &amp; "m X " &amp; TEXT(C34,"0.00") &amp; "m"</f>
        <v/>
      </c>
      <c r="C89" s="40">
        <f>ROUND(C33*C34, 2)</f>
        <v/>
      </c>
      <c r="D89" s="13" t="inlineStr">
        <is>
          <t>m²</t>
        </is>
      </c>
      <c r="E89" s="14">
        <f>"=" &amp; TEXT(C33,"0.00") &amp; "m × " &amp; TEXT(C34,"0.00") &amp; "m = " &amp; TEXT(C89,"#,##0.00") &amp; " m²"</f>
        <v/>
      </c>
      <c r="F89" s="15" t="inlineStr">
        <is>
          <t>Εμβαδόν μετώπου εκσκαφής Type A</t>
        </is>
      </c>
    </row>
    <row r="90">
      <c r="A90" s="10" t="inlineStr">
        <is>
          <t>A.8</t>
        </is>
      </c>
      <c r="B90" s="11">
        <f>"ΑΓΟΡΑ ΣΚΥΡΟΔΕΜΑΤΟΣ SHOTCRETE " &amp; C23 &amp; " = " &amp; TEXT(C89,"#,##0.00") &amp; "m² x " &amp; TEXT(C24,"0.00") &amp; "m"</f>
        <v/>
      </c>
      <c r="C90" s="40">
        <f>ROUND(C89*C24, 2)</f>
        <v/>
      </c>
      <c r="D90" s="13" t="inlineStr">
        <is>
          <t>m³</t>
        </is>
      </c>
      <c r="E90" s="14">
        <f>"=" &amp; TEXT(C89,"#,##0.00") &amp; " m² × " &amp; TEXT(C24,"0.00") &amp; "m = " &amp; TEXT(C90,"#,##0.00") &amp; " m³"</f>
        <v/>
      </c>
      <c r="F90" s="15">
        <f>"Ονομαστικός όγκος Shotcrete (πάχος " &amp; (C24*100) &amp; "cm)"</f>
        <v/>
      </c>
    </row>
    <row r="91">
      <c r="A91" s="10" t="inlineStr">
        <is>
          <t>A.9</t>
        </is>
      </c>
      <c r="B91" s="11">
        <f>"ΤΟΠΟΘΕΤΗΣΗ / ΕΚΤΟΞΕΥΣΗ SHOTCRETE = " &amp; TEXT(C89,"#,##0.00") &amp; "m² x " &amp; TEXT(C24,"0.00") &amp; "m (με απώλεια +" &amp; TEXT(C80,"0.0%") &amp; ")"</f>
        <v/>
      </c>
      <c r="C91" s="40">
        <f>C90</f>
        <v/>
      </c>
      <c r="D91" s="13" t="inlineStr">
        <is>
          <t>m³</t>
        </is>
      </c>
      <c r="E91" s="14">
        <f>"Ονομαστικός όγκος " &amp; TEXT(C90,"#,##0.00") &amp; " m³ (η απώλεια +" &amp; (C25*100) &amp; "cm ενσωματώνεται στην τιμή μονάδας)"</f>
        <v/>
      </c>
      <c r="F91" s="15" t="inlineStr">
        <is>
          <t>Εφαρμογή εκτοξευόμενου σκυροδέματος Type A</t>
        </is>
      </c>
    </row>
    <row r="92">
      <c r="A92" s="10" t="inlineStr">
        <is>
          <t>A.10</t>
        </is>
      </c>
      <c r="B92" s="11">
        <f>"ΔΙΑΤΡΗΣΗ ΑΓΚΥΡΩΣΕΩΝ Ø" &amp; (C26*1000) &amp; "mm (4 Σειρές: L1=" &amp; C37 &amp; "m, L2=" &amp; C39 &amp; "m, L3=" &amp; C41 &amp; "m, L4=" &amp; C43 &amp; "m)"</f>
        <v/>
      </c>
      <c r="C92" s="40">
        <f>C32*(C37+C39+C41+C43)</f>
        <v/>
      </c>
      <c r="D92" s="13" t="inlineStr">
        <is>
          <t>m</t>
        </is>
      </c>
      <c r="E92" s="14">
        <f>"=" &amp; C32 &amp; "No × (" &amp; C37 &amp; "+" &amp; C39 &amp; "+" &amp; C41 &amp; "+" &amp; C43 &amp; "m) = " &amp; TEXT(C92,"#,##0.00") &amp; " m"</f>
        <v/>
      </c>
      <c r="F92" s="15">
        <f>"Συνολικά μέτρα διάτρησης " &amp; C96 &amp; " αγκυρώσεων Type A"</f>
        <v/>
      </c>
    </row>
    <row r="93">
      <c r="A93" s="10" t="inlineStr">
        <is>
          <t>A.11</t>
        </is>
      </c>
      <c r="B93" s="11">
        <f>"GROUT ΤΣΙΜΕΝΤΕΝΕΜΑ ΑΓΚΥΡΩΣΕΩΝ (με απώλεια " &amp; TEXT(C27,"0.00") &amp; ") = " &amp; TEXT(C92,"#,##0.00") &amp; "m x " &amp; TEXT(C79,"0.0000") &amp; "m³/m"</f>
        <v/>
      </c>
      <c r="C93" s="40">
        <f>ROUND(C92*C79, 2)</f>
        <v/>
      </c>
      <c r="D93" s="13" t="inlineStr">
        <is>
          <t>m³</t>
        </is>
      </c>
      <c r="E93" s="14">
        <f>"=" &amp; TEXT(C92,"#,##0.00") &amp; "m × " &amp; TEXT(C79,"0.000000") &amp; " m³/m = " &amp; TEXT(C93,"#,##0.00") &amp; " m³"</f>
        <v/>
      </c>
      <c r="F93" s="15" t="inlineStr">
        <is>
          <t>Grout πλήρωσης οπών αγκυρώσεων Type A</t>
        </is>
      </c>
    </row>
    <row r="94">
      <c r="A94" s="10" t="inlineStr">
        <is>
          <t>A.12</t>
        </is>
      </c>
      <c r="B94" s="11">
        <f>"ΤΕΝΟΝΤΕΣ 0.6'' (" &amp; C38 &amp; " ΚΑΛΩΔΙΑ) — Σειρά 1 (L=" &amp; C37 &amp; "m) &amp; Σειρά 2 (L=" &amp; C39 &amp; "m) (+" &amp; TEXT(C28,"0.0") &amp; "m)"</f>
        <v/>
      </c>
      <c r="C94" s="40">
        <f>C32*(((C37+C28)*C38)+((C39+C28)*C40))</f>
        <v/>
      </c>
      <c r="D94" s="13" t="inlineStr">
        <is>
          <t>m</t>
        </is>
      </c>
      <c r="E94" s="14">
        <f>"=" &amp; C32 &amp; "No × ((" &amp; C37 &amp; "+" &amp; C28 &amp; ")×" &amp; C38 &amp; " + (" &amp; C39 &amp; "+" &amp; C28 &amp; ")×" &amp; C40 &amp; ") = " &amp; TEXT(C94,"#,##0.00") &amp; " m"</f>
        <v/>
      </c>
      <c r="F94" s="15">
        <f>"=" &amp; (C32*2) &amp; " αγκυρώσεις 2-strands (Σειρές 1 &amp; 2 Τοίχου Α)"</f>
        <v/>
      </c>
    </row>
    <row r="95">
      <c r="A95" s="10" t="inlineStr">
        <is>
          <t>A.13</t>
        </is>
      </c>
      <c r="B95" s="11">
        <f>"ΤΕΝΟΝΤΕΣ 0.6'' (" &amp; C42 &amp; " ΚΑΛΩΔΙΑ) — Σειρά 3 (L=" &amp; C41 &amp; "m) &amp; Σειρά 4 (L=" &amp; C43 &amp; "m) (+" &amp; TEXT(C28,"0.0") &amp; "m)"</f>
        <v/>
      </c>
      <c r="C95" s="40">
        <f>C32*(((C41+C28)*C42)+((C43+C28)*C44))</f>
        <v/>
      </c>
      <c r="D95" s="13" t="inlineStr">
        <is>
          <t>m</t>
        </is>
      </c>
      <c r="E95" s="14">
        <f>"=" &amp; C32 &amp; "No × ((" &amp; C41 &amp; "+" &amp; C28 &amp; ")×" &amp; C42 &amp; " + (" &amp; C43 &amp; "+" &amp; C28 &amp; ")×" &amp; C44 &amp; ") = " &amp; TEXT(C95,"#,##0.00") &amp; " m"</f>
        <v/>
      </c>
      <c r="F95" s="15">
        <f>"=" &amp; (C32*2) &amp; " αγκυρώσεις 3-strands (Σειρές 3 &amp; 4 Τοίχου Α)"</f>
        <v/>
      </c>
    </row>
    <row r="96">
      <c r="A96" s="10" t="inlineStr">
        <is>
          <t>A.14</t>
        </is>
      </c>
      <c r="B96" s="11">
        <f>"ΠΡΟΕΝΤΑΣΗ ΑΓΚΥΡΩΣΕΩΝ (STRESSING &amp; LOCK-OFF) = 4 Σειρές X " &amp; C32 &amp; "No"</f>
        <v/>
      </c>
      <c r="C96" s="41">
        <f>C32*4</f>
        <v/>
      </c>
      <c r="D96" s="13" t="inlineStr">
        <is>
          <t>No</t>
        </is>
      </c>
      <c r="E96" s="14">
        <f>"= 4 σειρές × " &amp; C32 &amp; " πάσσαλοι = " &amp; C96 &amp; " αγκυρώσεις (" &amp; (C32*2) &amp; "×2-strands + " &amp; (C32*2) &amp; "×3-strands)"</f>
        <v/>
      </c>
      <c r="F96" s="15">
        <f>"Τάνυση &amp; Lock-off " &amp; C96 &amp; " αγκυρώσεων Type A"</f>
        <v/>
      </c>
    </row>
    <row r="97">
      <c r="A97" s="21" t="inlineStr">
        <is>
          <t>A.15</t>
        </is>
      </c>
      <c r="B97" s="22">
        <f>"ΚΕΦΑΛΕΣ ΑΓΚΥΡΩΣΗΣ (ANCHOR HEAD, WEDGES, PLATE) = 4 Σειρές X " &amp; C32 &amp; "No"</f>
        <v/>
      </c>
      <c r="C97" s="42">
        <f>C96</f>
        <v/>
      </c>
      <c r="D97" s="24" t="inlineStr">
        <is>
          <t>No</t>
        </is>
      </c>
      <c r="E97" s="25">
        <f>"=" &amp; C97 &amp; " πλήρη σετ κεφαλών αγκύρωσης (Σειρές 1 έως 4)"</f>
        <v/>
      </c>
      <c r="F97" s="26">
        <f>"Κεφαλές, σφήνες &amp; πλάκες " &amp; C97 &amp; " αγκυρώσεων Type A"</f>
        <v/>
      </c>
    </row>
    <row r="98"/>
    <row r="99">
      <c r="A99" s="6" t="inlineStr">
        <is>
          <t>TYPE B</t>
        </is>
      </c>
      <c r="B99" s="7">
        <f>"BERLIN WALL TYPE B: " &amp; C47 &amp; "No Ζεύγη HEB200, L=" &amp; TEXT(C51,"0.00") &amp; "m για βάθος εκσκαφής " &amp; TEXT(C49,"0.00") &amp; "m και " &amp; TEXT(C48,"0.00") &amp; " τρ.μ."</f>
        <v/>
      </c>
      <c r="C99" s="36">
        <f>C48</f>
        <v/>
      </c>
      <c r="D99" s="37" t="inlineStr">
        <is>
          <t>τρ.μ.</t>
        </is>
      </c>
      <c r="E99" s="38">
        <f>"Περίμετρος Type B = " &amp; C47 &amp; " × " &amp; TEXT(C10,"0.00") &amp; "m = " &amp; TEXT(C48,"0.00") &amp; " m"</f>
        <v/>
      </c>
      <c r="F99" s="39" t="inlineStr">
        <is>
          <t>Όλες οι ποσότητες B.1–B.15 μεταφέρονται 1-προς-1 στο Κουτί TYPE B του Φύλλου 2</t>
        </is>
      </c>
    </row>
    <row r="100">
      <c r="A100" s="10" t="inlineStr">
        <is>
          <t>B.1</t>
        </is>
      </c>
      <c r="B100" s="11">
        <f>"ΤΡΥΠΗΜΑ Ø" &amp; (C11*1000) &amp; "mm = " &amp; C47 &amp; "No X " &amp; TEXT(C51,"0.00") &amp; "m"</f>
        <v/>
      </c>
      <c r="C100" s="40">
        <f>C47*C51</f>
        <v/>
      </c>
      <c r="D100" s="13" t="inlineStr">
        <is>
          <t>m</t>
        </is>
      </c>
      <c r="E100" s="14">
        <f>"=" &amp; C47 &amp; " πάσσαλοι × " &amp; TEXT(C51,"0.00") &amp; "m = " &amp; TEXT(C100,"#,##0.00") &amp; " m"</f>
        <v/>
      </c>
      <c r="F100" s="15">
        <f>"Διάτρηση Μεγάλου Τρυπανιού Ø" &amp; (C11*1000) &amp; "mm (Type B)"</f>
        <v/>
      </c>
    </row>
    <row r="101">
      <c r="A101" s="10" t="inlineStr">
        <is>
          <t>B.2</t>
        </is>
      </c>
      <c r="B101" s="11">
        <f>"ΜΠΕΤΟΝ ΠΑΚΤΩΣΗΣ " &amp; C23 &amp; " = " &amp; C47 &amp; "No X " &amp; TEXT(C50,"0.00") &amp; "m X " &amp; TEXT(C77,"0.000") &amp; "m³/m"</f>
        <v/>
      </c>
      <c r="C101" s="40">
        <f>ROUND(C47*C50*C77, 2)</f>
        <v/>
      </c>
      <c r="D101" s="13" t="inlineStr">
        <is>
          <t>m³</t>
        </is>
      </c>
      <c r="E101" s="14">
        <f>"=" &amp; C47 &amp; " × " &amp; TEXT(C50,"0.00") &amp; "m × " &amp; TEXT(C77,"0.0000") &amp; " = " &amp; TEXT(C101,"#,##0.00") &amp; " m³"</f>
        <v/>
      </c>
      <c r="F101" s="15">
        <f>"Κουγκρί πάκτωσης σε ύψος H_embed = " &amp; TEXT(C50,"0.00") &amp; "m (" &amp; (C50*1000) &amp; "mm)"</f>
        <v/>
      </c>
    </row>
    <row r="102">
      <c r="A102" s="10" t="inlineStr">
        <is>
          <t>B.3</t>
        </is>
      </c>
      <c r="B102" s="11">
        <f>"HEB200 - ΠΡΟΜΗΘΕΙΑ, ΕΠΕΞΕΡΓΑΣΙΑ &amp; ΤΟΠΟΘΕΤΗΣΗ (" &amp; C47 &amp; "No x " &amp; C12 &amp; "No x " &amp; TEXT(C51,"0.00") &amp; "m x " &amp; TEXT(C14,"0.0") &amp; "kg/m)"</f>
        <v/>
      </c>
      <c r="C102" s="40">
        <f>ROUND(C47*C12*C51*C14, 2)</f>
        <v/>
      </c>
      <c r="D102" s="13" t="inlineStr">
        <is>
          <t>kg</t>
        </is>
      </c>
      <c r="E102" s="14">
        <f>"=" &amp; C47 &amp; " × " &amp; C12 &amp; " × " &amp; TEXT(C51,"0.00") &amp; "m × " &amp; TEXT(C14,"0.0") &amp; " = " &amp; TEXT(C102,"#,##0.00") &amp; " kg"</f>
        <v/>
      </c>
      <c r="F102" s="15" t="inlineStr">
        <is>
          <t>Ξεχωριστό κουτάκι HEB 200 για Type B (Κανόνας 3.6)</t>
        </is>
      </c>
    </row>
    <row r="103">
      <c r="A103" s="10" t="inlineStr">
        <is>
          <t>B.4</t>
        </is>
      </c>
      <c r="B103" s="11">
        <f>"ΛΑΜΕΣ ΣΥΝΔΕΣΗΣ " &amp; C16 &amp; "x" &amp; C17 &amp; "x" &amp; C18 &amp; "mm = " &amp; C47 &amp; "No x (" &amp; (C51/C15) &amp; "No x " &amp; TEXT(C19,"0.000") &amp; "kg)"</f>
        <v/>
      </c>
      <c r="C103" s="40">
        <f>ROUND(C47*(C51/C15)*C19, 2)</f>
        <v/>
      </c>
      <c r="D103" s="13" t="inlineStr">
        <is>
          <t>kg</t>
        </is>
      </c>
      <c r="E103" s="14">
        <f>"=" &amp; C47 &amp; " × " &amp; (C51/C15) &amp; " λάμες/οπή (" &amp; (C47*(C51/C15)) &amp; " τεμ.) × " &amp; TEXT(C19,"0.000") &amp; " kg"</f>
        <v/>
      </c>
      <c r="F103" s="15">
        <f>"Κανόνας 3.2: L_beam / s_plate = " &amp; TEXT(C51,"0.0") &amp; "m / " &amp; TEXT(C15,"0.0") &amp; "m = " &amp; (C51/C15) &amp; " λάμες/οπή (" &amp; C16 &amp; "x" &amp; C17 &amp; "x" &amp; C18 &amp; "mm)"</f>
        <v/>
      </c>
    </row>
    <row r="104">
      <c r="A104" s="10" t="inlineStr">
        <is>
          <t>B.5</t>
        </is>
      </c>
      <c r="B104" s="11">
        <f>"ΓΩΝΙΕΣ ΣΤΗΡΙΞΗΣ L70x70x6mm = " &amp; C47 &amp; "No x " &amp; TEXT(C49,"0.00") &amp; "m x " &amp; TEXT(C20,"0.00") &amp; "kg/m x 2No"</f>
        <v/>
      </c>
      <c r="C104" s="40">
        <f>ROUND(C47*2*C49*C20, 2)</f>
        <v/>
      </c>
      <c r="D104" s="13" t="inlineStr">
        <is>
          <t>kg</t>
        </is>
      </c>
      <c r="E104" s="14">
        <f>"=" &amp; C47 &amp; " × 2 × " &amp; TEXT(C49,"0.00") &amp; "m (" &amp; TEXT(C47*2*C49,"0.0") &amp; "m) × " &amp; TEXT(C20,"0.00") &amp; " kg/m"</f>
        <v/>
      </c>
      <c r="F104" s="15">
        <f>"2 γωνιές L 70x70x6 ανά πάσσαλο στο ύψος εκσκαφής " &amp; TEXT(C49,"0.00") &amp; "m"</f>
        <v/>
      </c>
    </row>
    <row r="105">
      <c r="A105" s="10" t="inlineStr">
        <is>
          <t>B.6</t>
        </is>
      </c>
      <c r="B105" s="11">
        <f>"ΑΓΟΡΑ ΧΑΛΥΒΑ ΣΧΑΡΑΣ #Y" &amp; C21 &amp; "/" &amp; C22 &amp; " = " &amp; TEXT(C106,"#,##0.00") &amp; "m² x " &amp; TEXT(C78,"0.000") &amp; "kg/m²"</f>
        <v/>
      </c>
      <c r="C105" s="40">
        <f>ROUND(C106*C78, 2)</f>
        <v/>
      </c>
      <c r="D105" s="13" t="inlineStr">
        <is>
          <t>kg</t>
        </is>
      </c>
      <c r="E105" s="14">
        <f>"=" &amp; TEXT(C106,"#,##0.00") &amp; " m² × " &amp; TEXT(C78,"0.000") &amp; " kg/m² = " &amp; TEXT(C105,"#,##0.00") &amp; " kg"</f>
        <v/>
      </c>
      <c r="F105" s="15">
        <f>"Χάλυβας σχάρας #Y" &amp; C21 &amp; "/" &amp; C22 &amp; " μετώπου Type B"</f>
        <v/>
      </c>
    </row>
    <row r="106">
      <c r="A106" s="10" t="inlineStr">
        <is>
          <t>B.7</t>
        </is>
      </c>
      <c r="B106" s="11">
        <f>"ΤΟΠΟΘΕΤΗΣΗ ΣΧΑΡΑΣ ΜΕΤΩΠΟΥ = " &amp; TEXT(C48,"0.00") &amp; "m X " &amp; TEXT(C49,"0.00") &amp; "m"</f>
        <v/>
      </c>
      <c r="C106" s="40">
        <f>ROUND(C48*C49, 2)</f>
        <v/>
      </c>
      <c r="D106" s="13" t="inlineStr">
        <is>
          <t>m²</t>
        </is>
      </c>
      <c r="E106" s="14">
        <f>"=" &amp; TEXT(C48,"0.00") &amp; "m × " &amp; TEXT(C49,"0.00") &amp; "m = " &amp; TEXT(C106,"#,##0.00") &amp; " m²"</f>
        <v/>
      </c>
      <c r="F106" s="15" t="inlineStr">
        <is>
          <t>Εμβαδόν μετώπου εκσκαφής Type B</t>
        </is>
      </c>
    </row>
    <row r="107">
      <c r="A107" s="10" t="inlineStr">
        <is>
          <t>B.8</t>
        </is>
      </c>
      <c r="B107" s="11">
        <f>"ΑΓΟΡΑ ΣΚΥΡΟΔΕΜΑΤΟΣ SHOTCRETE " &amp; C23 &amp; " = " &amp; TEXT(C106,"#,##0.00") &amp; "m² x " &amp; TEXT(C24,"0.00") &amp; "m"</f>
        <v/>
      </c>
      <c r="C107" s="40">
        <f>ROUND(C106*C24, 2)</f>
        <v/>
      </c>
      <c r="D107" s="13" t="inlineStr">
        <is>
          <t>m³</t>
        </is>
      </c>
      <c r="E107" s="14">
        <f>"=" &amp; TEXT(C106,"#,##0.00") &amp; " m² × " &amp; TEXT(C24,"0.00") &amp; "m = " &amp; TEXT(C107,"#,##0.00") &amp; " m³"</f>
        <v/>
      </c>
      <c r="F107" s="15">
        <f>"Ονομαστικός όγκος Shotcrete (πάχος " &amp; (C24*100) &amp; "cm)"</f>
        <v/>
      </c>
    </row>
    <row r="108">
      <c r="A108" s="10" t="inlineStr">
        <is>
          <t>B.9</t>
        </is>
      </c>
      <c r="B108" s="11">
        <f>"ΤΟΠΟΘΕΤΗΣΗ / ΕΚΤΟΞΕΥΣΗ SHOTCRETE = " &amp; TEXT(C106,"#,##0.00") &amp; "m² x " &amp; TEXT(C24,"0.00") &amp; "m (με απώλεια +" &amp; TEXT(C80,"0.0%") &amp; ")"</f>
        <v/>
      </c>
      <c r="C108" s="40">
        <f>C107</f>
        <v/>
      </c>
      <c r="D108" s="13" t="inlineStr">
        <is>
          <t>m³</t>
        </is>
      </c>
      <c r="E108" s="14">
        <f>"Ονομαστικός όγκος " &amp; TEXT(C107,"#,##0.00") &amp; " m³ (η απώλεια +" &amp; (C25*100) &amp; "cm ενσωματώνεται στην τιμή μονάδας)"</f>
        <v/>
      </c>
      <c r="F108" s="15" t="inlineStr">
        <is>
          <t>Εφαρμογή εκτοξευόμενου σκυροδέματος Type B</t>
        </is>
      </c>
    </row>
    <row r="109">
      <c r="A109" s="10" t="inlineStr">
        <is>
          <t>B.10</t>
        </is>
      </c>
      <c r="B109" s="11">
        <f>"ΔΙΑΤΡΗΣΗ ΑΓΚΥΡΩΣΕΩΝ Ø" &amp; (C26*1000) &amp; "mm (4 Σειρές: L1=" &amp; C52 &amp; "m, L2=" &amp; C54 &amp; "m, L3=" &amp; C56 &amp; "m, L4=" &amp; C58 &amp; "m)"</f>
        <v/>
      </c>
      <c r="C109" s="40">
        <f>C47*(C52+C54+C56+C58)</f>
        <v/>
      </c>
      <c r="D109" s="13" t="inlineStr">
        <is>
          <t>m</t>
        </is>
      </c>
      <c r="E109" s="14">
        <f>"=" &amp; C47 &amp; "No × (" &amp; C52 &amp; "+" &amp; C54 &amp; "+" &amp; C56 &amp; "+" &amp; C58 &amp; "m) = " &amp; TEXT(C109,"#,##0.00") &amp; " m"</f>
        <v/>
      </c>
      <c r="F109" s="15">
        <f>"Συνολικά μέτρα διάτρησης " &amp; C113 &amp; " αγκυρώσεων Type B"</f>
        <v/>
      </c>
    </row>
    <row r="110">
      <c r="A110" s="10" t="inlineStr">
        <is>
          <t>B.11</t>
        </is>
      </c>
      <c r="B110" s="11">
        <f>"GROUT ΤΣΙΜΕΝΤΕΝΕΜΑ ΑΓΚΥΡΩΣΕΩΝ (με απώλεια " &amp; TEXT(C27,"0.00") &amp; ") = " &amp; TEXT(C109,"#,##0.00") &amp; "m x " &amp; TEXT(C79,"0.0000") &amp; "m³/m"</f>
        <v/>
      </c>
      <c r="C110" s="40">
        <f>ROUND(C109*C79, 2)</f>
        <v/>
      </c>
      <c r="D110" s="13" t="inlineStr">
        <is>
          <t>m³</t>
        </is>
      </c>
      <c r="E110" s="14">
        <f>"=" &amp; TEXT(C109,"#,##0.00") &amp; "m × " &amp; TEXT(C79,"0.000000") &amp; " m³/m = " &amp; TEXT(C110,"#,##0.00") &amp; " m³"</f>
        <v/>
      </c>
      <c r="F110" s="15" t="inlineStr">
        <is>
          <t>Grout πλήρωσης οπών αγκυρώσεων Type B</t>
        </is>
      </c>
    </row>
    <row r="111">
      <c r="A111" s="10" t="inlineStr">
        <is>
          <t>B.12</t>
        </is>
      </c>
      <c r="B111" s="11">
        <f>"ΤΕΝΟΝΤΕΣ 0.6'' (" &amp; C53 &amp; " ΚΑΛΩΔΙΑ) — Σειρά 1 (L=" &amp; C52 &amp; "m) &amp; Σειρά 2 (L=" &amp; C54 &amp; "m) (+" &amp; TEXT(C28,"0.0") &amp; "m)"</f>
        <v/>
      </c>
      <c r="C111" s="40">
        <f>C47*(((C52+C28)*C53)+((C54+C28)*C55))</f>
        <v/>
      </c>
      <c r="D111" s="13" t="inlineStr">
        <is>
          <t>m</t>
        </is>
      </c>
      <c r="E111" s="14">
        <f>"=" &amp; C47 &amp; "No × ((" &amp; C52 &amp; "+" &amp; C28 &amp; ")×" &amp; C53 &amp; " + (" &amp; C54 &amp; "+" &amp; C28 &amp; ")×" &amp; C55 &amp; ") = " &amp; TEXT(C111,"#,##0.00") &amp; " m"</f>
        <v/>
      </c>
      <c r="F111" s="15">
        <f>"=" &amp; (C47*2) &amp; " αγκυρώσεις 2-strands (Σειρές 1 &amp; 2 Τοίχου Β)"</f>
        <v/>
      </c>
    </row>
    <row r="112">
      <c r="A112" s="10" t="inlineStr">
        <is>
          <t>B.13</t>
        </is>
      </c>
      <c r="B112" s="11">
        <f>"ΤΕΝΟΝΤΕΣ 0.6'' (" &amp; C57 &amp; " ΚΑΛΩΔΙΑ) — Σειρά 3 (L=" &amp; C56 &amp; "m) &amp; Σειρά 4 (L=" &amp; C58 &amp; "m) (+" &amp; TEXT(C28,"0.0") &amp; "m)"</f>
        <v/>
      </c>
      <c r="C112" s="40">
        <f>C47*(((C56+C28)*C57)+((C58+C28)*C59))</f>
        <v/>
      </c>
      <c r="D112" s="13" t="inlineStr">
        <is>
          <t>m</t>
        </is>
      </c>
      <c r="E112" s="14">
        <f>"=" &amp; C47 &amp; "No × ((" &amp; C56 &amp; "+" &amp; C28 &amp; ")×" &amp; C57 &amp; " + (" &amp; C58 &amp; "+" &amp; C28 &amp; ")×" &amp; C59 &amp; ") = " &amp; TEXT(C112,"#,##0.00") &amp; " m"</f>
        <v/>
      </c>
      <c r="F112" s="15">
        <f>"=" &amp; (C47*2) &amp; " αγκυρώσεις 3-strands (Σειρές 3 &amp; 4 Τοίχου Β)"</f>
        <v/>
      </c>
    </row>
    <row r="113">
      <c r="A113" s="10" t="inlineStr">
        <is>
          <t>B.14</t>
        </is>
      </c>
      <c r="B113" s="11">
        <f>"ΠΡΟΕΝΤΑΣΗ ΑΓΚΥΡΩΣΕΩΝ (STRESSING &amp; LOCK-OFF) = 4 Σειρές X " &amp; C47 &amp; "No"</f>
        <v/>
      </c>
      <c r="C113" s="41">
        <f>C47*4</f>
        <v/>
      </c>
      <c r="D113" s="13" t="inlineStr">
        <is>
          <t>No</t>
        </is>
      </c>
      <c r="E113" s="14">
        <f>"= 4 σειρές × " &amp; C47 &amp; " πάσσαλοι = " &amp; C113 &amp; " αγκυρώσεις (" &amp; (C47*2) &amp; "×2-strands + " &amp; (C47*2) &amp; "×3-strands)"</f>
        <v/>
      </c>
      <c r="F113" s="15">
        <f>"Τάνυση &amp; Lock-off " &amp; C113 &amp; " αγκυρώσεων Type B"</f>
        <v/>
      </c>
    </row>
    <row r="114">
      <c r="A114" s="21" t="inlineStr">
        <is>
          <t>B.15</t>
        </is>
      </c>
      <c r="B114" s="22">
        <f>"ΚΕΦΑΛΕΣ ΑΓΚΥΡΩΣΗΣ (ANCHOR HEAD, WEDGES, PLATE) = 4 Σειρές X " &amp; C47 &amp; "No"</f>
        <v/>
      </c>
      <c r="C114" s="42">
        <f>C113</f>
        <v/>
      </c>
      <c r="D114" s="24" t="inlineStr">
        <is>
          <t>No</t>
        </is>
      </c>
      <c r="E114" s="25">
        <f>"=" &amp; C114 &amp; " πλήρη σετ κεφαλών αγκύρωσης (Σειρές 1 έως 4)"</f>
        <v/>
      </c>
      <c r="F114" s="26">
        <f>"Κεφαλές, σφήνες &amp; πλάκες " &amp; C114 &amp; " αγκυρώσεων Type B"</f>
        <v/>
      </c>
    </row>
    <row r="115"/>
    <row r="116">
      <c r="A116" s="6" t="inlineStr">
        <is>
          <t>TYPE C</t>
        </is>
      </c>
      <c r="B116" s="7">
        <f>"BERLIN WALL TYPE C: " &amp; C62 &amp; "No Ζεύγη HEB200, L=" &amp; TEXT(C66,"0.00") &amp; "m για βάθος εκσκαφής " &amp; TEXT(C64,"0.00") &amp; "m και " &amp; TEXT(C63,"0.00") &amp; " τρ.μ."</f>
        <v/>
      </c>
      <c r="C116" s="36">
        <f>C63</f>
        <v/>
      </c>
      <c r="D116" s="37" t="inlineStr">
        <is>
          <t>τρ.μ.</t>
        </is>
      </c>
      <c r="E116" s="38">
        <f>"Περίμετρος Type C = " &amp; C62 &amp; " × " &amp; TEXT(C10,"0.00") &amp; "m = " &amp; TEXT(C63,"0.00") &amp; " m"</f>
        <v/>
      </c>
      <c r="F116" s="39" t="inlineStr">
        <is>
          <t>Όλες οι ποσότητες C.1–C.14 μεταφέρονται 1-προς-1 στο Κουτί TYPE C του Φύλλου 2</t>
        </is>
      </c>
    </row>
    <row r="117">
      <c r="A117" s="10" t="inlineStr">
        <is>
          <t>C.1</t>
        </is>
      </c>
      <c r="B117" s="11">
        <f>"ΤΡΥΠΗΜΑ Ø" &amp; (C11*1000) &amp; "mm = " &amp; C62 &amp; "No X " &amp; TEXT(C66,"0.00") &amp; "m"</f>
        <v/>
      </c>
      <c r="C117" s="40">
        <f>C62*C66</f>
        <v/>
      </c>
      <c r="D117" s="13" t="inlineStr">
        <is>
          <t>m</t>
        </is>
      </c>
      <c r="E117" s="14">
        <f>"=" &amp; C62 &amp; " πάσσαλοι × " &amp; TEXT(C66,"0.00") &amp; "m = " &amp; TEXT(C117,"#,##0.00") &amp; " m"</f>
        <v/>
      </c>
      <c r="F117" s="15">
        <f>"Διάτρηση Μεγάλου Τρυπανιού Ø" &amp; (C11*1000) &amp; "mm (Type C)"</f>
        <v/>
      </c>
    </row>
    <row r="118">
      <c r="A118" s="10" t="inlineStr">
        <is>
          <t>C.2</t>
        </is>
      </c>
      <c r="B118" s="11">
        <f>"ΜΠΕΤΟΝ ΠΑΚΤΩΣΗΣ " &amp; C23 &amp; " = " &amp; C62 &amp; "No X " &amp; TEXT(C65,"0.00") &amp; "m X " &amp; TEXT(C77,"0.000") &amp; "m³/m"</f>
        <v/>
      </c>
      <c r="C118" s="40">
        <f>ROUND(C62*C65*C77, 2)</f>
        <v/>
      </c>
      <c r="D118" s="13" t="inlineStr">
        <is>
          <t>m³</t>
        </is>
      </c>
      <c r="E118" s="14">
        <f>"=" &amp; C62 &amp; " × " &amp; TEXT(C65,"0.00") &amp; "m × " &amp; TEXT(C77,"0.0000") &amp; " = " &amp; TEXT(C118,"#,##0.00") &amp; " m³"</f>
        <v/>
      </c>
      <c r="F118" s="15">
        <f>"Κουγκρί πάκτωσης σε ύψος H_embed = " &amp; TEXT(C65,"0.00") &amp; "m (" &amp; (C65*1000) &amp; "mm)"</f>
        <v/>
      </c>
    </row>
    <row r="119">
      <c r="A119" s="10" t="inlineStr">
        <is>
          <t>C.3</t>
        </is>
      </c>
      <c r="B119" s="11">
        <f>"HEB200 - ΠΡΟΜΗΘΕΙΑ, ΕΠΕΞΕΡΓΑΣΙΑ &amp; ΤΟΠΟΘΕΤΗΣΗ (" &amp; C62 &amp; "No x " &amp; C12 &amp; "No x " &amp; TEXT(C66,"0.00") &amp; "m x " &amp; TEXT(C14,"0.0") &amp; "kg/m)"</f>
        <v/>
      </c>
      <c r="C119" s="40">
        <f>ROUND(C62*C12*C66*C14, 2)</f>
        <v/>
      </c>
      <c r="D119" s="13" t="inlineStr">
        <is>
          <t>kg</t>
        </is>
      </c>
      <c r="E119" s="14">
        <f>"=" &amp; C62 &amp; " × " &amp; C12 &amp; " × " &amp; TEXT(C66,"0.00") &amp; "m × " &amp; TEXT(C14,"0.0") &amp; " = " &amp; TEXT(C119,"#,##0.00") &amp; " kg"</f>
        <v/>
      </c>
      <c r="F119" s="15" t="inlineStr">
        <is>
          <t>Ξεχωριστό κουτάκι HEB 200 για Type C (Κανόνας 3.6)</t>
        </is>
      </c>
    </row>
    <row r="120">
      <c r="A120" s="10" t="inlineStr">
        <is>
          <t>C.4</t>
        </is>
      </c>
      <c r="B120" s="11">
        <f>"ΛΑΜΕΣ ΣΥΝΔΕΣΗΣ " &amp; C16 &amp; "x" &amp; C17 &amp; "x" &amp; C18 &amp; "mm = " &amp; C62 &amp; "No x (" &amp; (C66/C15) &amp; "No x " &amp; TEXT(C19,"0.000") &amp; "kg)"</f>
        <v/>
      </c>
      <c r="C120" s="40">
        <f>ROUND(C62*(C66/C15)*C19, 2)</f>
        <v/>
      </c>
      <c r="D120" s="13" t="inlineStr">
        <is>
          <t>kg</t>
        </is>
      </c>
      <c r="E120" s="14">
        <f>"=" &amp; C62 &amp; " × " &amp; (C66/C15) &amp; " λάμες/οπή (" &amp; (C62*(C66/C15)) &amp; " τεμ.) × " &amp; TEXT(C19,"0.000") &amp; " kg"</f>
        <v/>
      </c>
      <c r="F120" s="15">
        <f>"Κανόνας 3.2: L_beam / s_plate = " &amp; TEXT(C66,"0.0") &amp; "m / " &amp; TEXT(C15,"0.0") &amp; "m = " &amp; (C66/C15) &amp; " λάμες/οπή (" &amp; C16 &amp; "x" &amp; C17 &amp; "x" &amp; C18 &amp; "mm)"</f>
        <v/>
      </c>
    </row>
    <row r="121">
      <c r="A121" s="10" t="inlineStr">
        <is>
          <t>C.5</t>
        </is>
      </c>
      <c r="B121" s="11">
        <f>"ΓΩΝΙΕΣ ΣΤΗΡΙΞΗΣ L70x70x6mm = " &amp; C62 &amp; "No x " &amp; TEXT(C64,"0.00") &amp; "m x " &amp; TEXT(C20,"0.00") &amp; "kg/m x 2No"</f>
        <v/>
      </c>
      <c r="C121" s="40">
        <f>ROUND(C62*2*C64*C20, 2)</f>
        <v/>
      </c>
      <c r="D121" s="13" t="inlineStr">
        <is>
          <t>kg</t>
        </is>
      </c>
      <c r="E121" s="14">
        <f>"=" &amp; C62 &amp; " × 2 × " &amp; TEXT(C64,"0.00") &amp; "m (" &amp; TEXT(C62*2*C64,"0.0") &amp; "m) × " &amp; TEXT(C20,"0.00") &amp; " kg/m"</f>
        <v/>
      </c>
      <c r="F121" s="15">
        <f>"2 γωνιές L 70x70x6 ανά πάσσαλο στο ύψος εκσκαφής " &amp; TEXT(C64,"0.00") &amp; "m"</f>
        <v/>
      </c>
    </row>
    <row r="122">
      <c r="A122" s="10" t="inlineStr">
        <is>
          <t>C.6</t>
        </is>
      </c>
      <c r="B122" s="11">
        <f>"ΑΓΟΡΑ ΧΑΛΥΒΑ ΣΧΑΡΑΣ #Y" &amp; C21 &amp; "/" &amp; C22 &amp; " = " &amp; TEXT(C123,"#,##0.00") &amp; "m² x " &amp; TEXT(C78,"0.000") &amp; "kg/m²"</f>
        <v/>
      </c>
      <c r="C122" s="40">
        <f>ROUND(C123*C78, 2)</f>
        <v/>
      </c>
      <c r="D122" s="13" t="inlineStr">
        <is>
          <t>kg</t>
        </is>
      </c>
      <c r="E122" s="14">
        <f>"=" &amp; TEXT(C123,"#,##0.00") &amp; " m² × " &amp; TEXT(C78,"0.000") &amp; " kg/m² = " &amp; TEXT(C122,"#,##0.00") &amp; " kg"</f>
        <v/>
      </c>
      <c r="F122" s="15">
        <f>"Χάλυβας σχάρας #Y" &amp; C21 &amp; "/" &amp; C22 &amp; " μετώπου Type C"</f>
        <v/>
      </c>
    </row>
    <row r="123">
      <c r="A123" s="10" t="inlineStr">
        <is>
          <t>C.7</t>
        </is>
      </c>
      <c r="B123" s="11">
        <f>"ΤΟΠΟΘΕΤΗΣΗ ΣΧΑΡΑΣ ΜΕΤΩΠΟΥ = " &amp; TEXT(C63,"0.00") &amp; "m X " &amp; TEXT(C64,"0.00") &amp; "m"</f>
        <v/>
      </c>
      <c r="C123" s="40">
        <f>ROUND(C63*C64, 2)</f>
        <v/>
      </c>
      <c r="D123" s="13" t="inlineStr">
        <is>
          <t>m²</t>
        </is>
      </c>
      <c r="E123" s="14">
        <f>"=" &amp; TEXT(C63,"0.00") &amp; "m × " &amp; TEXT(C64,"0.00") &amp; "m = " &amp; TEXT(C123,"#,##0.00") &amp; " m²"</f>
        <v/>
      </c>
      <c r="F123" s="15" t="inlineStr">
        <is>
          <t>Εμβαδόν μετώπου εκσκαφής Type C</t>
        </is>
      </c>
    </row>
    <row r="124">
      <c r="A124" s="10" t="inlineStr">
        <is>
          <t>C.8</t>
        </is>
      </c>
      <c r="B124" s="11">
        <f>"ΑΓΟΡΑ ΣΚΥΡΟΔΕΜΑΤΟΣ SHOTCRETE " &amp; C23 &amp; " = " &amp; TEXT(C123,"#,##0.00") &amp; "m² x " &amp; TEXT(C24,"0.00") &amp; "m"</f>
        <v/>
      </c>
      <c r="C124" s="40">
        <f>ROUND(C123*C24, 2)</f>
        <v/>
      </c>
      <c r="D124" s="13" t="inlineStr">
        <is>
          <t>m³</t>
        </is>
      </c>
      <c r="E124" s="14">
        <f>"=" &amp; TEXT(C123,"#,##0.00") &amp; " m² × " &amp; TEXT(C24,"0.00") &amp; "m = " &amp; TEXT(C124,"#,##0.00") &amp; " m³"</f>
        <v/>
      </c>
      <c r="F124" s="15">
        <f>"Ονομαστικός όγκος Shotcrete (πάχος " &amp; (C24*100) &amp; "cm)"</f>
        <v/>
      </c>
    </row>
    <row r="125">
      <c r="A125" s="10" t="inlineStr">
        <is>
          <t>C.9</t>
        </is>
      </c>
      <c r="B125" s="11">
        <f>"ΤΟΠΟΘΕΤΗΣΗ / ΕΚΤΟΞΕΥΣΗ SHOTCRETE = " &amp; TEXT(C123,"#,##0.00") &amp; "m² x " &amp; TEXT(C24,"0.00") &amp; "m (με απώλεια +" &amp; TEXT(C80,"0.0%") &amp; ")"</f>
        <v/>
      </c>
      <c r="C125" s="40">
        <f>C124</f>
        <v/>
      </c>
      <c r="D125" s="13" t="inlineStr">
        <is>
          <t>m³</t>
        </is>
      </c>
      <c r="E125" s="14">
        <f>"Ονομαστικός όγκος " &amp; TEXT(C124,"#,##0.00") &amp; " m³ (η απώλεια +" &amp; (C25*100) &amp; "cm ενσωματώνεται στην τιμή μονάδας)"</f>
        <v/>
      </c>
      <c r="F125" s="15" t="inlineStr">
        <is>
          <t>Εφαρμογή εκτοξευόμενου σκυροδέματος Type C</t>
        </is>
      </c>
    </row>
    <row r="126">
      <c r="A126" s="10" t="inlineStr">
        <is>
          <t>C.10</t>
        </is>
      </c>
      <c r="B126" s="11">
        <f>"ΔΙΑΤΡΗΣΗ ΑΓΚΥΡΩΣΕΩΝ Ø" &amp; (C26*1000) &amp; "mm (3 Σειρές: L1=" &amp; C67 &amp; "m, L2=" &amp; C69 &amp; "m, L3=" &amp; C71 &amp; "m)"</f>
        <v/>
      </c>
      <c r="C126" s="40">
        <f>C62*(C67+C69+C71)</f>
        <v/>
      </c>
      <c r="D126" s="13" t="inlineStr">
        <is>
          <t>m</t>
        </is>
      </c>
      <c r="E126" s="14">
        <f>"=" &amp; C62 &amp; "No × (" &amp; C67 &amp; "+" &amp; C69 &amp; "+" &amp; C71 &amp; "m) = " &amp; TEXT(C126,"#,##0.00") &amp; " m"</f>
        <v/>
      </c>
      <c r="F126" s="15">
        <f>"Συνολικά μέτρα διάτρησης " &amp; C129 &amp; " αγκυρώσεων Type C"</f>
        <v/>
      </c>
    </row>
    <row r="127">
      <c r="A127" s="10" t="inlineStr">
        <is>
          <t>C.11</t>
        </is>
      </c>
      <c r="B127" s="11">
        <f>"GROUT ΤΣΙΜΕΝΤΕΝΕΜΑ ΑΓΚΥΡΩΣΕΩΝ (με απώλεια " &amp; TEXT(C27,"0.00") &amp; ") = " &amp; TEXT(C126,"#,##0.00") &amp; "m x " &amp; TEXT(C79,"0.0000") &amp; "m³/m"</f>
        <v/>
      </c>
      <c r="C127" s="40">
        <f>ROUND(C126*C79, 2)</f>
        <v/>
      </c>
      <c r="D127" s="13" t="inlineStr">
        <is>
          <t>m³</t>
        </is>
      </c>
      <c r="E127" s="14">
        <f>"=" &amp; TEXT(C126,"#,##0.00") &amp; "m × " &amp; TEXT(C79,"0.000000") &amp; " m³/m = " &amp; TEXT(C127,"#,##0.00") &amp; " m³"</f>
        <v/>
      </c>
      <c r="F127" s="15" t="inlineStr">
        <is>
          <t>Grout πλήρωσης οπών αγκυρώσεων Type C</t>
        </is>
      </c>
    </row>
    <row r="128">
      <c r="A128" s="10" t="inlineStr">
        <is>
          <t>C.12</t>
        </is>
      </c>
      <c r="B128" s="11">
        <f>"ΤΕΝΟΝΤΕΣ 0.6'' (" &amp; C68 &amp; " ΚΑΛΩΔΙΑ) — Σειρές 1, 2 &amp; 3 (L1=" &amp; C67 &amp; "m, L2=" &amp; C69 &amp; "m, L3=" &amp; C71 &amp; "m) (+" &amp; TEXT(C28,"0.0") &amp; "m)"</f>
        <v/>
      </c>
      <c r="C128" s="40">
        <f>C62*(((C67+C28)*C68)+((C69+C28)*C70)+((C71+C28)*C72))</f>
        <v/>
      </c>
      <c r="D128" s="13" t="inlineStr">
        <is>
          <t>m</t>
        </is>
      </c>
      <c r="E128" s="14">
        <f>"=" &amp; C62 &amp; "No × ((" &amp; C67 &amp; "+" &amp; C28 &amp; ")×" &amp; C68 &amp; " + (" &amp; C69 &amp; "+" &amp; C28 &amp; ")×" &amp; C70 &amp; " + (" &amp; C71 &amp; "+" &amp; C28 &amp; ")×" &amp; C72 &amp; ") = " &amp; TEXT(C128,"#,##0.00") &amp; " m"</f>
        <v/>
      </c>
      <c r="F128" s="15">
        <f>"=" &amp; C129 &amp; " αγκυρώσεις 3-strands (Σειρές 1, 2 &amp; 3 Τοίχου Γ)"</f>
        <v/>
      </c>
    </row>
    <row r="129">
      <c r="A129" s="10" t="inlineStr">
        <is>
          <t>C.13</t>
        </is>
      </c>
      <c r="B129" s="11">
        <f>"ΠΡΟΕΝΤΑΣΗ ΑΓΚΥΡΩΣΕΩΝ (STRESSING &amp; LOCK-OFF) = 3 Σειρές X " &amp; C62 &amp; "No"</f>
        <v/>
      </c>
      <c r="C129" s="41">
        <f>C62*3</f>
        <v/>
      </c>
      <c r="D129" s="13" t="inlineStr">
        <is>
          <t>No</t>
        </is>
      </c>
      <c r="E129" s="14">
        <f>"= 3 σειρές × " &amp; C62 &amp; " πάσσαλοι = " &amp; C129 &amp; " αγκυρώσεις (όλες 3-strands)"</f>
        <v/>
      </c>
      <c r="F129" s="15">
        <f>"Τάνυση &amp; Lock-off " &amp; C129 &amp; " αγκυρώσεων Type C"</f>
        <v/>
      </c>
    </row>
    <row r="130">
      <c r="A130" s="21" t="inlineStr">
        <is>
          <t>C.14</t>
        </is>
      </c>
      <c r="B130" s="22">
        <f>"ΚΕΦΑΛΕΣ ΑΓΚΥΡΩΣΗΣ (ANCHOR HEAD, WEDGES, PLATE) = 3 Σειρές X " &amp; C62 &amp; "No"</f>
        <v/>
      </c>
      <c r="C130" s="42">
        <f>C129</f>
        <v/>
      </c>
      <c r="D130" s="24" t="inlineStr">
        <is>
          <t>No</t>
        </is>
      </c>
      <c r="E130" s="25">
        <f>"=" &amp; C130 &amp; " πλήρη σετ κεφαλών αγκύρωσης (Σειρές 1 έως 3)"</f>
        <v/>
      </c>
      <c r="F130" s="26">
        <f>"Κεφαλές, σφήνες &amp; πλάκες " &amp; C130 &amp; " αγκυρώσεων Type C"</f>
        <v/>
      </c>
    </row>
    <row r="131"/>
    <row r="132">
      <c r="A132" s="43" t="inlineStr">
        <is>
          <t>ΣΥΝΟΛΑ</t>
        </is>
      </c>
      <c r="B132" s="44" t="inlineStr">
        <is>
          <t>ΚΟΥΤΙ Β.4 — ΣΤΡΑΤΕΣ ΜΕΤΑΚΙΝΗΣΗΣ &amp; ΣΥΓΚΕΝΤΡΩΤΙΚΕΣ ΠΟΣΟΤΗΤΩΝ ΕΡΓΟΥ (TYPE A + TYPE B + TYPE C)</t>
        </is>
      </c>
      <c r="C132" s="45" t="n"/>
      <c r="D132" s="45" t="n"/>
      <c r="E132" s="45" t="n"/>
      <c r="F132" s="46" t="n"/>
    </row>
    <row r="133">
      <c r="A133" s="10" t="inlineStr">
        <is>
          <t>M.1</t>
        </is>
      </c>
      <c r="B133" s="11" t="inlineStr">
        <is>
          <t>Στράτες Μεγάλου Τρυπανιού (Piling Rig)</t>
        </is>
      </c>
      <c r="C133" s="47" t="n">
        <v>1</v>
      </c>
      <c r="D133" s="13" t="inlineStr">
        <is>
          <t>στράτες</t>
        </is>
      </c>
      <c r="E133" s="14">
        <f>"1 στράτα (πάγια μετακίνηση έναρξης)"</f>
        <v/>
      </c>
      <c r="F133" s="15">
        <f>"Ζώνη Λεμεσού (" &amp; C8 &amp; " km)"</f>
        <v/>
      </c>
    </row>
    <row r="134">
      <c r="A134" s="10" t="inlineStr">
        <is>
          <t>M.2</t>
        </is>
      </c>
      <c r="B134" s="11" t="inlineStr">
        <is>
          <t>Στράτες Εξοπλισμού Αγκυρώσεων (όσες οι μέγιστες σειρές)</t>
        </is>
      </c>
      <c r="C134" s="47">
        <f>C9</f>
        <v/>
      </c>
      <c r="D134" s="13" t="inlineStr">
        <is>
          <t>στράτες</t>
        </is>
      </c>
      <c r="E134" s="14">
        <f>"=" &amp; C9 &amp; " στράτες (" &amp; C9 &amp; " στάθμες αγκυρώσεων)"</f>
        <v/>
      </c>
      <c r="F134" s="15">
        <f>"Ζώνη Λεμεσού (" &amp; C8 &amp; " km)"</f>
        <v/>
      </c>
    </row>
    <row r="135">
      <c r="A135" s="10" t="inlineStr">
        <is>
          <t>M.3</t>
        </is>
      </c>
      <c r="B135" s="11" t="inlineStr">
        <is>
          <t>Στράτες Συνεργείου &amp; Αντλίας Shotcrete (σειρές + 1)</t>
        </is>
      </c>
      <c r="C135" s="47">
        <f>C9+1</f>
        <v/>
      </c>
      <c r="D135" s="13" t="inlineStr">
        <is>
          <t>στράτες</t>
        </is>
      </c>
      <c r="E135" s="14">
        <f>"=" &amp; C9 &amp; " + 1 = " &amp; (C9+1) &amp; " στράτες"</f>
        <v/>
      </c>
      <c r="F135" s="15">
        <f>"Ζώνη Λεμεσού (" &amp; C8 &amp; " km)"</f>
        <v/>
      </c>
    </row>
    <row r="136">
      <c r="A136" s="10" t="inlineStr">
        <is>
          <t>ΣΥΝ.1</t>
        </is>
      </c>
      <c r="B136" s="19" t="inlineStr">
        <is>
          <t>ΣΥΝΟΛΙΚΟ ΠΛΗΘΟΣ ΠΑΣΣΑΛΩΝ / ΟΠΩΝ ΕΡΓΟΥ (Type A + B + C)</t>
        </is>
      </c>
      <c r="C136" s="48">
        <f>C32+C47+C62</f>
        <v/>
      </c>
      <c r="D136" s="13" t="inlineStr">
        <is>
          <t>No</t>
        </is>
      </c>
      <c r="E136" s="14">
        <f>"Type A (" &amp; C32 &amp; ") + Type B (" &amp; C47 &amp; ") + Type C (" &amp; C62 &amp; ") = " &amp; C136 &amp; " No"</f>
        <v/>
      </c>
      <c r="F136" s="15">
        <f>"=" &amp; C136 &amp; " πάσσαλοι συνολικά"</f>
        <v/>
      </c>
    </row>
    <row r="137">
      <c r="A137" s="10" t="inlineStr">
        <is>
          <t>ΣΥΝ.2</t>
        </is>
      </c>
      <c r="B137" s="19" t="inlineStr">
        <is>
          <t>ΣΥΝΟΛΙΚΟ ΜΗΚΟΣ ΠΕΡΙΜΕΤΡΟΥ ΕΡΓΟΥ (Type A + B + C)</t>
        </is>
      </c>
      <c r="C137" s="49">
        <f>C33+C48+C63</f>
        <v/>
      </c>
      <c r="D137" s="13" t="inlineStr">
        <is>
          <t>τρ.μ.</t>
        </is>
      </c>
      <c r="E137" s="14">
        <f>"Type A (" &amp; TEXT(C33,"0.00") &amp; "m) + Type B (" &amp; TEXT(C48,"0.00") &amp; "m) + Type C (" &amp; TEXT(C63,"0.00") &amp; "m)"</f>
        <v/>
      </c>
      <c r="F137" s="15">
        <f>"=" &amp; TEXT(C137,"#,##0.00") &amp; " τρ.μ. συνολική περίμετρος"</f>
        <v/>
      </c>
    </row>
    <row r="138">
      <c r="A138" s="10" t="inlineStr">
        <is>
          <t>ΣΥΝ.3</t>
        </is>
      </c>
      <c r="B138" s="19" t="inlineStr">
        <is>
          <t>ΣΥΝΟΛΙΚΟ ΕΜΒΑΔΟΝ ΜΕΤΩΠΟΥ ΕΚΣΚΑΦΗΣ (Type A + B + C)</t>
        </is>
      </c>
      <c r="C138" s="49">
        <f>C89+C106+C123</f>
        <v/>
      </c>
      <c r="D138" s="13" t="inlineStr">
        <is>
          <t>m²</t>
        </is>
      </c>
      <c r="E138" s="14">
        <f>"Type A (" &amp; TEXT(C89,"0.00") &amp; ") + Type B (" &amp; TEXT(C106,"0.00") &amp; ") + Type C (" &amp; TEXT(C123,"0.00") &amp; ")"</f>
        <v/>
      </c>
      <c r="F138" s="15">
        <f>"=" &amp; TEXT(C138,"#,##0.00") &amp; " m² συνολικό μέτωπο"</f>
        <v/>
      </c>
    </row>
    <row r="139">
      <c r="A139" s="10" t="inlineStr">
        <is>
          <t>ΣΥΝ.4</t>
        </is>
      </c>
      <c r="B139" s="19">
        <f>"ΣΥΝΟΛΙΚΑ ΜΕΤΡΑ ΔΙΑΤΡΗΣΗΣ ΜΕΓΑΛΟΥ ΤΡΥΠΑΝΙΟΥ Ø" &amp; (C11*1000) &amp; "mm"</f>
        <v/>
      </c>
      <c r="C139" s="49">
        <f>C83+C100+C117</f>
        <v/>
      </c>
      <c r="D139" s="13" t="inlineStr">
        <is>
          <t>m</t>
        </is>
      </c>
      <c r="E139" s="14">
        <f>"Type A (" &amp; C83 &amp; "m) + Type B (" &amp; C100 &amp; "m) + Type C (" &amp; C117 &amp; "m)"</f>
        <v/>
      </c>
      <c r="F139" s="15">
        <f>"=" &amp; TEXT(C139,"#,##0.00") &amp; " m διάτρηση πασσάλων"</f>
        <v/>
      </c>
    </row>
    <row r="140">
      <c r="A140" s="10" t="inlineStr">
        <is>
          <t>ΣΥΝ.5</t>
        </is>
      </c>
      <c r="B140" s="19">
        <f>"ΣΥΝΟΛΙΚΟΣ ΟΓΚΟΣ ΜΠΕΤΟΝ ΠΑΚΤΩΣΗΣ " &amp; C23 &amp; " (Ø" &amp; (C11*1000) &amp; "mm)"</f>
        <v/>
      </c>
      <c r="C140" s="49">
        <f>C84+C101+C118</f>
        <v/>
      </c>
      <c r="D140" s="13" t="inlineStr">
        <is>
          <t>m³</t>
        </is>
      </c>
      <c r="E140" s="14">
        <f>"Type A (" &amp; TEXT(C84,"0.00") &amp; ") + Type B (" &amp; TEXT(C101,"0.00") &amp; ") + Type C (" &amp; TEXT(C118,"0.00") &amp; ")"</f>
        <v/>
      </c>
      <c r="F140" s="15">
        <f>"=" &amp; TEXT(C140,"#,##0.00") &amp; " m³ κουγκρί πάκτωσης"</f>
        <v/>
      </c>
    </row>
    <row r="141">
      <c r="A141" s="10" t="inlineStr">
        <is>
          <t>ΣΥΝ.6</t>
        </is>
      </c>
      <c r="B141" s="19" t="inlineStr">
        <is>
          <t>ΣΥΝΟΛΙΚΟ ΒΑΡΟΣ ΝΕΦΚΩΝ HEB 220 (Type A)</t>
        </is>
      </c>
      <c r="C141" s="49">
        <f>C85</f>
        <v/>
      </c>
      <c r="D141" s="13" t="inlineStr">
        <is>
          <t>kg</t>
        </is>
      </c>
      <c r="E141" s="14">
        <f>"Type A (" &amp; C32 &amp; "No × " &amp; C12 &amp; " × " &amp; TEXT(C36,"0.0") &amp; "m × " &amp; TEXT(C13,"0.0") &amp; " kg/m) = " &amp; TEXT(C141,"#,##0.00") &amp; " kg"</f>
        <v/>
      </c>
      <c r="F141" s="15">
        <f>"=" &amp; TEXT(C141,"#,##0.00") &amp; " kg HEB 220"</f>
        <v/>
      </c>
    </row>
    <row r="142">
      <c r="A142" s="10" t="inlineStr">
        <is>
          <t>ΣΥΝ.7</t>
        </is>
      </c>
      <c r="B142" s="19" t="inlineStr">
        <is>
          <t>ΣΥΝΟΛΙΚΟ ΒΑΡΟΣ ΝΕΦΚΩΝ HEB 200 (Type B + Type C)</t>
        </is>
      </c>
      <c r="C142" s="49">
        <f>C102+C119</f>
        <v/>
      </c>
      <c r="D142" s="13" t="inlineStr">
        <is>
          <t>kg</t>
        </is>
      </c>
      <c r="E142" s="14">
        <f>"Type B (" &amp; TEXT(C102,"#,##0.00") &amp; " kg) + Type C (" &amp; TEXT(C119,"#,##0.00") &amp; " kg)"</f>
        <v/>
      </c>
      <c r="F142" s="15">
        <f>"=" &amp; TEXT(C142,"#,##0.00") &amp; " kg HEB 200"</f>
        <v/>
      </c>
    </row>
    <row r="143">
      <c r="A143" s="10" t="inlineStr">
        <is>
          <t>ΣΥΝ.8</t>
        </is>
      </c>
      <c r="B143" s="19">
        <f>"ΣΥΝΟΛΙΚΟ ΒΑΡΟΣ ΛΑΜΩΝ ΣΥΝΔΕΣΗΣ " &amp; C16 &amp; "x" &amp; C17 &amp; "x" &amp; C18 &amp; "mm"</f>
        <v/>
      </c>
      <c r="C143" s="49">
        <f>C86+C103+C120</f>
        <v/>
      </c>
      <c r="D143" s="13" t="inlineStr">
        <is>
          <t>kg</t>
        </is>
      </c>
      <c r="E143" s="14">
        <f>"Type A (" &amp; TEXT(C86,"0.00") &amp; ") + Type B (" &amp; TEXT(C103,"0.00") &amp; ") + Type C (" &amp; TEXT(C120,"0.00") &amp; ")"</f>
        <v/>
      </c>
      <c r="F143" s="15">
        <f>"=" &amp; (C32*(C36/C15)+C47*(C51/C15)+C62*(C66/C15)) &amp; " λάμες = " &amp; TEXT(C143,"#,##0.00") &amp; " kg"</f>
        <v/>
      </c>
    </row>
    <row r="144">
      <c r="A144" s="10" t="inlineStr">
        <is>
          <t>ΣΥΝ.9</t>
        </is>
      </c>
      <c r="B144" s="19" t="inlineStr">
        <is>
          <t>ΣΥΝΟΛΙΚΟ ΒΑΡΟΣ ΓΩΝΙΩΝ ΣΤΗΡΙΞΗΣ L 70x70x6mm</t>
        </is>
      </c>
      <c r="C144" s="49">
        <f>C87+C104+C121</f>
        <v/>
      </c>
      <c r="D144" s="13" t="inlineStr">
        <is>
          <t>kg</t>
        </is>
      </c>
      <c r="E144" s="14">
        <f>"Type A (" &amp; TEXT(C87,"0.00") &amp; ") + Type B (" &amp; TEXT(C104,"0.00") &amp; ") + Type C (" &amp; TEXT(C121,"0.00") &amp; ")"</f>
        <v/>
      </c>
      <c r="F144" s="15">
        <f>"=" &amp; TEXT(C32*2*C34+C47*2*C49+C62*2*C64,"#,##0.00") &amp; " m = " &amp; TEXT(C144,"#,##0.00") &amp; " kg"</f>
        <v/>
      </c>
    </row>
    <row r="145">
      <c r="A145" s="10" t="inlineStr">
        <is>
          <t>ΣΥΝ.10</t>
        </is>
      </c>
      <c r="B145" s="19">
        <f>"ΣΥΝΟΛΙΚΟ ΒΑΡΟΣ ΧΑΛΥΒΑ ΣΧΑΡΑΣ #Y" &amp; C21 &amp; "/" &amp; C22</f>
        <v/>
      </c>
      <c r="C145" s="49">
        <f>C88+C105+C122</f>
        <v/>
      </c>
      <c r="D145" s="13" t="inlineStr">
        <is>
          <t>kg</t>
        </is>
      </c>
      <c r="E145" s="14">
        <f>"Type A (" &amp; TEXT(C88,"0.00") &amp; ") + Type B (" &amp; TEXT(C105,"0.00") &amp; ") + Type C (" &amp; TEXT(C122,"0.00") &amp; ")"</f>
        <v/>
      </c>
      <c r="F145" s="15">
        <f>"=" &amp; TEXT(C145,"#,##0.00") &amp; " kg χάλυβα σχάρας"</f>
        <v/>
      </c>
    </row>
    <row r="146">
      <c r="A146" s="10" t="inlineStr">
        <is>
          <t>ΣΥΝ.11</t>
        </is>
      </c>
      <c r="B146" s="19">
        <f>"ΣΥΝΟΛΙΚΟΣ ΟΝΟΜΑΣΤΙΚΟΣ ΟΓΚΟΣ SHOTCRETE " &amp; C23 &amp; " (" &amp; (C24*100) &amp; "cm)"</f>
        <v/>
      </c>
      <c r="C146" s="49">
        <f>C90+C107+C124</f>
        <v/>
      </c>
      <c r="D146" s="13" t="inlineStr">
        <is>
          <t>m³</t>
        </is>
      </c>
      <c r="E146" s="14">
        <f>"Type A (" &amp; TEXT(C90,"0.00") &amp; ") + Type B (" &amp; TEXT(C107,"0.00") &amp; ") + Type C (" &amp; TEXT(C124,"0.00") &amp; ")"</f>
        <v/>
      </c>
      <c r="F146" s="15">
        <f>"=" &amp; TEXT(C146,"#,##0.00") &amp; " m³ ονομαστικό shotcrete"</f>
        <v/>
      </c>
    </row>
    <row r="147">
      <c r="A147" s="10" t="inlineStr">
        <is>
          <t>ΣΥΝ.12</t>
        </is>
      </c>
      <c r="B147" s="19">
        <f>"ΣΥΝΟΛΙΚΟ ΠΛΗΘΟΣ ΑΓΚΥΡΩΣΕΩΝ ΕΡΓΟΥ (" &amp; (C32*2+C47*2) &amp; "×2-strands + " &amp; (C32*2+C47*2+C62*3) &amp; "×3-strands)"</f>
        <v/>
      </c>
      <c r="C147" s="48">
        <f>C96+C113+C129</f>
        <v/>
      </c>
      <c r="D147" s="13" t="inlineStr">
        <is>
          <t>No</t>
        </is>
      </c>
      <c r="E147" s="14">
        <f>"Type A (" &amp; C96 &amp; ") + Type B (" &amp; C113 &amp; ") + Type C (" &amp; C129 &amp; ") = " &amp; C147 &amp; " No"</f>
        <v/>
      </c>
      <c r="F147" s="15">
        <f>"=" &amp; C147 &amp; " αγκυρώσεις συνολικά"</f>
        <v/>
      </c>
    </row>
    <row r="148">
      <c r="A148" s="10" t="inlineStr">
        <is>
          <t>ΣΥΝ.13</t>
        </is>
      </c>
      <c r="B148" s="19">
        <f>"ΣΥΝΟΛΙΚΑ ΜΕΤΡΑ ΔΙΑΤΡΗΣΗΣ ΑΓΚΥΡΩΣΕΩΝ Ø" &amp; (C26*1000) &amp; "mm"</f>
        <v/>
      </c>
      <c r="C148" s="49">
        <f>C92+C109+C126</f>
        <v/>
      </c>
      <c r="D148" s="13" t="inlineStr">
        <is>
          <t>m</t>
        </is>
      </c>
      <c r="E148" s="14">
        <f>"Type A (" &amp; C92 &amp; "m) + Type B (" &amp; C109 &amp; "m) + Type C (" &amp; C126 &amp; "m)"</f>
        <v/>
      </c>
      <c r="F148" s="15">
        <f>"=" &amp; TEXT(C148,"#,##0.00") &amp; " m διάτρηση αγκυρίων"</f>
        <v/>
      </c>
    </row>
    <row r="149">
      <c r="A149" s="10" t="inlineStr">
        <is>
          <t>ΣΥΝ.14</t>
        </is>
      </c>
      <c r="B149" s="19">
        <f>"ΣΥΝΟΛΙΚΟΣ ΟΓΚΟΣ GROUT ΑΓΚΥΡΩΣΕΩΝ (με απώλεια " &amp; TEXT(C27,"0.00") &amp; ")"</f>
        <v/>
      </c>
      <c r="C149" s="49">
        <f>C93+C110+C127</f>
        <v/>
      </c>
      <c r="D149" s="13" t="inlineStr">
        <is>
          <t>m³</t>
        </is>
      </c>
      <c r="E149" s="14">
        <f>"Type A (" &amp; TEXT(C93,"0.00") &amp; ") + Type B (" &amp; TEXT(C110,"0.00") &amp; ") + Type C (" &amp; TEXT(C127,"0.00") &amp; ")"</f>
        <v/>
      </c>
      <c r="F149" s="15">
        <f>"=" &amp; TEXT(C149,"#,##0.00") &amp; " m³ grout αγκυρώσεων"</f>
        <v/>
      </c>
    </row>
    <row r="150">
      <c r="A150" s="21" t="inlineStr">
        <is>
          <t>ΣΥΝ.15</t>
        </is>
      </c>
      <c r="B150" s="50">
        <f>"ΣΥΝΟΛΙΚΟ ΜΗΚΟΣ ΤΕΝΟΝΤΩΝ ΠΡΟΕΝΤΑΣΗΣ 0.6'' (με +" &amp; TEXT(C28,"0.0") &amp; "m)"</f>
        <v/>
      </c>
      <c r="C150" s="51">
        <f>C94+C95+C111+C112+C128</f>
        <v/>
      </c>
      <c r="D150" s="24" t="inlineStr">
        <is>
          <t>m</t>
        </is>
      </c>
      <c r="E150" s="25">
        <f>"Type A (" &amp; (C94+C95) &amp; "m) + Type B (" &amp; (C111+C112) &amp; "m) + Type C (" &amp; C128 &amp; "m)"</f>
        <v/>
      </c>
      <c r="F150" s="26">
        <f>"=" &amp; TEXT(C150,"#,##0.00") &amp; " m (" &amp; TEXT(C150*C29,"#,##0.00") &amp; " kg)"</f>
        <v/>
      </c>
    </row>
  </sheetData>
  <mergeCells count="8">
    <mergeCell ref="B6:F6"/>
    <mergeCell ref="B76:F76"/>
    <mergeCell ref="B31:F31"/>
    <mergeCell ref="B61:F61"/>
    <mergeCell ref="B46:F46"/>
    <mergeCell ref="A4:F4"/>
    <mergeCell ref="A74:F74"/>
    <mergeCell ref="B132:F1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5" customWidth="1" min="3" max="3"/>
    <col width="11" customWidth="1" min="4" max="4"/>
    <col width="16" customWidth="1" min="5" max="5"/>
    <col width="18" customWidth="1" min="6" max="6"/>
    <col width="20" customWidth="1" min="7" max="7"/>
    <col width="56" customWidth="1" min="8" max="8"/>
  </cols>
  <sheetData>
    <row r="1">
      <c r="A1" s="1" t="inlineStr">
        <is>
          <t>ΕΡΓΟ: BOLTON TOWER (BERLIN WALL &amp; ΑΓΚΥΡΩΣΕΙΣ) — ΟΙΚΟΝΟΜΙΚΗ ΠΡΟΣΦΟΡΑ ΑΝΑ ΤΥΠΟ ΤΟΙΧΟΥ (TYPE A, TYPE B, TYPE C)</t>
        </is>
      </c>
    </row>
    <row r="2">
      <c r="A2" s="2" t="inlineStr">
        <is>
          <t>ΔΟΜΗ ΠΙΝΑΚΩΝ ΑΝΑ ΤΥΠΟ BERLIN WALL (BOX LAYOUT) | [ΚΙΤΡΙΝΟ #FFF2CC] = Τιμές Μονάδας Εταιρείας | [ΠΟΡΤΟΚΑΛΙ #FFE699] = Κουγκρί Πάκτωσης 120€</t>
        </is>
      </c>
    </row>
    <row r="3"/>
    <row r="4">
      <c r="A4" s="52" t="inlineStr">
        <is>
          <t>α/α</t>
        </is>
      </c>
      <c r="B4" s="53" t="inlineStr">
        <is>
          <t>ΠΕΡΙΓΡΑΦΗ ΕΡΓΑΣΙΩΝ</t>
        </is>
      </c>
      <c r="C4" s="52" t="inlineStr">
        <is>
          <t>ΠΟΣΟΤΗΤΑ</t>
        </is>
      </c>
      <c r="D4" s="52" t="inlineStr">
        <is>
          <t>ΜΟΝ.</t>
        </is>
      </c>
      <c r="E4" s="52" t="inlineStr">
        <is>
          <t>ΤΙΜΗ (€)</t>
        </is>
      </c>
      <c r="F4" s="52" t="inlineStr">
        <is>
          <t>ΣΥΝΟΛΟ (€)</t>
        </is>
      </c>
      <c r="G4" s="52" t="inlineStr">
        <is>
          <t>ΤΕΛΙΚΟ ΠΟΣΟ (€)</t>
        </is>
      </c>
      <c r="H4" s="53" t="inlineStr">
        <is>
          <t>ΠΗΓΗ ΠΟΣΟΤΗΤΑΣ / ΤΕΧΝΙΚΟΣ ΚΑΝΟΝΑΣ &amp; ΣΗΜΕΙΩΣΕΙΣ</t>
        </is>
      </c>
    </row>
    <row r="5">
      <c r="A5" s="54" t="inlineStr">
        <is>
          <t>TYPE A</t>
        </is>
      </c>
      <c r="B5" s="55">
        <f>"BERLIN WALL TYPE A: " &amp; '1_Στοιχεία_Μελέτης_&amp;_Ποσότητες'!C32 &amp; "No Ζεύγη HEB220, L=" &amp; TEXT('1_Στοιχεία_Μελέτης_&amp;_Ποσότητες'!C36,"0.00") &amp; "m για βάθος εκσκαφής " &amp; TEXT('1_Στοιχεία_Μελέτης_&amp;_Ποσότητες'!C34,"0.00") &amp; "m και " &amp; TEXT('1_Στοιχεία_Μελέτης_&amp;_Ποσότητες'!C33,"0.00") &amp; " τρ.μ."</f>
        <v/>
      </c>
      <c r="C5" s="56">
        <f>'1_Στοιχεία_Μελέτης_&amp;_Ποσότητες'!C33</f>
        <v/>
      </c>
      <c r="D5" s="54" t="inlineStr">
        <is>
          <t>τρ.μ.</t>
        </is>
      </c>
      <c r="E5" s="56">
        <f>ROUND(F5/C5, 2)</f>
        <v/>
      </c>
      <c r="F5" s="56">
        <f>SUM(F6:F20)</f>
        <v/>
      </c>
      <c r="G5" s="54" t="inlineStr">
        <is>
          <t>ΤΕΛ. ΣΥΝΟΛΑ</t>
        </is>
      </c>
      <c r="H5" s="57">
        <f>"Σύνολο Τοίχου Α (Πυλώνες 2, 3 &amp; 4 — HEB 220, " &amp; '1_Στοιχεία_Μελέτης_&amp;_Ποσότητες'!C32 &amp; " πάσσαλοι, " &amp; '1_Στοιχεία_Μελέτης_&amp;_Ποσότητες'!C96 &amp; " αγκυρώσεις)"</f>
        <v/>
      </c>
    </row>
    <row r="6">
      <c r="A6" s="58" t="inlineStr">
        <is>
          <t>A.1</t>
        </is>
      </c>
      <c r="B6" s="59">
        <f>'1_Στοιχεία_Μελέτης_&amp;_Ποσότητες'!B83</f>
        <v/>
      </c>
      <c r="C6" s="60">
        <f>'1_Στοιχεία_Μελέτης_&amp;_Ποσότητες'!C83</f>
        <v/>
      </c>
      <c r="D6" s="13">
        <f>'1_Στοιχεία_Μελέτης_&amp;_Ποσότητες'!D83</f>
        <v/>
      </c>
      <c r="E6" s="61" t="n">
        <v>75</v>
      </c>
      <c r="F6" s="40">
        <f>ROUND(C6*E6, 2)</f>
        <v/>
      </c>
      <c r="G6" s="62">
        <f>F5</f>
        <v/>
      </c>
      <c r="H6" s="63">
        <f>"Φύλλο 1 (A.1): " &amp; '1_Στοιχεία_Μελέτης_&amp;_Ποσότητες'!C32 &amp; " πάσσαλοι × " &amp; TEXT('1_Στοιχεία_Μελέτης_&amp;_Ποσότητες'!C36,"0.00") &amp; "m @ 75.00 €/m (Ø" &amp; ('1_Στοιχεία_Μελέτης_&amp;_Ποσότητες'!C11*1000) &amp; "mm)"</f>
        <v/>
      </c>
    </row>
    <row r="7">
      <c r="A7" s="58" t="inlineStr">
        <is>
          <t>A.2</t>
        </is>
      </c>
      <c r="B7" s="59">
        <f>'1_Στοιχεία_Μελέτης_&amp;_Ποσότητες'!B84</f>
        <v/>
      </c>
      <c r="C7" s="60">
        <f>'1_Στοιχεία_Μελέτης_&amp;_Ποσότητες'!C84</f>
        <v/>
      </c>
      <c r="D7" s="13">
        <f>'1_Στοιχεία_Μελέτης_&amp;_Ποσότητες'!D84</f>
        <v/>
      </c>
      <c r="E7" s="64" t="n">
        <v>120</v>
      </c>
      <c r="F7" s="40">
        <f>ROUND(C7*E7, 2)</f>
        <v/>
      </c>
      <c r="G7" s="65" t="n"/>
      <c r="H7" s="63">
        <f>"Φύλλο 1 (A.2): Πάκτωση H=" &amp; TEXT('1_Στοιχεία_Μελέτης_&amp;_Ποσότητες'!C35,"0.00") &amp; "m σε Ø" &amp; ('1_Στοιχεία_Μελέτης_&amp;_Ποσότητες'!C11*1000) &amp; "mm @ 120.00 €/m³ [Πορτοκαλί #FFE699]"</f>
        <v/>
      </c>
    </row>
    <row r="8">
      <c r="A8" s="58" t="inlineStr">
        <is>
          <t>A.3</t>
        </is>
      </c>
      <c r="B8" s="59">
        <f>'1_Στοιχεία_Μελέτης_&amp;_Ποσότητες'!B85</f>
        <v/>
      </c>
      <c r="C8" s="60">
        <f>'1_Στοιχεία_Μελέτης_&amp;_Ποσότητες'!C85</f>
        <v/>
      </c>
      <c r="D8" s="13">
        <f>'1_Στοιχεία_Μελέτης_&amp;_Ποσότητες'!D85</f>
        <v/>
      </c>
      <c r="E8" s="61" t="n">
        <v>1.4</v>
      </c>
      <c r="F8" s="40">
        <f>ROUND(C8*E8, 2)</f>
        <v/>
      </c>
      <c r="G8" s="65" t="n"/>
      <c r="H8" s="63">
        <f>"Φύλλο 1 (A.3): " &amp; '1_Στοιχεία_Μελέτης_&amp;_Ποσότητες'!C12 &amp; " No. HEB 220 (" &amp; TEXT('1_Στοιχεία_Μελέτης_&amp;_Ποσότητες'!C13*'1_Στοιχεία_Μελέτης_&amp;_Ποσότητες'!C12,"0.0") &amp; " kg/m) @ 1.40 €/kg (1.00€ αγορά + 0.40€ επεξεργασία)"</f>
        <v/>
      </c>
    </row>
    <row r="9">
      <c r="A9" s="58" t="inlineStr">
        <is>
          <t>A.4</t>
        </is>
      </c>
      <c r="B9" s="59">
        <f>'1_Στοιχεία_Μελέτης_&amp;_Ποσότητες'!B86</f>
        <v/>
      </c>
      <c r="C9" s="60">
        <f>'1_Στοιχεία_Μελέτης_&amp;_Ποσότητες'!C86</f>
        <v/>
      </c>
      <c r="D9" s="13">
        <f>'1_Στοιχεία_Μελέτης_&amp;_Ποσότητες'!D86</f>
        <v/>
      </c>
      <c r="E9" s="61" t="n">
        <v>1.6</v>
      </c>
      <c r="F9" s="40">
        <f>ROUND(C9*E9, 2)</f>
        <v/>
      </c>
      <c r="G9" s="65" t="n"/>
      <c r="H9" s="63">
        <f>"Φύλλο 1 (A.4):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('1_Στοιχεία_Μελέτης_&amp;_Ποσότητες'!C36/'1_Στοιχεία_Μελέτης_&amp;_Ποσότητες'!C15) &amp; " λάμες/οπή = " &amp; ('1_Στοιχεία_Μελέτης_&amp;_Ποσότητες'!C32*('1_Στοιχεία_Μελέτης_&amp;_Ποσότητες'!C36/'1_Στοιχεία_Μελέτης_&amp;_Ποσότητες'!C15)) &amp; " τεμ.) @ 1.60 €/kg"</f>
        <v/>
      </c>
    </row>
    <row r="10">
      <c r="A10" s="58" t="inlineStr">
        <is>
          <t>A.5</t>
        </is>
      </c>
      <c r="B10" s="59">
        <f>'1_Στοιχεία_Μελέτης_&amp;_Ποσότητες'!B87</f>
        <v/>
      </c>
      <c r="C10" s="60">
        <f>'1_Στοιχεία_Μελέτης_&amp;_Ποσότητες'!C87</f>
        <v/>
      </c>
      <c r="D10" s="13">
        <f>'1_Στοιχεία_Μελέτης_&amp;_Ποσότητες'!D87</f>
        <v/>
      </c>
      <c r="E10" s="61" t="n">
        <v>1.6</v>
      </c>
      <c r="F10" s="40">
        <f>ROUND(C10*E10, 2)</f>
        <v/>
      </c>
      <c r="G10" s="65" t="n"/>
      <c r="H10" s="63">
        <f>"Φύλλο 1 (A.5): 2 γωνιές L70x70x6 × " &amp; TEXT('1_Στοιχεία_Μελέτης_&amp;_Ποσότητες'!C34,"0.00") &amp; "m (" &amp; TEXT('1_Στοιχεία_Μελέτης_&amp;_Ποσότητες'!C32*2*'1_Στοιχεία_Μελέτης_&amp;_Ποσότητες'!C34,"0.0") &amp; "m) @ 1.60 €/kg"</f>
        <v/>
      </c>
    </row>
    <row r="11">
      <c r="A11" s="58" t="inlineStr">
        <is>
          <t>A.6</t>
        </is>
      </c>
      <c r="B11" s="59">
        <f>'1_Στοιχεία_Μελέτης_&amp;_Ποσότητες'!B88</f>
        <v/>
      </c>
      <c r="C11" s="60">
        <f>'1_Στοιχεία_Μελέτης_&amp;_Ποσότητες'!C88</f>
        <v/>
      </c>
      <c r="D11" s="13">
        <f>'1_Στοιχεία_Μελέτης_&amp;_Ποσότητες'!D88</f>
        <v/>
      </c>
      <c r="E11" s="61" t="n">
        <v>2.5</v>
      </c>
      <c r="F11" s="40">
        <f>ROUND(C11*E11, 2)</f>
        <v/>
      </c>
      <c r="G11" s="65" t="n"/>
      <c r="H11" s="63">
        <f>"Φύλλο 1 (A.6): Σχάρα #Y" &amp; '1_Στοιχεία_Μελέτης_&amp;_Ποσότητες'!C21 &amp; "/" &amp; '1_Στοιχεία_Μελέτης_&amp;_Ποσότητες'!C22 &amp; " (" &amp; TEXT('1_Στοιχεία_Μελέτης_&amp;_Ποσότητες'!C78,"0.000") &amp; " kg/m²) @ 2.50 €/kg αγορά"</f>
        <v/>
      </c>
    </row>
    <row r="12">
      <c r="A12" s="58" t="inlineStr">
        <is>
          <t>A.7</t>
        </is>
      </c>
      <c r="B12" s="59">
        <f>'1_Στοιχεία_Μελέτης_&amp;_Ποσότητες'!B89</f>
        <v/>
      </c>
      <c r="C12" s="60">
        <f>'1_Στοιχεία_Μελέτης_&amp;_Ποσότητες'!C89</f>
        <v/>
      </c>
      <c r="D12" s="13">
        <f>'1_Στοιχεία_Μελέτης_&amp;_Ποσότητες'!D89</f>
        <v/>
      </c>
      <c r="E12" s="61" t="n">
        <v>15</v>
      </c>
      <c r="F12" s="40">
        <f>ROUND(C12*E12, 2)</f>
        <v/>
      </c>
      <c r="G12" s="65" t="n"/>
      <c r="H12" s="63">
        <f>"Φύλλο 1 (A.7): Εργατικά τοποθέτησης σχάρας μετώπου (" &amp; TEXT('1_Στοιχεία_Μελέτης_&amp;_Ποσότητες'!C33,"0.0") &amp; "m × " &amp; TEXT('1_Στοιχεία_Μελέτης_&amp;_Ποσότητες'!C34,"0.0") &amp; "m) @ 15.00 €/m²"</f>
        <v/>
      </c>
    </row>
    <row r="13">
      <c r="A13" s="58" t="inlineStr">
        <is>
          <t>A.8</t>
        </is>
      </c>
      <c r="B13" s="59">
        <f>'1_Στοιχεία_Μελέτης_&amp;_Ποσότητες'!B90</f>
        <v/>
      </c>
      <c r="C13" s="60">
        <f>'1_Στοιχεία_Μελέτης_&amp;_Ποσότητες'!C90</f>
        <v/>
      </c>
      <c r="D13" s="13">
        <f>'1_Στοιχεία_Μελέτης_&amp;_Ποσότητες'!D90</f>
        <v/>
      </c>
      <c r="E13" s="61" t="n">
        <v>90</v>
      </c>
      <c r="F13" s="40">
        <f>ROUND(C13*E13, 2)</f>
        <v/>
      </c>
      <c r="G13" s="65" t="n"/>
      <c r="H13" s="63">
        <f>"Φύλλο 1 (A.8):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14">
      <c r="A14" s="58" t="inlineStr">
        <is>
          <t>A.9</t>
        </is>
      </c>
      <c r="B14" s="59">
        <f>'1_Στοιχεία_Μελέτης_&amp;_Ποσότητες'!B91</f>
        <v/>
      </c>
      <c r="C14" s="60">
        <f>'1_Στοιχεία_Μελέτης_&amp;_Ποσότητες'!C91</f>
        <v/>
      </c>
      <c r="D14" s="13">
        <f>'1_Στοιχεία_Μελέτης_&amp;_Ποσότητες'!D91</f>
        <v/>
      </c>
      <c r="E14" s="61">
        <f>ROUND((200*(1+'1_Στοιχεία_Μελέτης_&amp;_Ποσότητες'!C80))-90, 2)</f>
        <v/>
      </c>
      <c r="F14" s="40">
        <f>ROUND(C14*E14, 2)</f>
        <v/>
      </c>
      <c r="G14" s="65" t="n"/>
      <c r="H14" s="63">
        <f>"Φύλλο 1 (A.9): Εκτόξευση/Αντλία = Βάση 200€ × (1+" &amp; TEXT('1_Στοιχεία_Μελέτης_&amp;_Ποσότητες'!C80,"0.0%") &amp; " απώλεια) - 90€"</f>
        <v/>
      </c>
    </row>
    <row r="15">
      <c r="A15" s="58" t="inlineStr">
        <is>
          <t>A.10</t>
        </is>
      </c>
      <c r="B15" s="59">
        <f>'1_Στοιχεία_Μελέτης_&amp;_Ποσότητες'!B92</f>
        <v/>
      </c>
      <c r="C15" s="60">
        <f>'1_Στοιχεία_Μελέτης_&amp;_Ποσότητες'!C92</f>
        <v/>
      </c>
      <c r="D15" s="13">
        <f>'1_Στοιχεία_Μελέτης_&amp;_Ποσότητες'!D92</f>
        <v/>
      </c>
      <c r="E15" s="61" t="n">
        <v>30</v>
      </c>
      <c r="F15" s="40">
        <f>ROUND(C15*E15, 2)</f>
        <v/>
      </c>
      <c r="G15" s="65" t="n"/>
      <c r="H15" s="63">
        <f>"Φύλλο 1 (A.10): Διάτρηση " &amp; '1_Στοιχεία_Μελέτης_&amp;_Ποσότητες'!C96 &amp; " αγκυρώσεων Ø" &amp; ('1_Στοιχεία_Μελέτης_&amp;_Ποσότητες'!C26*1000) &amp; "mm (Σειρές 1-4: " &amp; '1_Στοιχεία_Μελέτης_&amp;_Ποσότητες'!C37 &amp; "m, " &amp; '1_Στοιχεία_Μελέτης_&amp;_Ποσότητες'!C39 &amp; "m, " &amp; '1_Στοιχεία_Μελέτης_&amp;_Ποσότητες'!C41 &amp; "m, " &amp; '1_Στοιχεία_Μελέτης_&amp;_Ποσότητες'!C43 &amp; "m) @ 30.00 €/m"</f>
        <v/>
      </c>
    </row>
    <row r="16">
      <c r="A16" s="58" t="inlineStr">
        <is>
          <t>A.11</t>
        </is>
      </c>
      <c r="B16" s="59">
        <f>'1_Στοιχεία_Μελέτης_&amp;_Ποσότητες'!B93</f>
        <v/>
      </c>
      <c r="C16" s="60">
        <f>'1_Στοιχεία_Μελέτης_&amp;_Ποσότητες'!C93</f>
        <v/>
      </c>
      <c r="D16" s="13">
        <f>'1_Στοιχεία_Μελέτης_&amp;_Ποσότητες'!D93</f>
        <v/>
      </c>
      <c r="E16" s="61" t="n">
        <v>500</v>
      </c>
      <c r="F16" s="40">
        <f>ROUND(C16*E16, 2)</f>
        <v/>
      </c>
      <c r="G16" s="65" t="n"/>
      <c r="H16" s="63">
        <f>"Φύλλο 1 (A.11):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TEXT('1_Στοιχεία_Μελέτης_&amp;_Ποσότητες'!C79,"0.000000") &amp; " m³/m) @ 500.00 €/m³"</f>
        <v/>
      </c>
    </row>
    <row r="17">
      <c r="A17" s="58" t="inlineStr">
        <is>
          <t>A.12</t>
        </is>
      </c>
      <c r="B17" s="59">
        <f>'1_Στοιχεία_Μελέτης_&amp;_Ποσότητες'!B94</f>
        <v/>
      </c>
      <c r="C17" s="60">
        <f>'1_Στοιχεία_Μελέτης_&amp;_Ποσότητες'!C94</f>
        <v/>
      </c>
      <c r="D17" s="13">
        <f>'1_Στοιχεία_Μελέτης_&amp;_Ποσότητες'!D94</f>
        <v/>
      </c>
      <c r="E17" s="61" t="n">
        <v>2.28</v>
      </c>
      <c r="F17" s="40">
        <f>ROUND(C17*E17, 2)</f>
        <v/>
      </c>
      <c r="G17" s="65" t="n"/>
      <c r="H17" s="63">
        <f>"Φύλλο 1 (A.12): " &amp; ('1_Στοιχεία_Μελέτης_&amp;_Ποσότητες'!C32*2) &amp; " αγκυρώσεις " &amp; '1_Στοιχεία_Μελέτης_&amp;_Ποσότητες'!C38 &amp; "-strands (Σειρά 1 L=" &amp; '1_Στοιχεία_Μελέτης_&amp;_Ποσότητες'!C37 &amp; "m &amp; Σειρά 2 L=" &amp; '1_Στοιχεία_Μελέτης_&amp;_Ποσότητες'!C39 &amp; "m, +" &amp; TEXT('1_Στοιχεία_Μελέτης_&amp;_Ποσότητες'!C28,"0.0") &amp; "m) @ 2.28 €/m"</f>
        <v/>
      </c>
    </row>
    <row r="18">
      <c r="A18" s="58" t="inlineStr">
        <is>
          <t>A.13</t>
        </is>
      </c>
      <c r="B18" s="59">
        <f>'1_Στοιχεία_Μελέτης_&amp;_Ποσότητες'!B95</f>
        <v/>
      </c>
      <c r="C18" s="60">
        <f>'1_Στοιχεία_Μελέτης_&amp;_Ποσότητες'!C95</f>
        <v/>
      </c>
      <c r="D18" s="13">
        <f>'1_Στοιχεία_Μελέτης_&amp;_Ποσότητες'!D95</f>
        <v/>
      </c>
      <c r="E18" s="61" t="n">
        <v>2.28</v>
      </c>
      <c r="F18" s="40">
        <f>ROUND(C18*E18, 2)</f>
        <v/>
      </c>
      <c r="G18" s="65" t="n"/>
      <c r="H18" s="63">
        <f>"Φύλλο 1 (A.13): " &amp; ('1_Στοιχεία_Μελέτης_&amp;_Ποσότητες'!C32*2) &amp; " αγκυρώσεις " &amp; '1_Στοιχεία_Μελέτης_&amp;_Ποσότητες'!C42 &amp; "-strands (Σειρά 3 L=" &amp; '1_Στοιχεία_Μελέτης_&amp;_Ποσότητες'!C41 &amp; "m &amp; Σειρά 4 L=" &amp; '1_Στοιχεία_Μελέτης_&amp;_Ποσότητες'!C43 &amp; "m, +" &amp; TEXT('1_Στοιχεία_Μελέτης_&amp;_Ποσότητες'!C28,"0.0") &amp; "m) @ 2.28 €/m"</f>
        <v/>
      </c>
    </row>
    <row r="19">
      <c r="A19" s="58" t="inlineStr">
        <is>
          <t>A.14</t>
        </is>
      </c>
      <c r="B19" s="59">
        <f>'1_Στοιχεία_Μελέτης_&amp;_Ποσότητες'!B96</f>
        <v/>
      </c>
      <c r="C19" s="66">
        <f>'1_Στοιχεία_Μελέτης_&amp;_Ποσότητες'!C96</f>
        <v/>
      </c>
      <c r="D19" s="13">
        <f>'1_Στοιχεία_Μελέτης_&amp;_Ποσότητες'!D96</f>
        <v/>
      </c>
      <c r="E19" s="61" t="n">
        <v>18</v>
      </c>
      <c r="F19" s="40">
        <f>ROUND(C19*E19, 2)</f>
        <v/>
      </c>
      <c r="G19" s="65" t="n"/>
      <c r="H19" s="63">
        <f>"Φύλλο 1 (A.14): Προένταση (Stressing &amp; Lock-off) " &amp; '1_Στοιχεία_Μελέτης_&amp;_Ποσότητες'!C96 &amp; " αγκυρώσεων Type A @ 18.00 €/No"</f>
        <v/>
      </c>
    </row>
    <row r="20">
      <c r="A20" s="67" t="inlineStr">
        <is>
          <t>A.15</t>
        </is>
      </c>
      <c r="B20" s="68">
        <f>'1_Στοιχεία_Μελέτης_&amp;_Ποσότητες'!B97</f>
        <v/>
      </c>
      <c r="C20" s="69">
        <f>'1_Στοιχεία_Μελέτης_&amp;_Ποσότητες'!C97</f>
        <v/>
      </c>
      <c r="D20" s="24">
        <f>'1_Στοιχεία_Μελέτης_&amp;_Ποσότητες'!D97</f>
        <v/>
      </c>
      <c r="E20" s="70" t="n">
        <v>55</v>
      </c>
      <c r="F20" s="71">
        <f>ROUND(C20*E20, 2)</f>
        <v/>
      </c>
      <c r="G20" s="72" t="n"/>
      <c r="H20" s="73">
        <f>"Φύλλο 1 (A.15): Πλήρες σετ κεφαλής (Head, Wedges, Plate) " &amp; '1_Στοιχεία_Μελέτης_&amp;_Ποσότητες'!C97 &amp; " αγκυρώσεων Type A @ 55.00 €/No"</f>
        <v/>
      </c>
    </row>
    <row r="21"/>
    <row r="22">
      <c r="A22" s="54" t="inlineStr">
        <is>
          <t>TYPE B</t>
        </is>
      </c>
      <c r="B22" s="55">
        <f>"BERLIN WALL TYPE B: " &amp; '1_Στοιχεία_Μελέτης_&amp;_Ποσότητες'!C47 &amp; "No Ζεύγη HEB200, L=" &amp; TEXT('1_Στοιχεία_Μελέτης_&amp;_Ποσότητες'!C51,"0.00") &amp; "m για βάθος εκσκαφής " &amp; TEXT('1_Στοιχεία_Μελέτης_&amp;_Ποσότητες'!C49,"0.00") &amp; "m και " &amp; TEXT('1_Στοιχεία_Μελέτης_&amp;_Ποσότητες'!C48,"0.00") &amp; " τρ.μ."</f>
        <v/>
      </c>
      <c r="C22" s="56">
        <f>'1_Στοιχεία_Μελέτης_&amp;_Ποσότητες'!C48</f>
        <v/>
      </c>
      <c r="D22" s="54" t="inlineStr">
        <is>
          <t>τρ.μ.</t>
        </is>
      </c>
      <c r="E22" s="56">
        <f>ROUND(F22/C22, 2)</f>
        <v/>
      </c>
      <c r="F22" s="56">
        <f>SUM(F23:F37)</f>
        <v/>
      </c>
      <c r="G22" s="54" t="inlineStr">
        <is>
          <t>ΤΕΛ. ΣΥΝΟΛΑ</t>
        </is>
      </c>
      <c r="H22" s="57">
        <f>"Σύνολο Τοίχου Β (Πυλώνες 2, 3 &amp; 4 — HEB 200, " &amp; '1_Στοιχεία_Μελέτης_&amp;_Ποσότητες'!C47 &amp; " πάσσαλοι, " &amp; '1_Στοιχεία_Μελέτης_&amp;_Ποσότητες'!C113 &amp; " αγκυρώσεις)"</f>
        <v/>
      </c>
    </row>
    <row r="23">
      <c r="A23" s="58" t="inlineStr">
        <is>
          <t>B.1</t>
        </is>
      </c>
      <c r="B23" s="59">
        <f>'1_Στοιχεία_Μελέτης_&amp;_Ποσότητες'!B100</f>
        <v/>
      </c>
      <c r="C23" s="60">
        <f>'1_Στοιχεία_Μελέτης_&amp;_Ποσότητες'!C100</f>
        <v/>
      </c>
      <c r="D23" s="13">
        <f>'1_Στοιχεία_Μελέτης_&amp;_Ποσότητες'!D100</f>
        <v/>
      </c>
      <c r="E23" s="61" t="n">
        <v>75</v>
      </c>
      <c r="F23" s="40">
        <f>ROUND(C23*E23, 2)</f>
        <v/>
      </c>
      <c r="G23" s="62">
        <f>F22</f>
        <v/>
      </c>
      <c r="H23" s="63">
        <f>"Φύλλο 1 (B.1): " &amp; '1_Στοιχεία_Μελέτης_&amp;_Ποσότητες'!C47 &amp; " πάσσαλοι × " &amp; TEXT('1_Στοιχεία_Μελέτης_&amp;_Ποσότητες'!C51,"0.00") &amp; "m @ 75.00 €/m (Ø" &amp; ('1_Στοιχεία_Μελέτης_&amp;_Ποσότητες'!C11*1000) &amp; "mm)"</f>
        <v/>
      </c>
    </row>
    <row r="24">
      <c r="A24" s="58" t="inlineStr">
        <is>
          <t>B.2</t>
        </is>
      </c>
      <c r="B24" s="59">
        <f>'1_Στοιχεία_Μελέτης_&amp;_Ποσότητες'!B101</f>
        <v/>
      </c>
      <c r="C24" s="60">
        <f>'1_Στοιχεία_Μελέτης_&amp;_Ποσότητες'!C101</f>
        <v/>
      </c>
      <c r="D24" s="13">
        <f>'1_Στοιχεία_Μελέτης_&amp;_Ποσότητες'!D101</f>
        <v/>
      </c>
      <c r="E24" s="64" t="n">
        <v>120</v>
      </c>
      <c r="F24" s="40">
        <f>ROUND(C24*E24, 2)</f>
        <v/>
      </c>
      <c r="G24" s="65" t="n"/>
      <c r="H24" s="63">
        <f>"Φύλλο 1 (B.2): Πάκτωση H=" &amp; TEXT('1_Στοιχεία_Μελέτης_&amp;_Ποσότητες'!C50,"0.00") &amp; "m σε Ø" &amp; ('1_Στοιχεία_Μελέτης_&amp;_Ποσότητες'!C11*1000) &amp; "mm @ 120.00 €/m³ [Πορτοκαλί #FFE699]"</f>
        <v/>
      </c>
    </row>
    <row r="25">
      <c r="A25" s="58" t="inlineStr">
        <is>
          <t>B.3</t>
        </is>
      </c>
      <c r="B25" s="59">
        <f>'1_Στοιχεία_Μελέτης_&amp;_Ποσότητες'!B102</f>
        <v/>
      </c>
      <c r="C25" s="60">
        <f>'1_Στοιχεία_Μελέτης_&amp;_Ποσότητες'!C102</f>
        <v/>
      </c>
      <c r="D25" s="13">
        <f>'1_Στοιχεία_Μελέτης_&amp;_Ποσότητες'!D102</f>
        <v/>
      </c>
      <c r="E25" s="61" t="n">
        <v>1.4</v>
      </c>
      <c r="F25" s="40">
        <f>ROUND(C25*E25, 2)</f>
        <v/>
      </c>
      <c r="G25" s="65" t="n"/>
      <c r="H25" s="63">
        <f>"Φύλλο 1 (B.3): " &amp; '1_Στοιχεία_Μελέτης_&amp;_Ποσότητες'!C12 &amp; " No. HEB 200 (" &amp; TEXT('1_Στοιχεία_Μελέτης_&amp;_Ποσότητες'!C14*'1_Στοιχεία_Μελέτης_&amp;_Ποσότητες'!C12,"0.0") &amp; " kg/m) @ 1.40 €/kg (1.00€ αγορά + 0.40€ επεξεργασία)"</f>
        <v/>
      </c>
    </row>
    <row r="26">
      <c r="A26" s="58" t="inlineStr">
        <is>
          <t>B.4</t>
        </is>
      </c>
      <c r="B26" s="59">
        <f>'1_Στοιχεία_Μελέτης_&amp;_Ποσότητες'!B103</f>
        <v/>
      </c>
      <c r="C26" s="60">
        <f>'1_Στοιχεία_Μελέτης_&amp;_Ποσότητες'!C103</f>
        <v/>
      </c>
      <c r="D26" s="13">
        <f>'1_Στοιχεία_Μελέτης_&amp;_Ποσότητες'!D103</f>
        <v/>
      </c>
      <c r="E26" s="61" t="n">
        <v>1.6</v>
      </c>
      <c r="F26" s="40">
        <f>ROUND(C26*E26, 2)</f>
        <v/>
      </c>
      <c r="G26" s="65" t="n"/>
      <c r="H26" s="63">
        <f>"Φύλλο 1 (B.4):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('1_Στοιχεία_Μελέτης_&amp;_Ποσότητες'!C51/'1_Στοιχεία_Μελέτης_&amp;_Ποσότητες'!C15) &amp; " λάμες/οπή = " &amp; ('1_Στοιχεία_Μελέτης_&amp;_Ποσότητες'!C47*('1_Στοιχεία_Μελέτης_&amp;_Ποσότητες'!C51/'1_Στοιχεία_Μελέτης_&amp;_Ποσότητες'!C15)) &amp; " τεμ.) @ 1.60 €/kg"</f>
        <v/>
      </c>
    </row>
    <row r="27">
      <c r="A27" s="58" t="inlineStr">
        <is>
          <t>B.5</t>
        </is>
      </c>
      <c r="B27" s="59">
        <f>'1_Στοιχεία_Μελέτης_&amp;_Ποσότητες'!B104</f>
        <v/>
      </c>
      <c r="C27" s="60">
        <f>'1_Στοιχεία_Μελέτης_&amp;_Ποσότητες'!C104</f>
        <v/>
      </c>
      <c r="D27" s="13">
        <f>'1_Στοιχεία_Μελέτης_&amp;_Ποσότητες'!D104</f>
        <v/>
      </c>
      <c r="E27" s="61" t="n">
        <v>1.6</v>
      </c>
      <c r="F27" s="40">
        <f>ROUND(C27*E27, 2)</f>
        <v/>
      </c>
      <c r="G27" s="65" t="n"/>
      <c r="H27" s="63">
        <f>"Φύλλο 1 (B.5): 2 γωνιές L70x70x6 × " &amp; TEXT('1_Στοιχεία_Μελέτης_&amp;_Ποσότητες'!C49,"0.00") &amp; "m (" &amp; TEXT('1_Στοιχεία_Μελέτης_&amp;_Ποσότητες'!C47*2*'1_Στοιχεία_Μελέτης_&amp;_Ποσότητες'!C49,"0.0") &amp; "m) @ 1.60 €/kg"</f>
        <v/>
      </c>
    </row>
    <row r="28">
      <c r="A28" s="58" t="inlineStr">
        <is>
          <t>B.6</t>
        </is>
      </c>
      <c r="B28" s="59">
        <f>'1_Στοιχεία_Μελέτης_&amp;_Ποσότητες'!B105</f>
        <v/>
      </c>
      <c r="C28" s="60">
        <f>'1_Στοιχεία_Μελέτης_&amp;_Ποσότητες'!C105</f>
        <v/>
      </c>
      <c r="D28" s="13">
        <f>'1_Στοιχεία_Μελέτης_&amp;_Ποσότητες'!D105</f>
        <v/>
      </c>
      <c r="E28" s="61" t="n">
        <v>2.5</v>
      </c>
      <c r="F28" s="40">
        <f>ROUND(C28*E28, 2)</f>
        <v/>
      </c>
      <c r="G28" s="65" t="n"/>
      <c r="H28" s="63">
        <f>"Φύλλο 1 (B.6): Σχάρα #Y" &amp; '1_Στοιχεία_Μελέτης_&amp;_Ποσότητες'!C21 &amp; "/" &amp; '1_Στοιχεία_Μελέτης_&amp;_Ποσότητες'!C22 &amp; " (" &amp; TEXT('1_Στοιχεία_Μελέτης_&amp;_Ποσότητες'!C78,"0.000") &amp; " kg/m²) @ 2.50 €/kg αγορά"</f>
        <v/>
      </c>
    </row>
    <row r="29">
      <c r="A29" s="58" t="inlineStr">
        <is>
          <t>B.7</t>
        </is>
      </c>
      <c r="B29" s="59">
        <f>'1_Στοιχεία_Μελέτης_&amp;_Ποσότητες'!B106</f>
        <v/>
      </c>
      <c r="C29" s="60">
        <f>'1_Στοιχεία_Μελέτης_&amp;_Ποσότητες'!C106</f>
        <v/>
      </c>
      <c r="D29" s="13">
        <f>'1_Στοιχεία_Μελέτης_&amp;_Ποσότητες'!D106</f>
        <v/>
      </c>
      <c r="E29" s="61" t="n">
        <v>15</v>
      </c>
      <c r="F29" s="40">
        <f>ROUND(C29*E29, 2)</f>
        <v/>
      </c>
      <c r="G29" s="65" t="n"/>
      <c r="H29" s="63">
        <f>"Φύλλο 1 (B.7): Εργατικά τοποθέτησης σχάρας μετώπου (" &amp; TEXT('1_Στοιχεία_Μελέτης_&amp;_Ποσότητες'!C48,"0.0") &amp; "m × " &amp; TEXT('1_Στοιχεία_Μελέτης_&amp;_Ποσότητες'!C49,"0.0") &amp; "m) @ 15.00 €/m²"</f>
        <v/>
      </c>
    </row>
    <row r="30">
      <c r="A30" s="58" t="inlineStr">
        <is>
          <t>B.8</t>
        </is>
      </c>
      <c r="B30" s="59">
        <f>'1_Στοιχεία_Μελέτης_&amp;_Ποσότητες'!B107</f>
        <v/>
      </c>
      <c r="C30" s="60">
        <f>'1_Στοιχεία_Μελέτης_&amp;_Ποσότητες'!C107</f>
        <v/>
      </c>
      <c r="D30" s="13">
        <f>'1_Στοιχεία_Μελέτης_&amp;_Ποσότητες'!D107</f>
        <v/>
      </c>
      <c r="E30" s="61" t="n">
        <v>90</v>
      </c>
      <c r="F30" s="40">
        <f>ROUND(C30*E30, 2)</f>
        <v/>
      </c>
      <c r="G30" s="65" t="n"/>
      <c r="H30" s="63">
        <f>"Φύλλο 1 (B.8):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31">
      <c r="A31" s="58" t="inlineStr">
        <is>
          <t>B.9</t>
        </is>
      </c>
      <c r="B31" s="59">
        <f>'1_Στοιχεία_Μελέτης_&amp;_Ποσότητες'!B108</f>
        <v/>
      </c>
      <c r="C31" s="60">
        <f>'1_Στοιχεία_Μελέτης_&amp;_Ποσότητες'!C108</f>
        <v/>
      </c>
      <c r="D31" s="13">
        <f>'1_Στοιχεία_Μελέτης_&amp;_Ποσότητες'!D108</f>
        <v/>
      </c>
      <c r="E31" s="61">
        <f>ROUND((200*(1+'1_Στοιχεία_Μελέτης_&amp;_Ποσότητες'!C80))-90, 2)</f>
        <v/>
      </c>
      <c r="F31" s="40">
        <f>ROUND(C31*E31, 2)</f>
        <v/>
      </c>
      <c r="G31" s="65" t="n"/>
      <c r="H31" s="63">
        <f>"Φύλλο 1 (B.9): Εκτόξευση/Αντλία = Βάση 200€ × (1+" &amp; TEXT('1_Στοιχεία_Μελέτης_&amp;_Ποσότητες'!C80,"0.0%") &amp; " απώλεια) - 90€"</f>
        <v/>
      </c>
    </row>
    <row r="32">
      <c r="A32" s="58" t="inlineStr">
        <is>
          <t>B.10</t>
        </is>
      </c>
      <c r="B32" s="59">
        <f>'1_Στοιχεία_Μελέτης_&amp;_Ποσότητες'!B109</f>
        <v/>
      </c>
      <c r="C32" s="60">
        <f>'1_Στοιχεία_Μελέτης_&amp;_Ποσότητες'!C109</f>
        <v/>
      </c>
      <c r="D32" s="13">
        <f>'1_Στοιχεία_Μελέτης_&amp;_Ποσότητες'!D109</f>
        <v/>
      </c>
      <c r="E32" s="61" t="n">
        <v>30</v>
      </c>
      <c r="F32" s="40">
        <f>ROUND(C32*E32, 2)</f>
        <v/>
      </c>
      <c r="G32" s="65" t="n"/>
      <c r="H32" s="63">
        <f>"Φύλλο 1 (B.10): Διάτρηση " &amp; '1_Στοιχεία_Μελέτης_&amp;_Ποσότητες'!C113 &amp; " αγκυρώσεων Ø" &amp; ('1_Στοιχεία_Μελέτης_&amp;_Ποσότητες'!C26*1000) &amp; "mm (Σειρές 1-4: " &amp; '1_Στοιχεία_Μελέτης_&amp;_Ποσότητες'!C52 &amp; "m, " &amp; '1_Στοιχεία_Μελέτης_&amp;_Ποσότητες'!C54 &amp; "m, " &amp; '1_Στοιχεία_Μελέτης_&amp;_Ποσότητες'!C56 &amp; "m, " &amp; '1_Στοιχεία_Μελέτης_&amp;_Ποσότητες'!C58 &amp; "m) @ 30.00 €/m"</f>
        <v/>
      </c>
    </row>
    <row r="33">
      <c r="A33" s="58" t="inlineStr">
        <is>
          <t>B.11</t>
        </is>
      </c>
      <c r="B33" s="59">
        <f>'1_Στοιχεία_Μελέτης_&amp;_Ποσότητες'!B110</f>
        <v/>
      </c>
      <c r="C33" s="60">
        <f>'1_Στοιχεία_Μελέτης_&amp;_Ποσότητες'!C110</f>
        <v/>
      </c>
      <c r="D33" s="13">
        <f>'1_Στοιχεία_Μελέτης_&amp;_Ποσότητες'!D110</f>
        <v/>
      </c>
      <c r="E33" s="61" t="n">
        <v>500</v>
      </c>
      <c r="F33" s="40">
        <f>ROUND(C33*E33, 2)</f>
        <v/>
      </c>
      <c r="G33" s="65" t="n"/>
      <c r="H33" s="63">
        <f>"Φύλλο 1 (B.11):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TEXT('1_Στοιχεία_Μελέτης_&amp;_Ποσότητες'!C79,"0.000000") &amp; " m³/m) @ 500.00 €/m³"</f>
        <v/>
      </c>
    </row>
    <row r="34">
      <c r="A34" s="58" t="inlineStr">
        <is>
          <t>B.12</t>
        </is>
      </c>
      <c r="B34" s="59">
        <f>'1_Στοιχεία_Μελέτης_&amp;_Ποσότητες'!B111</f>
        <v/>
      </c>
      <c r="C34" s="60">
        <f>'1_Στοιχεία_Μελέτης_&amp;_Ποσότητες'!C111</f>
        <v/>
      </c>
      <c r="D34" s="13">
        <f>'1_Στοιχεία_Μελέτης_&amp;_Ποσότητες'!D111</f>
        <v/>
      </c>
      <c r="E34" s="61" t="n">
        <v>2.28</v>
      </c>
      <c r="F34" s="40">
        <f>ROUND(C34*E34, 2)</f>
        <v/>
      </c>
      <c r="G34" s="65" t="n"/>
      <c r="H34" s="63">
        <f>"Φύλλο 1 (B.12): " &amp; ('1_Στοιχεία_Μελέτης_&amp;_Ποσότητες'!C47*2) &amp; " αγκυρώσεις " &amp; '1_Στοιχεία_Μελέτης_&amp;_Ποσότητες'!C53 &amp; "-strands (Σειρά 1 L=" &amp; '1_Στοιχεία_Μελέτης_&amp;_Ποσότητες'!C52 &amp; "m &amp; Σειρά 2 L=" &amp; '1_Στοιχεία_Μελέτης_&amp;_Ποσότητες'!C54 &amp; "m, +" &amp; TEXT('1_Στοιχεία_Μελέτης_&amp;_Ποσότητες'!C28,"0.0") &amp; "m) @ 2.28 €/m"</f>
        <v/>
      </c>
    </row>
    <row r="35">
      <c r="A35" s="58" t="inlineStr">
        <is>
          <t>B.13</t>
        </is>
      </c>
      <c r="B35" s="59">
        <f>'1_Στοιχεία_Μελέτης_&amp;_Ποσότητες'!B112</f>
        <v/>
      </c>
      <c r="C35" s="60">
        <f>'1_Στοιχεία_Μελέτης_&amp;_Ποσότητες'!C112</f>
        <v/>
      </c>
      <c r="D35" s="13">
        <f>'1_Στοιχεία_Μελέτης_&amp;_Ποσότητες'!D112</f>
        <v/>
      </c>
      <c r="E35" s="61" t="n">
        <v>2.28</v>
      </c>
      <c r="F35" s="40">
        <f>ROUND(C35*E35, 2)</f>
        <v/>
      </c>
      <c r="G35" s="65" t="n"/>
      <c r="H35" s="63">
        <f>"Φύλλο 1 (B.13): " &amp; ('1_Στοιχεία_Μελέτης_&amp;_Ποσότητες'!C47*2) &amp; " αγκυρώσεις " &amp; '1_Στοιχεία_Μελέτης_&amp;_Ποσότητες'!C57 &amp; "-strands (Σειρά 3 L=" &amp; '1_Στοιχεία_Μελέτης_&amp;_Ποσότητες'!C56 &amp; "m &amp; Σειρά 4 L=" &amp; '1_Στοιχεία_Μελέτης_&amp;_Ποσότητες'!C58 &amp; "m, +" &amp; TEXT('1_Στοιχεία_Μελέτης_&amp;_Ποσότητες'!C28,"0.0") &amp; "m) @ 2.28 €/m"</f>
        <v/>
      </c>
    </row>
    <row r="36">
      <c r="A36" s="58" t="inlineStr">
        <is>
          <t>B.14</t>
        </is>
      </c>
      <c r="B36" s="59">
        <f>'1_Στοιχεία_Μελέτης_&amp;_Ποσότητες'!B113</f>
        <v/>
      </c>
      <c r="C36" s="66">
        <f>'1_Στοιχεία_Μελέτης_&amp;_Ποσότητες'!C113</f>
        <v/>
      </c>
      <c r="D36" s="13">
        <f>'1_Στοιχεία_Μελέτης_&amp;_Ποσότητες'!D113</f>
        <v/>
      </c>
      <c r="E36" s="61" t="n">
        <v>18</v>
      </c>
      <c r="F36" s="40">
        <f>ROUND(C36*E36, 2)</f>
        <v/>
      </c>
      <c r="G36" s="65" t="n"/>
      <c r="H36" s="63">
        <f>"Φύλλο 1 (B.14): Προένταση (Stressing &amp; Lock-off) " &amp; '1_Στοιχεία_Μελέτης_&amp;_Ποσότητες'!C113 &amp; " αγκυρώσεων Type B @ 18.00 €/No"</f>
        <v/>
      </c>
    </row>
    <row r="37">
      <c r="A37" s="67" t="inlineStr">
        <is>
          <t>B.15</t>
        </is>
      </c>
      <c r="B37" s="68">
        <f>'1_Στοιχεία_Μελέτης_&amp;_Ποσότητες'!B114</f>
        <v/>
      </c>
      <c r="C37" s="69">
        <f>'1_Στοιχεία_Μελέτης_&amp;_Ποσότητες'!C114</f>
        <v/>
      </c>
      <c r="D37" s="24">
        <f>'1_Στοιχεία_Μελέτης_&amp;_Ποσότητες'!D114</f>
        <v/>
      </c>
      <c r="E37" s="70" t="n">
        <v>55</v>
      </c>
      <c r="F37" s="71">
        <f>ROUND(C37*E37, 2)</f>
        <v/>
      </c>
      <c r="G37" s="72" t="n"/>
      <c r="H37" s="73">
        <f>"Φύλλο 1 (B.15): Πλήρες σετ κεφαλής (Head, Wedges, Plate) " &amp; '1_Στοιχεία_Μελέτης_&amp;_Ποσότητες'!C114 &amp; " αγκυρώσεων Type B @ 55.00 €/No"</f>
        <v/>
      </c>
    </row>
    <row r="38"/>
    <row r="39">
      <c r="A39" s="54" t="inlineStr">
        <is>
          <t>TYPE C</t>
        </is>
      </c>
      <c r="B39" s="55">
        <f>"BERLIN WALL TYPE C: " &amp; '1_Στοιχεία_Μελέτης_&amp;_Ποσότητες'!C62 &amp; "No Ζεύγη HEB200, L=" &amp; TEXT('1_Στοιχεία_Μελέτης_&amp;_Ποσότητες'!C66,"0.00") &amp; "m για βάθος εκσκαφής " &amp; TEXT('1_Στοιχεία_Μελέτης_&amp;_Ποσότητες'!C64,"0.00") &amp; "m και " &amp; TEXT('1_Στοιχεία_Μελέτης_&amp;_Ποσότητες'!C63,"0.00") &amp; " τρ.μ."</f>
        <v/>
      </c>
      <c r="C39" s="56">
        <f>'1_Στοιχεία_Μελέτης_&amp;_Ποσότητες'!C63</f>
        <v/>
      </c>
      <c r="D39" s="54" t="inlineStr">
        <is>
          <t>τρ.μ.</t>
        </is>
      </c>
      <c r="E39" s="56">
        <f>ROUND(F39/C39, 2)</f>
        <v/>
      </c>
      <c r="F39" s="56">
        <f>SUM(F40:F53)</f>
        <v/>
      </c>
      <c r="G39" s="54" t="inlineStr">
        <is>
          <t>ΤΕΛ. ΣΥΝΟΛΑ</t>
        </is>
      </c>
      <c r="H39" s="57">
        <f>"Σύνολο Τοίχου Γ (Πυλώνες 2, 3 &amp; 4 — HEB 200, " &amp; '1_Στοιχεία_Μελέτης_&amp;_Ποσότητες'!C62 &amp; " πάσσαλοι, " &amp; '1_Στοιχεία_Μελέτης_&amp;_Ποσότητες'!C129 &amp; " αγκυρώσεις)"</f>
        <v/>
      </c>
    </row>
    <row r="40">
      <c r="A40" s="58" t="inlineStr">
        <is>
          <t>C.1</t>
        </is>
      </c>
      <c r="B40" s="59">
        <f>'1_Στοιχεία_Μελέτης_&amp;_Ποσότητες'!B117</f>
        <v/>
      </c>
      <c r="C40" s="60">
        <f>'1_Στοιχεία_Μελέτης_&amp;_Ποσότητες'!C117</f>
        <v/>
      </c>
      <c r="D40" s="13">
        <f>'1_Στοιχεία_Μελέτης_&amp;_Ποσότητες'!D117</f>
        <v/>
      </c>
      <c r="E40" s="61" t="n">
        <v>75</v>
      </c>
      <c r="F40" s="40">
        <f>ROUND(C40*E40, 2)</f>
        <v/>
      </c>
      <c r="G40" s="62">
        <f>F39</f>
        <v/>
      </c>
      <c r="H40" s="63">
        <f>"Φύλλο 1 (C.1): " &amp; '1_Στοιχεία_Μελέτης_&amp;_Ποσότητες'!C62 &amp; " πάσσαλοι × " &amp; TEXT('1_Στοιχεία_Μελέτης_&amp;_Ποσότητες'!C66,"0.00") &amp; "m @ 75.00 €/m (Ø" &amp; ('1_Στοιχεία_Μελέτης_&amp;_Ποσότητες'!C11*1000) &amp; "mm)"</f>
        <v/>
      </c>
    </row>
    <row r="41">
      <c r="A41" s="58" t="inlineStr">
        <is>
          <t>C.2</t>
        </is>
      </c>
      <c r="B41" s="59">
        <f>'1_Στοιχεία_Μελέτης_&amp;_Ποσότητες'!B118</f>
        <v/>
      </c>
      <c r="C41" s="60">
        <f>'1_Στοιχεία_Μελέτης_&amp;_Ποσότητες'!C118</f>
        <v/>
      </c>
      <c r="D41" s="13">
        <f>'1_Στοιχεία_Μελέτης_&amp;_Ποσότητες'!D118</f>
        <v/>
      </c>
      <c r="E41" s="64" t="n">
        <v>120</v>
      </c>
      <c r="F41" s="40">
        <f>ROUND(C41*E41, 2)</f>
        <v/>
      </c>
      <c r="G41" s="65" t="n"/>
      <c r="H41" s="63">
        <f>"Φύλλο 1 (C.2): Πάκτωση H=" &amp; TEXT('1_Στοιχεία_Μελέτης_&amp;_Ποσότητες'!C65,"0.00") &amp; "m σε Ø" &amp; ('1_Στοιχεία_Μελέτης_&amp;_Ποσότητες'!C11*1000) &amp; "mm @ 120.00 €/m³ [Πορτοκαλί #FFE699]"</f>
        <v/>
      </c>
    </row>
    <row r="42">
      <c r="A42" s="58" t="inlineStr">
        <is>
          <t>C.3</t>
        </is>
      </c>
      <c r="B42" s="59">
        <f>'1_Στοιχεία_Μελέτης_&amp;_Ποσότητες'!B119</f>
        <v/>
      </c>
      <c r="C42" s="60">
        <f>'1_Στοιχεία_Μελέτης_&amp;_Ποσότητες'!C119</f>
        <v/>
      </c>
      <c r="D42" s="13">
        <f>'1_Στοιχεία_Μελέτης_&amp;_Ποσότητες'!D119</f>
        <v/>
      </c>
      <c r="E42" s="61" t="n">
        <v>1.4</v>
      </c>
      <c r="F42" s="40">
        <f>ROUND(C42*E42, 2)</f>
        <v/>
      </c>
      <c r="G42" s="65" t="n"/>
      <c r="H42" s="63">
        <f>"Φύλλο 1 (C.3): " &amp; '1_Στοιχεία_Μελέτης_&amp;_Ποσότητες'!C12 &amp; " No. HEB 200 (" &amp; TEXT('1_Στοιχεία_Μελέτης_&amp;_Ποσότητες'!C14*'1_Στοιχεία_Μελέτης_&amp;_Ποσότητες'!C12,"0.0") &amp; " kg/m) @ 1.40 €/kg (1.00€ αγορά + 0.40€ επεξεργασία)"</f>
        <v/>
      </c>
    </row>
    <row r="43">
      <c r="A43" s="58" t="inlineStr">
        <is>
          <t>C.4</t>
        </is>
      </c>
      <c r="B43" s="59">
        <f>'1_Στοιχεία_Μελέτης_&amp;_Ποσότητες'!B120</f>
        <v/>
      </c>
      <c r="C43" s="60">
        <f>'1_Στοιχεία_Μελέτης_&amp;_Ποσότητες'!C120</f>
        <v/>
      </c>
      <c r="D43" s="13">
        <f>'1_Στοιχεία_Μελέτης_&amp;_Ποσότητες'!D120</f>
        <v/>
      </c>
      <c r="E43" s="61" t="n">
        <v>1.6</v>
      </c>
      <c r="F43" s="40">
        <f>ROUND(C43*E43, 2)</f>
        <v/>
      </c>
      <c r="G43" s="65" t="n"/>
      <c r="H43" s="63">
        <f>"Φύλλο 1 (C.4): Λάμες " &amp; '1_Στοιχεία_Μελέτης_&amp;_Ποσότητες'!C16 &amp; "x" &amp; '1_Στοιχεία_Μελέτης_&amp;_Ποσότητες'!C17 &amp; "x" &amp; '1_Στοιχεία_Μελέτης_&amp;_Ποσότητες'!C18 &amp; "mm (" &amp; ('1_Στοιχεία_Μελέτης_&amp;_Ποσότητες'!C66/'1_Στοιχεία_Μελέτης_&amp;_Ποσότητες'!C15) &amp; " λάμες/οπή = " &amp; ('1_Στοιχεία_Μελέτης_&amp;_Ποσότητες'!C62*('1_Στοιχεία_Μελέτης_&amp;_Ποσότητες'!C66/'1_Στοιχεία_Μελέτης_&amp;_Ποσότητες'!C15)) &amp; " τεμ.) @ 1.60 €/kg"</f>
        <v/>
      </c>
    </row>
    <row r="44">
      <c r="A44" s="58" t="inlineStr">
        <is>
          <t>C.5</t>
        </is>
      </c>
      <c r="B44" s="59">
        <f>'1_Στοιχεία_Μελέτης_&amp;_Ποσότητες'!B121</f>
        <v/>
      </c>
      <c r="C44" s="60">
        <f>'1_Στοιχεία_Μελέτης_&amp;_Ποσότητες'!C121</f>
        <v/>
      </c>
      <c r="D44" s="13">
        <f>'1_Στοιχεία_Μελέτης_&amp;_Ποσότητες'!D121</f>
        <v/>
      </c>
      <c r="E44" s="61" t="n">
        <v>1.6</v>
      </c>
      <c r="F44" s="40">
        <f>ROUND(C44*E44, 2)</f>
        <v/>
      </c>
      <c r="G44" s="65" t="n"/>
      <c r="H44" s="63">
        <f>"Φύλλο 1 (C.5): 2 γωνιές L70x70x6 × " &amp; TEXT('1_Στοιχεία_Μελέτης_&amp;_Ποσότητες'!C64,"0.00") &amp; "m (" &amp; TEXT('1_Στοιχεία_Μελέτης_&amp;_Ποσότητες'!C62*2*'1_Στοιχεία_Μελέτης_&amp;_Ποσότητες'!C64,"0.0") &amp; "m) @ 1.60 €/kg"</f>
        <v/>
      </c>
    </row>
    <row r="45">
      <c r="A45" s="58" t="inlineStr">
        <is>
          <t>C.6</t>
        </is>
      </c>
      <c r="B45" s="59">
        <f>'1_Στοιχεία_Μελέτης_&amp;_Ποσότητες'!B122</f>
        <v/>
      </c>
      <c r="C45" s="60">
        <f>'1_Στοιχεία_Μελέτης_&amp;_Ποσότητες'!C122</f>
        <v/>
      </c>
      <c r="D45" s="13">
        <f>'1_Στοιχεία_Μελέτης_&amp;_Ποσότητες'!D122</f>
        <v/>
      </c>
      <c r="E45" s="61" t="n">
        <v>2.5</v>
      </c>
      <c r="F45" s="40">
        <f>ROUND(C45*E45, 2)</f>
        <v/>
      </c>
      <c r="G45" s="65" t="n"/>
      <c r="H45" s="63">
        <f>"Φύλλο 1 (C.6): Σχάρα #Y" &amp; '1_Στοιχεία_Μελέτης_&amp;_Ποσότητες'!C21 &amp; "/" &amp; '1_Στοιχεία_Μελέτης_&amp;_Ποσότητες'!C22 &amp; " (" &amp; TEXT('1_Στοιχεία_Μελέτης_&amp;_Ποσότητες'!C78,"0.000") &amp; " kg/m²) @ 2.50 €/kg αγορά"</f>
        <v/>
      </c>
    </row>
    <row r="46">
      <c r="A46" s="58" t="inlineStr">
        <is>
          <t>C.7</t>
        </is>
      </c>
      <c r="B46" s="59">
        <f>'1_Στοιχεία_Μελέτης_&amp;_Ποσότητες'!B123</f>
        <v/>
      </c>
      <c r="C46" s="60">
        <f>'1_Στοιχεία_Μελέτης_&amp;_Ποσότητες'!C123</f>
        <v/>
      </c>
      <c r="D46" s="13">
        <f>'1_Στοιχεία_Μελέτης_&amp;_Ποσότητες'!D123</f>
        <v/>
      </c>
      <c r="E46" s="61" t="n">
        <v>15</v>
      </c>
      <c r="F46" s="40">
        <f>ROUND(C46*E46, 2)</f>
        <v/>
      </c>
      <c r="G46" s="65" t="n"/>
      <c r="H46" s="63">
        <f>"Φύλλο 1 (C.7): Εργατικά τοποθέτησης σχάρας μετώπου (" &amp; TEXT('1_Στοιχεία_Μελέτης_&amp;_Ποσότητες'!C63,"0.0") &amp; "m × " &amp; TEXT('1_Στοιχεία_Μελέτης_&amp;_Ποσότητες'!C64,"0.0") &amp; "m) @ 15.00 €/m²"</f>
        <v/>
      </c>
    </row>
    <row r="47">
      <c r="A47" s="58" t="inlineStr">
        <is>
          <t>C.8</t>
        </is>
      </c>
      <c r="B47" s="59">
        <f>'1_Στοιχεία_Μελέτης_&amp;_Ποσότητες'!B124</f>
        <v/>
      </c>
      <c r="C47" s="60">
        <f>'1_Στοιχεία_Μελέτης_&amp;_Ποσότητες'!C124</f>
        <v/>
      </c>
      <c r="D47" s="13">
        <f>'1_Στοιχεία_Μελέτης_&amp;_Ποσότητες'!D124</f>
        <v/>
      </c>
      <c r="E47" s="61" t="n">
        <v>90</v>
      </c>
      <c r="F47" s="40">
        <f>ROUND(C47*E47, 2)</f>
        <v/>
      </c>
      <c r="G47" s="65" t="n"/>
      <c r="H47" s="63">
        <f>"Φύλλο 1 (C.8): Αγορά " &amp; '1_Στοιχεία_Μελέτης_&amp;_Ποσότητες'!C23 &amp; " ονομαστικού πάχους " &amp; ('1_Στοιχεία_Μελέτης_&amp;_Ποσότητες'!C24*100) &amp; "cm @ 90.00 €/m³"</f>
        <v/>
      </c>
    </row>
    <row r="48">
      <c r="A48" s="58" t="inlineStr">
        <is>
          <t>C.9</t>
        </is>
      </c>
      <c r="B48" s="59">
        <f>'1_Στοιχεία_Μελέτης_&amp;_Ποσότητες'!B125</f>
        <v/>
      </c>
      <c r="C48" s="60">
        <f>'1_Στοιχεία_Μελέτης_&amp;_Ποσότητες'!C125</f>
        <v/>
      </c>
      <c r="D48" s="13">
        <f>'1_Στοιχεία_Μελέτης_&amp;_Ποσότητες'!D125</f>
        <v/>
      </c>
      <c r="E48" s="61">
        <f>ROUND((200*(1+'1_Στοιχεία_Μελέτης_&amp;_Ποσότητες'!C80))-90, 2)</f>
        <v/>
      </c>
      <c r="F48" s="40">
        <f>ROUND(C48*E48, 2)</f>
        <v/>
      </c>
      <c r="G48" s="65" t="n"/>
      <c r="H48" s="63">
        <f>"Φύλλο 1 (C.9): Εκτόξευση/Αντλία = Βάση 200€ × (1+" &amp; TEXT('1_Στοιχεία_Μελέτης_&amp;_Ποσότητες'!C80,"0.0%") &amp; " απώλεια) - 90€"</f>
        <v/>
      </c>
    </row>
    <row r="49">
      <c r="A49" s="58" t="inlineStr">
        <is>
          <t>C.10</t>
        </is>
      </c>
      <c r="B49" s="59">
        <f>'1_Στοιχεία_Μελέτης_&amp;_Ποσότητες'!B126</f>
        <v/>
      </c>
      <c r="C49" s="60">
        <f>'1_Στοιχεία_Μελέτης_&amp;_Ποσότητες'!C126</f>
        <v/>
      </c>
      <c r="D49" s="13">
        <f>'1_Στοιχεία_Μελέτης_&amp;_Ποσότητες'!D126</f>
        <v/>
      </c>
      <c r="E49" s="61" t="n">
        <v>30</v>
      </c>
      <c r="F49" s="40">
        <f>ROUND(C49*E49, 2)</f>
        <v/>
      </c>
      <c r="G49" s="65" t="n"/>
      <c r="H49" s="63">
        <f>"Φύλλο 1 (C.10): Διάτρηση " &amp; '1_Στοιχεία_Μελέτης_&amp;_Ποσότητες'!C129 &amp; " αγκυρώσεων Ø" &amp; ('1_Στοιχεία_Μελέτης_&amp;_Ποσότητες'!C26*1000) &amp; "mm (Σειρές 1-3: " &amp; '1_Στοιχεία_Μελέτης_&amp;_Ποσότητες'!C67 &amp; "m, " &amp; '1_Στοιχεία_Μελέτης_&amp;_Ποσότητες'!C69 &amp; "m, " &amp; '1_Στοιχεία_Μελέτης_&amp;_Ποσότητες'!C71 &amp; "m) @ 30.00 €/m"</f>
        <v/>
      </c>
    </row>
    <row r="50">
      <c r="A50" s="58" t="inlineStr">
        <is>
          <t>C.11</t>
        </is>
      </c>
      <c r="B50" s="59">
        <f>'1_Στοιχεία_Μελέτης_&amp;_Ποσότητες'!B127</f>
        <v/>
      </c>
      <c r="C50" s="60">
        <f>'1_Στοιχεία_Μελέτης_&amp;_Ποσότητες'!C127</f>
        <v/>
      </c>
      <c r="D50" s="13">
        <f>'1_Στοιχεία_Μελέτης_&amp;_Ποσότητες'!D127</f>
        <v/>
      </c>
      <c r="E50" s="61" t="n">
        <v>500</v>
      </c>
      <c r="F50" s="40">
        <f>ROUND(C50*E50, 2)</f>
        <v/>
      </c>
      <c r="G50" s="65" t="n"/>
      <c r="H50" s="63">
        <f>"Φύλλο 1 (C.11): Grout Ø" &amp; ('1_Στοιχεία_Μελέτης_&amp;_Ποσότητες'!C26*1000) &amp; "mm με απώλεια " &amp; TEXT('1_Στοιχεία_Μελέτης_&amp;_Ποσότητες'!C27,"0.00") &amp; " (" &amp; TEXT('1_Στοιχεία_Μελέτης_&amp;_Ποσότητες'!C79,"0.000000") &amp; " m³/m) @ 500.00 €/m³"</f>
        <v/>
      </c>
    </row>
    <row r="51">
      <c r="A51" s="58" t="inlineStr">
        <is>
          <t>C.12</t>
        </is>
      </c>
      <c r="B51" s="59">
        <f>'1_Στοιχεία_Μελέτης_&amp;_Ποσότητες'!B128</f>
        <v/>
      </c>
      <c r="C51" s="60">
        <f>'1_Στοιχεία_Μελέτης_&amp;_Ποσότητες'!C128</f>
        <v/>
      </c>
      <c r="D51" s="13">
        <f>'1_Στοιχεία_Μελέτης_&amp;_Ποσότητες'!D128</f>
        <v/>
      </c>
      <c r="E51" s="61" t="n">
        <v>2.28</v>
      </c>
      <c r="F51" s="40">
        <f>ROUND(C51*E51, 2)</f>
        <v/>
      </c>
      <c r="G51" s="65" t="n"/>
      <c r="H51" s="63">
        <f>"Φύλλο 1 (C.12): " &amp; '1_Στοιχεία_Μελέτης_&amp;_Ποσότητες'!C129 &amp; " αγκυρώσεις " &amp; '1_Στοιχεία_Μελέτης_&amp;_Ποσότητες'!C68 &amp; "-strands (Σειρές 1-3: L=" &amp; '1_Στοιχεία_Μελέτης_&amp;_Ποσότητες'!C67 &amp; "m, " &amp; '1_Στοιχεία_Μελέτης_&amp;_Ποσότητες'!C69 &amp; "m, " &amp; '1_Στοιχεία_Μελέτης_&amp;_Ποσότητες'!C71 &amp; "m, +" &amp; TEXT('1_Στοιχεία_Μελέτης_&amp;_Ποσότητες'!C28,"0.0") &amp; "m) @ 2.28 €/m"</f>
        <v/>
      </c>
    </row>
    <row r="52">
      <c r="A52" s="58" t="inlineStr">
        <is>
          <t>C.13</t>
        </is>
      </c>
      <c r="B52" s="59">
        <f>'1_Στοιχεία_Μελέτης_&amp;_Ποσότητες'!B129</f>
        <v/>
      </c>
      <c r="C52" s="66">
        <f>'1_Στοιχεία_Μελέτης_&amp;_Ποσότητες'!C129</f>
        <v/>
      </c>
      <c r="D52" s="13">
        <f>'1_Στοιχεία_Μελέτης_&amp;_Ποσότητες'!D129</f>
        <v/>
      </c>
      <c r="E52" s="61" t="n">
        <v>18</v>
      </c>
      <c r="F52" s="40">
        <f>ROUND(C52*E52, 2)</f>
        <v/>
      </c>
      <c r="G52" s="65" t="n"/>
      <c r="H52" s="63">
        <f>"Φύλλο 1 (C.13): Προένταση (Stressing &amp; Lock-off) " &amp; '1_Στοιχεία_Μελέτης_&amp;_Ποσότητες'!C129 &amp; " αγκυρώσεων Type C @ 18.00 €/No"</f>
        <v/>
      </c>
    </row>
    <row r="53">
      <c r="A53" s="67" t="inlineStr">
        <is>
          <t>C.14</t>
        </is>
      </c>
      <c r="B53" s="68">
        <f>'1_Στοιχεία_Μελέτης_&amp;_Ποσότητες'!B130</f>
        <v/>
      </c>
      <c r="C53" s="69">
        <f>'1_Στοιχεία_Μελέτης_&amp;_Ποσότητες'!C130</f>
        <v/>
      </c>
      <c r="D53" s="24">
        <f>'1_Στοιχεία_Μελέτης_&amp;_Ποσότητες'!D130</f>
        <v/>
      </c>
      <c r="E53" s="70" t="n">
        <v>55</v>
      </c>
      <c r="F53" s="71">
        <f>ROUND(C53*E53, 2)</f>
        <v/>
      </c>
      <c r="G53" s="72" t="n"/>
      <c r="H53" s="73">
        <f>"Φύλλο 1 (C.14): Πλήρες σετ κεφαλής (Head, Wedges, Plate) " &amp; '1_Στοιχεία_Μελέτης_&amp;_Ποσότητες'!C130 &amp; " αγκυρώσεων Type C @ 55.00 €/No"</f>
        <v/>
      </c>
    </row>
    <row r="54"/>
    <row r="55">
      <c r="A55" s="54" t="inlineStr">
        <is>
          <t>ΠΥΛ. 1</t>
        </is>
      </c>
      <c r="B55" s="55">
        <f>"ΜΕΤΑΚΙΝΗΣΕΙΣ ΜΗΧΑΝΗΜΑΤΩΝ &amp; ΣΥΝΕΡΓΕΙΩΝ ΕΡΓΟΥ (MOBILIZATION — 3 ΕΙΔΗ)"</f>
        <v/>
      </c>
      <c r="C55" s="56">
        <f>'1_Στοιχεία_Μελέτης_&amp;_Ποσότητες'!C137</f>
        <v/>
      </c>
      <c r="D55" s="54" t="inlineStr">
        <is>
          <t>τρ.μ.</t>
        </is>
      </c>
      <c r="E55" s="56">
        <f>ROUND(F55/C55, 2)</f>
        <v/>
      </c>
      <c r="F55" s="56">
        <f>SUM(F56:F58)</f>
        <v/>
      </c>
      <c r="G55" s="54" t="inlineStr">
        <is>
          <t>ΤΕΛ. ΣΥΝΟΛΑ</t>
        </is>
      </c>
      <c r="H55" s="57" t="inlineStr">
        <is>
          <t>Σύνολο Πυλώνα 1 (Μετακινήσεις Μεγάλου Τρυπανιού, Αγκυρώσεων &amp; Shotcrete)</t>
        </is>
      </c>
    </row>
    <row r="56">
      <c r="A56" s="58" t="inlineStr">
        <is>
          <t>M.1</t>
        </is>
      </c>
      <c r="B56" s="59">
        <f>'1_Στοιχεία_Μελέτης_&amp;_Ποσότητες'!B133</f>
        <v/>
      </c>
      <c r="C56" s="66">
        <f>'1_Στοιχεία_Μελέτης_&amp;_Ποσότητες'!C133</f>
        <v/>
      </c>
      <c r="D56" s="13">
        <f>'1_Στοιχεία_Μελέτης_&amp;_Ποσότητες'!D133</f>
        <v/>
      </c>
      <c r="E56" s="61" t="n">
        <v>1500</v>
      </c>
      <c r="F56" s="40">
        <f>ROUND(C56*E56, 2)</f>
        <v/>
      </c>
      <c r="G56" s="62">
        <f>F55</f>
        <v/>
      </c>
      <c r="H56" s="63">
        <f>"Βάση Λεμεσός (" &amp; '1_Στοιχεία_Μελέτης_&amp;_Ποσότητες'!C8 &amp; " km από έδρα Αγίου Συλά: 1,500.00 € βασική τιμή)"</f>
        <v/>
      </c>
    </row>
    <row r="57">
      <c r="A57" s="58" t="inlineStr">
        <is>
          <t>M.2</t>
        </is>
      </c>
      <c r="B57" s="59">
        <f>'1_Στοιχεία_Μελέτης_&amp;_Ποσότητες'!B134</f>
        <v/>
      </c>
      <c r="C57" s="66">
        <f>'1_Στοιχεία_Μελέτης_&amp;_Ποσότητες'!C134</f>
        <v/>
      </c>
      <c r="D57" s="13">
        <f>'1_Στοιχεία_Μελέτης_&amp;_Ποσότητες'!D134</f>
        <v/>
      </c>
      <c r="E57" s="61" t="n">
        <v>300</v>
      </c>
      <c r="F57" s="40">
        <f>ROUND(C57*E57, 2)</f>
        <v/>
      </c>
      <c r="G57" s="65" t="n"/>
      <c r="H57" s="63">
        <f>"=" &amp; '1_Στοιχεία_Μελέτης_&amp;_Ποσότητες'!C134 &amp; " στράτες εξοπλισμού αγκυρώσεων (όσες οι σειρές αγκυρώσεων = " &amp; '1_Στοιχεία_Μελέτης_&amp;_Ποσότητες'!C9 &amp; ") @ 300.00 €"</f>
        <v/>
      </c>
    </row>
    <row r="58">
      <c r="A58" s="67" t="inlineStr">
        <is>
          <t>M.3</t>
        </is>
      </c>
      <c r="B58" s="68">
        <f>'1_Στοιχεία_Μελέτης_&amp;_Ποσότητες'!B135</f>
        <v/>
      </c>
      <c r="C58" s="69">
        <f>'1_Στοιχεία_Μελέτης_&amp;_Ποσότητες'!C135</f>
        <v/>
      </c>
      <c r="D58" s="24">
        <f>'1_Στοιχεία_Μελέτης_&amp;_Ποσότητες'!D135</f>
        <v/>
      </c>
      <c r="E58" s="70" t="n">
        <v>200</v>
      </c>
      <c r="F58" s="71">
        <f>ROUND(C58*E58, 2)</f>
        <v/>
      </c>
      <c r="G58" s="72" t="n"/>
      <c r="H58" s="73">
        <f>"=" &amp; '1_Στοιχεία_Μελέτης_&amp;_Ποσότητες'!C135 &amp; " στράτες συνεργείου &amp; αντλίας shotcrete (σειρές + 1 = " &amp; ('1_Στοιχεία_Μελέτης_&amp;_Ποσότητες'!C9+1) &amp; ") @ 200.00 €"</f>
        <v/>
      </c>
    </row>
    <row r="59"/>
    <row r="60">
      <c r="A60" s="74" t="inlineStr">
        <is>
          <t>ΣΥΓΚΕΝΤΡΩΤΙΚΟΣ ΠΙΝΑΚΑΣ ΕΡΓΟΥ (ΑΝΑ ΤΥΠΟ BERLIN WALL &amp; ΑΝΑ ΠΥΛΩΝΑ) — ΤΕΛΙΚΟ ΣΥΝΟΛΟ &amp; KPIs</t>
        </is>
      </c>
      <c r="B60" s="75" t="n"/>
      <c r="C60" s="75" t="n"/>
      <c r="D60" s="75" t="n"/>
      <c r="E60" s="75" t="n"/>
      <c r="F60" s="75" t="n"/>
      <c r="G60" s="75" t="n"/>
      <c r="H60" s="76" t="n"/>
    </row>
    <row r="61">
      <c r="A61" s="10" t="inlineStr">
        <is>
          <t>TYPE A</t>
        </is>
      </c>
      <c r="B61" s="19">
        <f>"ΣΥΝΟΛΟ BERLIN WALL TYPE A (" &amp; '1_Στοιχεία_Μελέτης_&amp;_Ποσότητες'!C32 &amp; "No HEB 220, L=" &amp; TEXT('1_Στοιχεία_Μελέτης_&amp;_Ποσότητες'!C36,"0.0") &amp; "m, H=" &amp; TEXT('1_Στοιχεία_Μελέτης_&amp;_Ποσότητες'!C34,"0.0") &amp; "m, " &amp; TEXT('1_Στοιχεία_Μελέτης_&amp;_Ποσότητες'!C33,"0.00") &amp; " τρ.μ.)"</f>
        <v/>
      </c>
      <c r="C61" s="77">
        <f>C5</f>
        <v/>
      </c>
      <c r="D61" s="13" t="inlineStr">
        <is>
          <t>τρ.μ.</t>
        </is>
      </c>
      <c r="E61" s="77">
        <f>E5</f>
        <v/>
      </c>
      <c r="F61" s="60">
        <f>F5</f>
        <v/>
      </c>
      <c r="G61" s="78">
        <f>F61</f>
        <v/>
      </c>
      <c r="H61" s="15">
        <f>"Περιλαμβάνει H-Beams, Σχάρα/Shotcrete &amp; " &amp; '1_Στοιχεία_Μελέτης_&amp;_Ποσότητες'!C96 &amp; " Αγκυρώσεις Τοίχου Α"</f>
        <v/>
      </c>
    </row>
    <row r="62">
      <c r="A62" s="10" t="inlineStr">
        <is>
          <t>TYPE B</t>
        </is>
      </c>
      <c r="B62" s="19">
        <f>"ΣΥΝΟΛΟ BERLIN WALL TYPE B (" &amp; '1_Στοιχεία_Μελέτης_&amp;_Ποσότητες'!C47 &amp; "No HEB 200, L=" &amp; TEXT('1_Στοιχεία_Μελέτης_&amp;_Ποσότητες'!C51,"0.0") &amp; "m, H=" &amp; TEXT('1_Στοιχεία_Μελέτης_&amp;_Ποσότητες'!C49,"0.0") &amp; "m, " &amp; TEXT('1_Στοιχεία_Μελέτης_&amp;_Ποσότητες'!C48,"0.00") &amp; " τρ.μ.)"</f>
        <v/>
      </c>
      <c r="C62" s="77">
        <f>C22</f>
        <v/>
      </c>
      <c r="D62" s="13" t="inlineStr">
        <is>
          <t>τρ.μ.</t>
        </is>
      </c>
      <c r="E62" s="77">
        <f>E22</f>
        <v/>
      </c>
      <c r="F62" s="60">
        <f>F22</f>
        <v/>
      </c>
      <c r="G62" s="78">
        <f>F62</f>
        <v/>
      </c>
      <c r="H62" s="15">
        <f>"Περιλαμβάνει H-Beams, Σχάρα/Shotcrete &amp; " &amp; '1_Στοιχεία_Μελέτης_&amp;_Ποσότητες'!C113 &amp; " Αγκυρώσεις Τοίχου Β"</f>
        <v/>
      </c>
    </row>
    <row r="63">
      <c r="A63" s="10" t="inlineStr">
        <is>
          <t>TYPE C</t>
        </is>
      </c>
      <c r="B63" s="19">
        <f>"ΣΥΝΟΛΟ BERLIN WALL TYPE C (" &amp; '1_Στοιχεία_Μελέτης_&amp;_Ποσότητες'!C62 &amp; "No HEB 200, L=" &amp; TEXT('1_Στοιχεία_Μελέτης_&amp;_Ποσότητες'!C66,"0.0") &amp; "m, H=" &amp; TEXT('1_Στοιχεία_Μελέτης_&amp;_Ποσότητες'!C64,"0.0") &amp; "m, " &amp; TEXT('1_Στοιχεία_Μελέτης_&amp;_Ποσότητες'!C63,"0.00") &amp; " τρ.μ.)"</f>
        <v/>
      </c>
      <c r="C63" s="77">
        <f>C39</f>
        <v/>
      </c>
      <c r="D63" s="13" t="inlineStr">
        <is>
          <t>τρ.μ.</t>
        </is>
      </c>
      <c r="E63" s="77">
        <f>E39</f>
        <v/>
      </c>
      <c r="F63" s="60">
        <f>F39</f>
        <v/>
      </c>
      <c r="G63" s="78">
        <f>F63</f>
        <v/>
      </c>
      <c r="H63" s="15">
        <f>"Περιλαμβάνει H-Beams, Σχάρα/Shotcrete &amp; " &amp; '1_Στοιχεία_Μελέτης_&amp;_Ποσότητες'!C129 &amp; " Αγκυρώσεις Τοίχου Γ"</f>
        <v/>
      </c>
    </row>
    <row r="64">
      <c r="A64" s="10" t="inlineStr">
        <is>
          <t>ΠΥΛ. 1</t>
        </is>
      </c>
      <c r="B64" s="19" t="inlineStr">
        <is>
          <t>ΣΥΝΟΛΟ ΜΕΤΑΚΙΝΗΣΕΩΝ ΕΡΓΟΥ (Μεγάλο Τρυπάνι + Αγκυρώσεις + Shotcrete)</t>
        </is>
      </c>
      <c r="C64" s="79">
        <f>'1_Στοιχεία_Μελέτης_&amp;_Ποσότητες'!C133+'1_Στοιχεία_Μελέτης_&amp;_Ποσότητες'!C134+'1_Στοιχεία_Μελέτης_&amp;_Ποσότητες'!C135</f>
        <v/>
      </c>
      <c r="D64" s="13" t="inlineStr">
        <is>
          <t>στράτες</t>
        </is>
      </c>
      <c r="E64" s="13" t="inlineStr">
        <is>
          <t>-</t>
        </is>
      </c>
      <c r="F64" s="60">
        <f>F55</f>
        <v/>
      </c>
      <c r="G64" s="78">
        <f>F64</f>
        <v/>
      </c>
      <c r="H64" s="15">
        <f>"Πάγιες μετακινήσεις εργοταξίου Λεμεσού (" &amp; '1_Στοιχεία_Μελέτης_&amp;_Ποσότητες'!C133 &amp; " + " &amp; '1_Στοιχεία_Μελέτης_&amp;_Ποσότητες'!C134 &amp; " + " &amp; '1_Στοιχεία_Μελέτης_&amp;_Ποσότητες'!C135 &amp; " = " &amp; ('1_Στοιχεία_Μελέτης_&amp;_Ποσότητες'!C133+'1_Στοιχεία_Μελέτης_&amp;_Ποσότητες'!C134+'1_Στοιχεία_Μελέτης_&amp;_Ποσότητες'!C135) &amp; " στράτες)"</f>
        <v/>
      </c>
    </row>
    <row r="65">
      <c r="A65" s="10" t="inlineStr">
        <is>
          <t>ΠΥΛ. 2</t>
        </is>
      </c>
      <c r="B65" s="14">
        <f>"Cross-Check Πυλώνα 2: Σύνολο Σχαρών (#Y" &amp; '1_Στοιχεία_Μελέτης_&amp;_Ποσότητες'!C21 &amp; "/" &amp; '1_Στοιχεία_Μελέτης_&amp;_Ποσότητες'!C22 &amp; ") &amp; Shotcrete " &amp; '1_Στοιχεία_Μελέτης_&amp;_Ποσότητες'!C23 &amp; " (Type A+B+C)"</f>
        <v/>
      </c>
      <c r="C65" s="77">
        <f>'1_Στοιχεία_Μελέτης_&amp;_Ποσότητες'!C138</f>
        <v/>
      </c>
      <c r="D65" s="13" t="inlineStr">
        <is>
          <t>m²</t>
        </is>
      </c>
      <c r="E65" s="77">
        <f>ROUND(G65/C65, 2)</f>
        <v/>
      </c>
      <c r="F65" s="60">
        <f>SUM(F11:F14)+SUM(F28:F31)+SUM(F45:F48)</f>
        <v/>
      </c>
      <c r="G65" s="40">
        <f>F65</f>
        <v/>
      </c>
      <c r="H65" s="15" t="inlineStr">
        <is>
          <t>Άθροισμα A.6–A.9 + B.6–B.9 + C.6–C.9</t>
        </is>
      </c>
    </row>
    <row r="66">
      <c r="A66" s="10" t="inlineStr">
        <is>
          <t>ΠΥΛ. 3</t>
        </is>
      </c>
      <c r="B66" s="14" t="inlineStr">
        <is>
          <t>Cross-Check Πυλώνα 3: Σύνολο H-Beams / Νεφκών HEB 220 &amp; HEB 200 (Type A+B+C)</t>
        </is>
      </c>
      <c r="C66" s="79">
        <f>'1_Στοιχεία_Μελέτης_&amp;_Ποσότητες'!C136</f>
        <v/>
      </c>
      <c r="D66" s="13" t="inlineStr">
        <is>
          <t>πάσσαλοι</t>
        </is>
      </c>
      <c r="E66" s="77">
        <f>ROUND(G66/C66, 2)</f>
        <v/>
      </c>
      <c r="F66" s="60">
        <f>SUM(F6:F10)+SUM(F23:F27)+SUM(F40:F44)</f>
        <v/>
      </c>
      <c r="G66" s="40">
        <f>F66</f>
        <v/>
      </c>
      <c r="H66" s="15" t="inlineStr">
        <is>
          <t>Άθροισμα A.1–A.5 + B.1–B.5 + C.1–C.5</t>
        </is>
      </c>
    </row>
    <row r="67">
      <c r="A67" s="10" t="inlineStr">
        <is>
          <t>ΠΥΛ. 4</t>
        </is>
      </c>
      <c r="B67" s="14">
        <f>"Cross-Check Πυλώνα 4: Σύνολο Αγκυρώσεων Tieback (Type A+B+C — " &amp; '1_Στοιχεία_Μελέτης_&amp;_Ποσότητες'!C147 &amp; " τεμ.)"</f>
        <v/>
      </c>
      <c r="C67" s="79">
        <f>'1_Στοιχεία_Μελέτης_&amp;_Ποσότητες'!C147</f>
        <v/>
      </c>
      <c r="D67" s="13" t="inlineStr">
        <is>
          <t>αγκυρώσεις</t>
        </is>
      </c>
      <c r="E67" s="77">
        <f>ROUND(G67/C67, 2)</f>
        <v/>
      </c>
      <c r="F67" s="60">
        <f>SUM(F15:F20)+SUM(F32:F37)+SUM(F49:F53)</f>
        <v/>
      </c>
      <c r="G67" s="40">
        <f>F67</f>
        <v/>
      </c>
      <c r="H67" s="15" t="inlineStr">
        <is>
          <t>Άθροισμα A.10–A.15 + B.10–B.15 + C.10–C.14</t>
        </is>
      </c>
    </row>
    <row r="68">
      <c r="A68" s="80" t="inlineStr">
        <is>
          <t>ΤΕΛΙΚΟ</t>
        </is>
      </c>
      <c r="B68" s="81" t="inlineStr">
        <is>
          <t>ΤΕΛΙΚΟ ΣΥΝΟΛΟ ΠΡΟΣΦΟΡΑΣ BERLIN WALL (TYPE A + TYPE B + TYPE C + ΜΕΤΑΚΙΝΗΣΕΙΣ)</t>
        </is>
      </c>
      <c r="C68" s="82">
        <f>'1_Στοιχεία_Μελέτης_&amp;_Ποσότητες'!C137</f>
        <v/>
      </c>
      <c r="D68" s="83" t="inlineStr">
        <is>
          <t>τρ.μ.</t>
        </is>
      </c>
      <c r="E68" s="82">
        <f>ROUND(G68/C68, 2)</f>
        <v/>
      </c>
      <c r="F68" s="84">
        <f>SUM(F61:F64)</f>
        <v/>
      </c>
      <c r="G68" s="84">
        <f>F68</f>
        <v/>
      </c>
      <c r="H68" s="85">
        <f>"Ισούται ακριβώς με το άθροισμα των 4 Πυλώνων (" &amp; TEXT(SUM(F64:F67),"#,##0.00") &amp; " €)"</f>
        <v/>
      </c>
    </row>
    <row r="69"/>
    <row r="70">
      <c r="A70" s="86" t="inlineStr">
        <is>
          <t>ΒΑΣΙΚΟΙ ΔΕΙΚΤΕΣ ΚΟΣΤΟΥΣ &amp; VALUE ENGINEERING (KPIs)</t>
        </is>
      </c>
      <c r="B70" s="75" t="n"/>
      <c r="C70" s="75" t="n"/>
      <c r="D70" s="75" t="n"/>
      <c r="E70" s="75" t="n"/>
      <c r="F70" s="75" t="n"/>
      <c r="G70" s="75" t="n"/>
      <c r="H70" s="76" t="n"/>
    </row>
    <row r="71">
      <c r="A71" s="10" t="inlineStr">
        <is>
          <t>KPI 1</t>
        </is>
      </c>
      <c r="B71" s="19" t="inlineStr">
        <is>
          <t>Συνολικό Κόστος ανά m² Μετώπου Εκσκαφής</t>
        </is>
      </c>
      <c r="C71" s="77">
        <f>'1_Στοιχεία_Μελέτης_&amp;_Ποσότητες'!C138</f>
        <v/>
      </c>
      <c r="D71" s="13" t="inlineStr">
        <is>
          <t>€ / m²</t>
        </is>
      </c>
      <c r="E71" s="87" t="n"/>
      <c r="F71" s="87" t="n"/>
      <c r="G71" s="40">
        <f>ROUND(G68/'1_Στοιχεία_Μελέτης_&amp;_Ποσότητες'!C138, 2)</f>
        <v/>
      </c>
      <c r="H71" s="15">
        <f>"Τελικό Σύνολο / " &amp; TEXT('1_Στοιχεία_Μελέτης_&amp;_Ποσότητες'!C138,"#,##0.00") &amp; " m²"</f>
        <v/>
      </c>
    </row>
    <row r="72">
      <c r="A72" s="10" t="inlineStr">
        <is>
          <t>KPI 2</t>
        </is>
      </c>
      <c r="B72" s="19" t="inlineStr">
        <is>
          <t>Συνολικό Κόστος ανά Τρέχον Μέτρο Περιμέτρου</t>
        </is>
      </c>
      <c r="C72" s="77">
        <f>'1_Στοιχεία_Μελέτης_&amp;_Ποσότητες'!C137</f>
        <v/>
      </c>
      <c r="D72" s="13" t="inlineStr">
        <is>
          <t>€ / τρ.μ.</t>
        </is>
      </c>
      <c r="E72" s="87" t="n"/>
      <c r="F72" s="87" t="n"/>
      <c r="G72" s="40">
        <f>ROUND(G68/'1_Στοιχεία_Μελέτης_&amp;_Ποσότητες'!C137, 2)</f>
        <v/>
      </c>
      <c r="H72" s="15">
        <f>"Τελικό Σύνολο / " &amp; TEXT('1_Στοιχεία_Μελέτης_&amp;_Ποσότητες'!C137,"#,##0.00") &amp; " τρ.μ."</f>
        <v/>
      </c>
    </row>
    <row r="73">
      <c r="A73" s="10" t="inlineStr">
        <is>
          <t>KPI 3</t>
        </is>
      </c>
      <c r="B73" s="19" t="inlineStr">
        <is>
          <t>Συνολικό Κόστος ανά Πάσσαλο / Οπή Berlin Wall</t>
        </is>
      </c>
      <c r="C73" s="77">
        <f>'1_Στοιχεία_Μελέτης_&amp;_Ποσότητες'!C136</f>
        <v/>
      </c>
      <c r="D73" s="13" t="inlineStr">
        <is>
          <t>€ / πάσσαλο</t>
        </is>
      </c>
      <c r="E73" s="87" t="n"/>
      <c r="F73" s="87" t="n"/>
      <c r="G73" s="40">
        <f>ROUND(G68/'1_Στοιχεία_Μελέτης_&amp;_Ποσότητες'!C136, 2)</f>
        <v/>
      </c>
      <c r="H73" s="15">
        <f>"Τελικό Σύνολο / " &amp; '1_Στοιχεία_Μελέτης_&amp;_Ποσότητες'!C136 &amp; " πασσάλους"</f>
        <v/>
      </c>
    </row>
    <row r="74">
      <c r="A74" s="21" t="inlineStr">
        <is>
          <t>KPI 4</t>
        </is>
      </c>
      <c r="B74" s="50">
        <f>"Μέσο Κόστος ανά Πλήρη Αγκύρωση (Πυλώνας 4 / " &amp; '1_Στοιχεία_Μελέτης_&amp;_Ποσότητες'!C147 &amp; " τεμ.)"</f>
        <v/>
      </c>
      <c r="C74" s="88">
        <f>'1_Στοιχεία_Μελέτης_&amp;_Ποσότητες'!C147</f>
        <v/>
      </c>
      <c r="D74" s="24" t="inlineStr">
        <is>
          <t>€ / αγκύρωση</t>
        </is>
      </c>
      <c r="E74" s="89" t="n"/>
      <c r="F74" s="89" t="n"/>
      <c r="G74" s="71">
        <f>ROUND(G67/'1_Στοιχεία_Μελέτης_&amp;_Ποσότητες'!C147, 2)</f>
        <v/>
      </c>
      <c r="H74" s="26">
        <f>"Σύνολο Πυλώνα 4 / " &amp; '1_Στοιχεία_Μελέτης_&amp;_Ποσότητες'!C147 &amp; " αγκυρώσεις"</f>
        <v/>
      </c>
    </row>
  </sheetData>
  <mergeCells count="6">
    <mergeCell ref="A70:H70"/>
    <mergeCell ref="G23:G37"/>
    <mergeCell ref="G56:G58"/>
    <mergeCell ref="A60:H60"/>
    <mergeCell ref="G6:G20"/>
    <mergeCell ref="G40:G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90" t="inlineStr">
        <is>
          <t>ΒΙΒΛΙΟΘΗΚΗ ΔΙΑΤΟΜΩΝ ΧΑΛΥΒΑ (EUROPEAN STRUCTURAL STEEL PROFILES)</t>
        </is>
      </c>
    </row>
    <row r="2">
      <c r="A2" s="91" t="inlineStr">
        <is>
          <t>Τεχνικά χαρακτηριστικά &amp; βάρη ανά μέτρο για διατομές HEA, HEB, UPN &amp; Γωνιών (L)</t>
        </is>
      </c>
      <c r="B2" s="91" t="n"/>
      <c r="C2" s="91" t="n"/>
      <c r="D2" s="91" t="n"/>
      <c r="E2" s="91" t="n"/>
      <c r="F2" s="91" t="n"/>
      <c r="G2" s="91" t="n"/>
    </row>
    <row r="3">
      <c r="A3" s="91" t="n"/>
      <c r="B3" s="91" t="n"/>
      <c r="C3" s="91" t="n"/>
      <c r="D3" s="91" t="n"/>
      <c r="E3" s="91" t="n"/>
      <c r="F3" s="91" t="n"/>
      <c r="G3" s="91" t="n"/>
    </row>
    <row r="4">
      <c r="A4" s="92" t="inlineStr">
        <is>
          <t>1. ΔΙΑΤΟΜΕΣ HEA (Ευρωπαϊκά Πλατύπελμα Ελαφρού Τύπου)</t>
        </is>
      </c>
      <c r="B4" s="93" t="n"/>
      <c r="C4" s="93" t="n"/>
      <c r="D4" s="93" t="n"/>
      <c r="E4" s="93" t="n"/>
      <c r="F4" s="93" t="n"/>
      <c r="G4" s="94" t="n"/>
    </row>
    <row r="5">
      <c r="A5" s="95" t="inlineStr">
        <is>
          <t>Ονομασία Διατομής</t>
        </is>
      </c>
      <c r="B5" s="95" t="inlineStr">
        <is>
          <t>Ύψος h (mm)</t>
        </is>
      </c>
      <c r="C5" s="95" t="inlineStr">
        <is>
          <t>Πλάτος b (mm)</t>
        </is>
      </c>
      <c r="D5" s="95" t="inlineStr">
        <is>
          <t>Πάχος tw (mm)</t>
        </is>
      </c>
      <c r="E5" s="95" t="inlineStr">
        <is>
          <t>Πάχος tf (mm)</t>
        </is>
      </c>
      <c r="F5" s="95" t="inlineStr">
        <is>
          <t>Διατομή A (cm²)</t>
        </is>
      </c>
      <c r="G5" s="95" t="inlineStr">
        <is>
          <t>Βάρος (kg / m)</t>
        </is>
      </c>
    </row>
    <row r="6">
      <c r="A6" s="92" t="inlineStr">
        <is>
          <t>HEA 140</t>
        </is>
      </c>
      <c r="B6" s="96" t="n">
        <v>133</v>
      </c>
      <c r="C6" s="96" t="n">
        <v>140</v>
      </c>
      <c r="D6" s="97" t="n">
        <v>5.5</v>
      </c>
      <c r="E6" s="97" t="n">
        <v>8.5</v>
      </c>
      <c r="F6" s="97" t="n">
        <v>31.4</v>
      </c>
      <c r="G6" s="98" t="n">
        <v>24.7</v>
      </c>
    </row>
    <row r="7">
      <c r="A7" s="92" t="inlineStr">
        <is>
          <t>HEA 160</t>
        </is>
      </c>
      <c r="B7" s="96" t="n">
        <v>152</v>
      </c>
      <c r="C7" s="96" t="n">
        <v>160</v>
      </c>
      <c r="D7" s="96" t="n">
        <v>6</v>
      </c>
      <c r="E7" s="96" t="n">
        <v>9</v>
      </c>
      <c r="F7" s="97" t="n">
        <v>38.8</v>
      </c>
      <c r="G7" s="98" t="n">
        <v>30.4</v>
      </c>
    </row>
    <row r="8">
      <c r="A8" s="92" t="inlineStr">
        <is>
          <t>HEA 180</t>
        </is>
      </c>
      <c r="B8" s="96" t="n">
        <v>171</v>
      </c>
      <c r="C8" s="96" t="n">
        <v>180</v>
      </c>
      <c r="D8" s="96" t="n">
        <v>6</v>
      </c>
      <c r="E8" s="97" t="n">
        <v>9.5</v>
      </c>
      <c r="F8" s="97" t="n">
        <v>45.3</v>
      </c>
      <c r="G8" s="98" t="n">
        <v>35.5</v>
      </c>
    </row>
    <row r="9">
      <c r="A9" s="92" t="inlineStr">
        <is>
          <t>HEA 200</t>
        </is>
      </c>
      <c r="B9" s="96" t="n">
        <v>190</v>
      </c>
      <c r="C9" s="96" t="n">
        <v>200</v>
      </c>
      <c r="D9" s="97" t="n">
        <v>6.5</v>
      </c>
      <c r="E9" s="96" t="n">
        <v>10</v>
      </c>
      <c r="F9" s="97" t="n">
        <v>53.8</v>
      </c>
      <c r="G9" s="98" t="n">
        <v>42.3</v>
      </c>
    </row>
    <row r="10">
      <c r="A10" s="92" t="inlineStr">
        <is>
          <t>HEA 220</t>
        </is>
      </c>
      <c r="B10" s="96" t="n">
        <v>210</v>
      </c>
      <c r="C10" s="96" t="n">
        <v>220</v>
      </c>
      <c r="D10" s="96" t="n">
        <v>7</v>
      </c>
      <c r="E10" s="96" t="n">
        <v>11</v>
      </c>
      <c r="F10" s="97" t="n">
        <v>64.3</v>
      </c>
      <c r="G10" s="98" t="n">
        <v>50.5</v>
      </c>
    </row>
    <row r="11">
      <c r="A11" s="92" t="inlineStr">
        <is>
          <t>HEA 240</t>
        </is>
      </c>
      <c r="B11" s="96" t="n">
        <v>230</v>
      </c>
      <c r="C11" s="96" t="n">
        <v>240</v>
      </c>
      <c r="D11" s="97" t="n">
        <v>7.5</v>
      </c>
      <c r="E11" s="96" t="n">
        <v>12</v>
      </c>
      <c r="F11" s="97" t="n">
        <v>76.8</v>
      </c>
      <c r="G11" s="98" t="n">
        <v>60.3</v>
      </c>
    </row>
    <row r="12">
      <c r="A12" s="92" t="inlineStr">
        <is>
          <t>HEA 260</t>
        </is>
      </c>
      <c r="B12" s="96" t="n">
        <v>250</v>
      </c>
      <c r="C12" s="96" t="n">
        <v>260</v>
      </c>
      <c r="D12" s="97" t="n">
        <v>7.5</v>
      </c>
      <c r="E12" s="97" t="n">
        <v>12.5</v>
      </c>
      <c r="F12" s="97" t="n">
        <v>86.8</v>
      </c>
      <c r="G12" s="98" t="n">
        <v>68.2</v>
      </c>
    </row>
    <row r="13">
      <c r="A13" s="92" t="inlineStr">
        <is>
          <t>HEA 280</t>
        </is>
      </c>
      <c r="B13" s="96" t="n">
        <v>270</v>
      </c>
      <c r="C13" s="96" t="n">
        <v>280</v>
      </c>
      <c r="D13" s="96" t="n">
        <v>8</v>
      </c>
      <c r="E13" s="96" t="n">
        <v>13</v>
      </c>
      <c r="F13" s="97" t="n">
        <v>97.3</v>
      </c>
      <c r="G13" s="98" t="n">
        <v>76.40000000000001</v>
      </c>
    </row>
    <row r="14">
      <c r="A14" s="92" t="inlineStr">
        <is>
          <t>HEA 300</t>
        </is>
      </c>
      <c r="B14" s="96" t="n">
        <v>290</v>
      </c>
      <c r="C14" s="96" t="n">
        <v>300</v>
      </c>
      <c r="D14" s="97" t="n">
        <v>8.5</v>
      </c>
      <c r="E14" s="96" t="n">
        <v>14</v>
      </c>
      <c r="F14" s="97" t="n">
        <v>112.5</v>
      </c>
      <c r="G14" s="98" t="n">
        <v>88.3</v>
      </c>
    </row>
    <row r="15">
      <c r="A15" s="91" t="n"/>
      <c r="B15" s="91" t="n"/>
      <c r="C15" s="91" t="n"/>
      <c r="D15" s="91" t="n"/>
      <c r="E15" s="91" t="n"/>
      <c r="F15" s="91" t="n"/>
      <c r="G15" s="91" t="n"/>
    </row>
    <row r="16">
      <c r="A16" s="92" t="inlineStr">
        <is>
          <t>2. ΔΙΑΤΟΜΕΣ HEB (Ευρωπαϊκά Πλατύπελμα Κανονικού Τύπου)</t>
        </is>
      </c>
      <c r="B16" s="93" t="n"/>
      <c r="C16" s="93" t="n"/>
      <c r="D16" s="93" t="n"/>
      <c r="E16" s="93" t="n"/>
      <c r="F16" s="93" t="n"/>
      <c r="G16" s="94" t="n"/>
    </row>
    <row r="17">
      <c r="A17" s="95" t="inlineStr">
        <is>
          <t>Ονομασία Διατομής</t>
        </is>
      </c>
      <c r="B17" s="95" t="inlineStr">
        <is>
          <t>Ύψος h (mm)</t>
        </is>
      </c>
      <c r="C17" s="95" t="inlineStr">
        <is>
          <t>Πλάτος b (mm)</t>
        </is>
      </c>
      <c r="D17" s="95" t="inlineStr">
        <is>
          <t>Πάχος tw (mm)</t>
        </is>
      </c>
      <c r="E17" s="95" t="inlineStr">
        <is>
          <t>Πάχος tf (mm)</t>
        </is>
      </c>
      <c r="F17" s="95" t="inlineStr">
        <is>
          <t>Διατομή A (cm²)</t>
        </is>
      </c>
      <c r="G17" s="95" t="inlineStr">
        <is>
          <t>Βάρος (kg / m)</t>
        </is>
      </c>
    </row>
    <row r="18">
      <c r="A18" s="92" t="inlineStr">
        <is>
          <t>HEB 140</t>
        </is>
      </c>
      <c r="B18" s="96" t="n">
        <v>140</v>
      </c>
      <c r="C18" s="96" t="n">
        <v>140</v>
      </c>
      <c r="D18" s="96" t="n">
        <v>7</v>
      </c>
      <c r="E18" s="96" t="n">
        <v>12</v>
      </c>
      <c r="F18" s="96" t="n">
        <v>43</v>
      </c>
      <c r="G18" s="98" t="n">
        <v>33.7</v>
      </c>
    </row>
    <row r="19">
      <c r="A19" s="92" t="inlineStr">
        <is>
          <t>HEB 160</t>
        </is>
      </c>
      <c r="B19" s="96" t="n">
        <v>160</v>
      </c>
      <c r="C19" s="96" t="n">
        <v>160</v>
      </c>
      <c r="D19" s="96" t="n">
        <v>8</v>
      </c>
      <c r="E19" s="96" t="n">
        <v>13</v>
      </c>
      <c r="F19" s="97" t="n">
        <v>54.3</v>
      </c>
      <c r="G19" s="98" t="n">
        <v>42.6</v>
      </c>
    </row>
    <row r="20">
      <c r="A20" s="92" t="inlineStr">
        <is>
          <t>HEB 180</t>
        </is>
      </c>
      <c r="B20" s="96" t="n">
        <v>180</v>
      </c>
      <c r="C20" s="96" t="n">
        <v>180</v>
      </c>
      <c r="D20" s="97" t="n">
        <v>8.5</v>
      </c>
      <c r="E20" s="96" t="n">
        <v>14</v>
      </c>
      <c r="F20" s="97" t="n">
        <v>65.3</v>
      </c>
      <c r="G20" s="98" t="n">
        <v>51.2</v>
      </c>
    </row>
    <row r="21">
      <c r="A21" s="92" t="inlineStr">
        <is>
          <t>HEB 200</t>
        </is>
      </c>
      <c r="B21" s="96" t="n">
        <v>200</v>
      </c>
      <c r="C21" s="96" t="n">
        <v>200</v>
      </c>
      <c r="D21" s="96" t="n">
        <v>9</v>
      </c>
      <c r="E21" s="96" t="n">
        <v>15</v>
      </c>
      <c r="F21" s="97" t="n">
        <v>78.09999999999999</v>
      </c>
      <c r="G21" s="98" t="n">
        <v>61.3</v>
      </c>
    </row>
    <row r="22">
      <c r="A22" s="92" t="inlineStr">
        <is>
          <t>HEB 220</t>
        </is>
      </c>
      <c r="B22" s="96" t="n">
        <v>220</v>
      </c>
      <c r="C22" s="96" t="n">
        <v>220</v>
      </c>
      <c r="D22" s="97" t="n">
        <v>9.5</v>
      </c>
      <c r="E22" s="96" t="n">
        <v>16</v>
      </c>
      <c r="F22" s="96" t="n">
        <v>91</v>
      </c>
      <c r="G22" s="98" t="n">
        <v>71.5</v>
      </c>
    </row>
    <row r="23">
      <c r="A23" s="92" t="inlineStr">
        <is>
          <t>HEB 240</t>
        </is>
      </c>
      <c r="B23" s="96" t="n">
        <v>240</v>
      </c>
      <c r="C23" s="96" t="n">
        <v>240</v>
      </c>
      <c r="D23" s="96" t="n">
        <v>10</v>
      </c>
      <c r="E23" s="96" t="n">
        <v>17</v>
      </c>
      <c r="F23" s="96" t="n">
        <v>106</v>
      </c>
      <c r="G23" s="98" t="n">
        <v>83.2</v>
      </c>
    </row>
    <row r="24">
      <c r="A24" s="92" t="inlineStr">
        <is>
          <t>HEB 260</t>
        </is>
      </c>
      <c r="B24" s="96" t="n">
        <v>260</v>
      </c>
      <c r="C24" s="96" t="n">
        <v>260</v>
      </c>
      <c r="D24" s="96" t="n">
        <v>10</v>
      </c>
      <c r="E24" s="97" t="n">
        <v>17.5</v>
      </c>
      <c r="F24" s="97" t="n">
        <v>118.4</v>
      </c>
      <c r="G24" s="99" t="n">
        <v>93</v>
      </c>
    </row>
    <row r="25">
      <c r="A25" s="92" t="inlineStr">
        <is>
          <t>HEB 280</t>
        </is>
      </c>
      <c r="B25" s="96" t="n">
        <v>280</v>
      </c>
      <c r="C25" s="96" t="n">
        <v>280</v>
      </c>
      <c r="D25" s="97" t="n">
        <v>10.5</v>
      </c>
      <c r="E25" s="96" t="n">
        <v>18</v>
      </c>
      <c r="F25" s="97" t="n">
        <v>131.4</v>
      </c>
      <c r="G25" s="99" t="n">
        <v>103</v>
      </c>
    </row>
    <row r="26">
      <c r="A26" s="92" t="inlineStr">
        <is>
          <t>HEB 300</t>
        </is>
      </c>
      <c r="B26" s="96" t="n">
        <v>300</v>
      </c>
      <c r="C26" s="96" t="n">
        <v>300</v>
      </c>
      <c r="D26" s="96" t="n">
        <v>11</v>
      </c>
      <c r="E26" s="96" t="n">
        <v>19</v>
      </c>
      <c r="F26" s="97" t="n">
        <v>149.1</v>
      </c>
      <c r="G26" s="99" t="n">
        <v>117</v>
      </c>
    </row>
    <row r="27">
      <c r="A27" s="91" t="n"/>
      <c r="B27" s="91" t="n"/>
      <c r="C27" s="91" t="n"/>
      <c r="D27" s="91" t="n"/>
      <c r="E27" s="91" t="n"/>
      <c r="F27" s="91" t="n"/>
      <c r="G27" s="91" t="n"/>
    </row>
    <row r="28">
      <c r="A28" s="92" t="inlineStr">
        <is>
          <t>3. ΔΙΑΤΟΜΕΣ UPN (Ευρωπαϊκά Κοίλα Προφίλ U)</t>
        </is>
      </c>
      <c r="B28" s="93" t="n"/>
      <c r="C28" s="93" t="n"/>
      <c r="D28" s="93" t="n"/>
      <c r="E28" s="93" t="n"/>
      <c r="F28" s="93" t="n"/>
      <c r="G28" s="94" t="n"/>
    </row>
    <row r="29">
      <c r="A29" s="95" t="inlineStr">
        <is>
          <t>Ονομασία Διατομής</t>
        </is>
      </c>
      <c r="B29" s="95" t="inlineStr">
        <is>
          <t>Ύψος h (mm)</t>
        </is>
      </c>
      <c r="C29" s="95" t="inlineStr">
        <is>
          <t>Πλάτος b (mm)</t>
        </is>
      </c>
      <c r="D29" s="95" t="inlineStr">
        <is>
          <t>Πάχος tw (mm)</t>
        </is>
      </c>
      <c r="E29" s="95" t="inlineStr">
        <is>
          <t>Πάχος tf (mm)</t>
        </is>
      </c>
      <c r="F29" s="95" t="inlineStr">
        <is>
          <t>Διατομή A (cm²)</t>
        </is>
      </c>
      <c r="G29" s="95" t="inlineStr">
        <is>
          <t>Βάρος (kg / m)</t>
        </is>
      </c>
    </row>
    <row r="30">
      <c r="A30" s="92" t="inlineStr">
        <is>
          <t>UPN 140</t>
        </is>
      </c>
      <c r="B30" s="96" t="n">
        <v>140</v>
      </c>
      <c r="C30" s="96" t="n">
        <v>60</v>
      </c>
      <c r="D30" s="96" t="n">
        <v>7</v>
      </c>
      <c r="E30" s="96" t="n">
        <v>10</v>
      </c>
      <c r="F30" s="97" t="n">
        <v>20.4</v>
      </c>
      <c r="G30" s="99" t="n">
        <v>16</v>
      </c>
    </row>
    <row r="31">
      <c r="A31" s="92" t="inlineStr">
        <is>
          <t>UPN 160</t>
        </is>
      </c>
      <c r="B31" s="96" t="n">
        <v>160</v>
      </c>
      <c r="C31" s="96" t="n">
        <v>65</v>
      </c>
      <c r="D31" s="97" t="n">
        <v>7.5</v>
      </c>
      <c r="E31" s="97" t="n">
        <v>10.5</v>
      </c>
      <c r="F31" s="96" t="n">
        <v>24</v>
      </c>
      <c r="G31" s="98" t="n">
        <v>18.8</v>
      </c>
    </row>
    <row r="32">
      <c r="A32" s="92" t="inlineStr">
        <is>
          <t>UPN 180</t>
        </is>
      </c>
      <c r="B32" s="96" t="n">
        <v>180</v>
      </c>
      <c r="C32" s="96" t="n">
        <v>70</v>
      </c>
      <c r="D32" s="96" t="n">
        <v>8</v>
      </c>
      <c r="E32" s="96" t="n">
        <v>11</v>
      </c>
      <c r="F32" s="96" t="n">
        <v>28</v>
      </c>
      <c r="G32" s="99" t="n">
        <v>22</v>
      </c>
    </row>
    <row r="33">
      <c r="A33" s="92" t="inlineStr">
        <is>
          <t>UPN 200</t>
        </is>
      </c>
      <c r="B33" s="96" t="n">
        <v>200</v>
      </c>
      <c r="C33" s="96" t="n">
        <v>75</v>
      </c>
      <c r="D33" s="97" t="n">
        <v>8.5</v>
      </c>
      <c r="E33" s="97" t="n">
        <v>11.5</v>
      </c>
      <c r="F33" s="97" t="n">
        <v>32.2</v>
      </c>
      <c r="G33" s="98" t="n">
        <v>25.3</v>
      </c>
    </row>
    <row r="34">
      <c r="A34" s="92" t="inlineStr">
        <is>
          <t>UPN 220</t>
        </is>
      </c>
      <c r="B34" s="96" t="n">
        <v>220</v>
      </c>
      <c r="C34" s="96" t="n">
        <v>80</v>
      </c>
      <c r="D34" s="96" t="n">
        <v>9</v>
      </c>
      <c r="E34" s="97" t="n">
        <v>12.5</v>
      </c>
      <c r="F34" s="97" t="n">
        <v>37.4</v>
      </c>
      <c r="G34" s="98" t="n">
        <v>29.4</v>
      </c>
    </row>
    <row r="35">
      <c r="A35" s="92" t="inlineStr">
        <is>
          <t>UPN 240</t>
        </is>
      </c>
      <c r="B35" s="96" t="n">
        <v>240</v>
      </c>
      <c r="C35" s="96" t="n">
        <v>85</v>
      </c>
      <c r="D35" s="97" t="n">
        <v>9.5</v>
      </c>
      <c r="E35" s="96" t="n">
        <v>13</v>
      </c>
      <c r="F35" s="97" t="n">
        <v>42.3</v>
      </c>
      <c r="G35" s="98" t="n">
        <v>33.2</v>
      </c>
    </row>
    <row r="36">
      <c r="A36" s="92" t="inlineStr">
        <is>
          <t>UPN 260</t>
        </is>
      </c>
      <c r="B36" s="96" t="n">
        <v>260</v>
      </c>
      <c r="C36" s="96" t="n">
        <v>90</v>
      </c>
      <c r="D36" s="96" t="n">
        <v>10</v>
      </c>
      <c r="E36" s="96" t="n">
        <v>14</v>
      </c>
      <c r="F36" s="97" t="n">
        <v>48.3</v>
      </c>
      <c r="G36" s="98" t="n">
        <v>37.9</v>
      </c>
    </row>
    <row r="37">
      <c r="A37" s="92" t="inlineStr">
        <is>
          <t>UPN 280</t>
        </is>
      </c>
      <c r="B37" s="96" t="n">
        <v>280</v>
      </c>
      <c r="C37" s="96" t="n">
        <v>95</v>
      </c>
      <c r="D37" s="96" t="n">
        <v>10</v>
      </c>
      <c r="E37" s="96" t="n">
        <v>15</v>
      </c>
      <c r="F37" s="97" t="n">
        <v>53.3</v>
      </c>
      <c r="G37" s="98" t="n">
        <v>41.8</v>
      </c>
    </row>
    <row r="38">
      <c r="A38" s="92" t="inlineStr">
        <is>
          <t>UPN 300</t>
        </is>
      </c>
      <c r="B38" s="96" t="n">
        <v>300</v>
      </c>
      <c r="C38" s="96" t="n">
        <v>100</v>
      </c>
      <c r="D38" s="96" t="n">
        <v>10</v>
      </c>
      <c r="E38" s="96" t="n">
        <v>16</v>
      </c>
      <c r="F38" s="97" t="n">
        <v>58.8</v>
      </c>
      <c r="G38" s="98" t="n">
        <v>46.2</v>
      </c>
    </row>
    <row r="39">
      <c r="A39" s="91" t="n"/>
      <c r="B39" s="91" t="n"/>
      <c r="C39" s="91" t="n"/>
      <c r="D39" s="91" t="n"/>
      <c r="E39" s="91" t="n"/>
      <c r="F39" s="91" t="n"/>
      <c r="G39" s="91" t="n"/>
    </row>
    <row r="40">
      <c r="A40" s="92" t="inlineStr">
        <is>
          <t>4. ΙΣΟΣΚΕΛΕΙΣ ΓΩΝΙΕΣ (Equal Angles L)</t>
        </is>
      </c>
      <c r="B40" s="93" t="n"/>
      <c r="C40" s="93" t="n"/>
      <c r="D40" s="93" t="n"/>
      <c r="E40" s="93" t="n"/>
      <c r="F40" s="93" t="n"/>
      <c r="G40" s="94" t="n"/>
    </row>
    <row r="41">
      <c r="A41" s="95" t="inlineStr">
        <is>
          <t>Ονομασία Διατομής</t>
        </is>
      </c>
      <c r="B41" s="95" t="inlineStr">
        <is>
          <t>Ύψος h (mm)</t>
        </is>
      </c>
      <c r="C41" s="95" t="inlineStr">
        <is>
          <t>Πλάτος b (mm)</t>
        </is>
      </c>
      <c r="D41" s="95" t="inlineStr">
        <is>
          <t>Πάχος tw (mm)</t>
        </is>
      </c>
      <c r="E41" s="95" t="inlineStr">
        <is>
          <t>Πάχος tf (mm)</t>
        </is>
      </c>
      <c r="F41" s="95" t="inlineStr">
        <is>
          <t>Διατομή A (cm²)</t>
        </is>
      </c>
      <c r="G41" s="95" t="inlineStr">
        <is>
          <t>Βάρος (kg / m)</t>
        </is>
      </c>
    </row>
    <row r="42">
      <c r="A42" s="92" t="inlineStr">
        <is>
          <t>L 50x50x5</t>
        </is>
      </c>
      <c r="B42" s="96" t="n">
        <v>50</v>
      </c>
      <c r="C42" s="96" t="n">
        <v>50</v>
      </c>
      <c r="D42" s="96" t="n">
        <v>5</v>
      </c>
      <c r="E42" s="96" t="n">
        <v>5</v>
      </c>
      <c r="F42" s="97" t="n">
        <v>4.8</v>
      </c>
      <c r="G42" s="98" t="n">
        <v>3.77</v>
      </c>
    </row>
    <row r="43">
      <c r="A43" s="92" t="inlineStr">
        <is>
          <t>L 60x60x6</t>
        </is>
      </c>
      <c r="B43" s="96" t="n">
        <v>60</v>
      </c>
      <c r="C43" s="96" t="n">
        <v>60</v>
      </c>
      <c r="D43" s="96" t="n">
        <v>6</v>
      </c>
      <c r="E43" s="96" t="n">
        <v>6</v>
      </c>
      <c r="F43" s="97" t="n">
        <v>6.91</v>
      </c>
      <c r="G43" s="98" t="n">
        <v>5.42</v>
      </c>
    </row>
    <row r="44">
      <c r="A44" s="92" t="inlineStr">
        <is>
          <t>L 70x70x6</t>
        </is>
      </c>
      <c r="B44" s="96" t="n">
        <v>70</v>
      </c>
      <c r="C44" s="96" t="n">
        <v>70</v>
      </c>
      <c r="D44" s="96" t="n">
        <v>6</v>
      </c>
      <c r="E44" s="96" t="n">
        <v>6</v>
      </c>
      <c r="F44" s="97" t="n">
        <v>8.130000000000001</v>
      </c>
      <c r="G44" s="98" t="n">
        <v>6.38</v>
      </c>
    </row>
    <row r="45">
      <c r="A45" s="92" t="inlineStr">
        <is>
          <t>L 70x70x7</t>
        </is>
      </c>
      <c r="B45" s="96" t="n">
        <v>70</v>
      </c>
      <c r="C45" s="96" t="n">
        <v>70</v>
      </c>
      <c r="D45" s="96" t="n">
        <v>7</v>
      </c>
      <c r="E45" s="96" t="n">
        <v>7</v>
      </c>
      <c r="F45" s="97" t="n">
        <v>9.4</v>
      </c>
      <c r="G45" s="98" t="n">
        <v>7.38</v>
      </c>
    </row>
    <row r="46">
      <c r="A46" s="92" t="inlineStr">
        <is>
          <t>L 80x80x8</t>
        </is>
      </c>
      <c r="B46" s="96" t="n">
        <v>80</v>
      </c>
      <c r="C46" s="96" t="n">
        <v>80</v>
      </c>
      <c r="D46" s="96" t="n">
        <v>8</v>
      </c>
      <c r="E46" s="96" t="n">
        <v>8</v>
      </c>
      <c r="F46" s="97" t="n">
        <v>12.3</v>
      </c>
      <c r="G46" s="98" t="n">
        <v>9.630000000000001</v>
      </c>
    </row>
    <row r="47">
      <c r="A47" s="92" t="inlineStr">
        <is>
          <t>L 90x90x9</t>
        </is>
      </c>
      <c r="B47" s="96" t="n">
        <v>90</v>
      </c>
      <c r="C47" s="96" t="n">
        <v>90</v>
      </c>
      <c r="D47" s="96" t="n">
        <v>9</v>
      </c>
      <c r="E47" s="96" t="n">
        <v>9</v>
      </c>
      <c r="F47" s="97" t="n">
        <v>15.5</v>
      </c>
      <c r="G47" s="98" t="n">
        <v>12.2</v>
      </c>
    </row>
    <row r="48">
      <c r="A48" s="92" t="inlineStr">
        <is>
          <t>L 100x100x10</t>
        </is>
      </c>
      <c r="B48" s="96" t="n">
        <v>100</v>
      </c>
      <c r="C48" s="96" t="n">
        <v>100</v>
      </c>
      <c r="D48" s="96" t="n">
        <v>10</v>
      </c>
      <c r="E48" s="96" t="n">
        <v>10</v>
      </c>
      <c r="F48" s="97" t="n">
        <v>19.2</v>
      </c>
      <c r="G48" s="99" t="n">
        <v>15</v>
      </c>
    </row>
  </sheetData>
  <mergeCells count="5">
    <mergeCell ref="A1:G1"/>
    <mergeCell ref="A40:G40"/>
    <mergeCell ref="A4:G4"/>
    <mergeCell ref="A16:G16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2026-10-15T12:12:43Z</dcterms:created>
  <dcterms:modified xmlns:dcterms="http://purl.org/dc/terms/" xmlns:xsi="http://www.w3.org/2001/XMLSchema-instance" xsi:type="dcterms:W3CDTF">2026-10-15T12:12:44Z</dcterms:modified>
</cp:coreProperties>
</file>