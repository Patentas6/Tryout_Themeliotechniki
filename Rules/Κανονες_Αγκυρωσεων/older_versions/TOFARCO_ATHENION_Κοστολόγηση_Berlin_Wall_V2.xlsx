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1"/>
    </font>
    <font>
      <name val="Segoe UI"/>
      <b val="1"/>
      <color rgb="00000000"/>
      <sz val="11"/>
    </font>
    <font>
      <name val="Segoe UI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41719C"/>
        <bgColor rgb="0041719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3B3838"/>
        <bgColor rgb="003B3838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thin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3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3" fillId="5" borderId="0" pivotButton="0" quotePrefix="0" xfId="0"/>
    <xf numFmtId="3" fontId="6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4" fontId="7" fillId="7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2" pivotButton="0" quotePrefix="0" xfId="0"/>
    <xf numFmtId="10" fontId="5" fillId="6" borderId="1" applyAlignment="1" pivotButton="0" quotePrefix="0" xfId="0">
      <alignment horizontal="center" vertical="center"/>
    </xf>
    <xf numFmtId="3" fontId="7" fillId="7" borderId="2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8" fillId="9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9" fillId="10" borderId="2" applyAlignment="1" pivotButton="0" quotePrefix="0" xfId="0">
      <alignment horizontal="left" vertical="center"/>
    </xf>
    <xf numFmtId="0" fontId="9" fillId="10" borderId="2" pivotButton="0" quotePrefix="0" xfId="0"/>
    <xf numFmtId="4" fontId="9" fillId="10" borderId="2" applyAlignment="1" pivotButton="0" quotePrefix="0" xfId="0">
      <alignment horizontal="right" vertical="center"/>
    </xf>
    <xf numFmtId="4" fontId="8" fillId="11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0" fontId="7" fillId="12" borderId="2" pivotButton="0" quotePrefix="0" xfId="0"/>
    <xf numFmtId="4" fontId="7" fillId="12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4" fontId="6" fillId="0" borderId="1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7" fillId="7" borderId="3" pivotButton="0" quotePrefix="0" xfId="0"/>
    <xf numFmtId="4" fontId="7" fillId="7" borderId="3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5" fillId="10" borderId="1" pivotButton="0" quotePrefix="0" xfId="0"/>
    <xf numFmtId="0" fontId="5" fillId="10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right" vertical="center"/>
    </xf>
    <xf numFmtId="4" fontId="6" fillId="9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45" customWidth="1" min="4" max="4"/>
    <col width="20" customWidth="1" min="5" max="5"/>
    <col width="20" customWidth="1" min="6" max="6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1: ΣΤΟΙΧΕΙΑ ΜΕΛΕΤΗΣ &amp; ΦΥΣΙΚΕΣ ΠΟΣΟΤΗΤΕΣ  |  ΑΠΟΛΥΤΩΣ ΚΑΝΕΝΑ ΕΥΡΩ (€) ΣΕ ΑΥΤΗ ΤΗ ΣΕΛΙΔΑ</t>
        </is>
      </c>
    </row>
    <row r="4" ht="25" customHeight="1">
      <c r="A4" s="3" t="inlineStr">
        <is>
          <t>🏛️ ΚΕΦΑΛΑΙΟ Α: ΜΟΝΟ ΣΤΟΙΧΕΙΑ ΠΟΥ ΔΙΑΒΑΣΤΗΚΑΝ ΑΠΟ ΤΗ ΜΕΛΕΤΗ (RAW INPUTS)</t>
        </is>
      </c>
    </row>
    <row r="5" ht="20" customHeight="1">
      <c r="A5" s="4" t="inlineStr">
        <is>
          <t>Α.1 Τοποθεσία Εργοταξίου, Έδρα &amp; Σειρές Αγκυρώσεων</t>
        </is>
      </c>
    </row>
    <row r="6" ht="19" customHeight="1">
      <c r="A6" s="5" t="inlineStr">
        <is>
          <t>Έδρα Εταιρείας (Βάση Υπολογισμού Αποστάσεων)</t>
        </is>
      </c>
      <c r="B6" s="6" t="inlineStr">
        <is>
          <t>Άγιος Συλάς, Σπύρου Κυπριανού 32, Λεμεσός</t>
        </is>
      </c>
      <c r="C6" s="7" t="inlineStr">
        <is>
          <t>έδρα</t>
        </is>
      </c>
      <c r="D6" s="8" t="inlineStr">
        <is>
          <t>Αφετηρία μηχανημάτων &amp; μετακινήσεων</t>
        </is>
      </c>
      <c r="E6" s="9" t="n"/>
      <c r="F6" s="9" t="n"/>
    </row>
    <row r="7" ht="19" customHeight="1">
      <c r="A7" s="5" t="inlineStr">
        <is>
          <t>Τοποθεσία Εργοταξίου Μελέτης</t>
        </is>
      </c>
      <c r="B7" s="6" t="inlineStr">
        <is>
          <t>Λευκωσία (Ευαγόρου / Μενάνδρου / Ανδρέα Δημητρίου)</t>
        </is>
      </c>
      <c r="C7" s="7" t="inlineStr">
        <is>
          <t>πόλη</t>
        </is>
      </c>
      <c r="D7" s="8" t="inlineStr">
        <is>
          <t>Τεμάχιο 873, απέναντι από Βουλή</t>
        </is>
      </c>
      <c r="E7" s="9" t="n"/>
      <c r="F7" s="9" t="n"/>
    </row>
    <row r="8" ht="19" customHeight="1">
      <c r="A8" s="5" t="inlineStr">
        <is>
          <t>Χιλιομετρική Απόσταση από Έδρα</t>
        </is>
      </c>
      <c r="B8" s="10" t="n">
        <v>85</v>
      </c>
      <c r="C8" s="7" t="inlineStr">
        <is>
          <t>km</t>
        </is>
      </c>
      <c r="D8" s="8" t="inlineStr">
        <is>
          <t>Απόσταση &gt; 80 km (κατηγορία Λευκωσίας)</t>
        </is>
      </c>
      <c r="E8" s="9" t="n"/>
      <c r="F8" s="9" t="n"/>
    </row>
    <row r="9" ht="19" customHeight="1">
      <c r="A9" s="5" t="inlineStr">
        <is>
          <t>Πλήθος Οριζόντιων Σειρών Αγκυρώσεων Μελέτης</t>
        </is>
      </c>
      <c r="B9" s="10" t="n">
        <v>4</v>
      </c>
      <c r="C9" s="7" t="inlineStr">
        <is>
          <t>σειρές</t>
        </is>
      </c>
      <c r="D9" s="8" t="inlineStr">
        <is>
          <t>4 σειρές αγκυρώσεων σε όλο το μέτωπο (1x15° + 3x30°)</t>
        </is>
      </c>
      <c r="E9" s="9" t="n"/>
      <c r="F9" s="9" t="n"/>
    </row>
    <row r="11" ht="20" customHeight="1">
      <c r="A11" s="4" t="inlineStr">
        <is>
          <t>Α.2 Γεωμετρία Μετώπου Εκσκαφής (Διαστήματα &amp; Μήκη ανά Πλευρά)</t>
        </is>
      </c>
    </row>
    <row r="12" ht="19" customHeight="1">
      <c r="A12" s="5" t="inlineStr">
        <is>
          <t>Μήκος Δυτικής Πλευράς (Κάθετο τμήμα SW)</t>
        </is>
      </c>
      <c r="B12" s="11" t="n">
        <v>16</v>
      </c>
      <c r="C12" s="7" t="inlineStr">
        <is>
          <t>m</t>
        </is>
      </c>
      <c r="D12" s="8" t="inlineStr">
        <is>
          <t>8 διαστήματα των 2.00 m c/c (ακριβής μέτρηση διαστημάτων)</t>
        </is>
      </c>
      <c r="E12" s="9" t="n"/>
      <c r="F12" s="9" t="n"/>
    </row>
    <row r="13" ht="19" customHeight="1">
      <c r="A13" s="5" t="inlineStr">
        <is>
          <t>Μήκος Βορειοδυτικής Πλευράς (Πλάγιο τμήμα Ευαγόρου)</t>
        </is>
      </c>
      <c r="B13" s="11" t="n">
        <v>18</v>
      </c>
      <c r="C13" s="7" t="inlineStr">
        <is>
          <t>m</t>
        </is>
      </c>
      <c r="D13" s="8" t="inlineStr">
        <is>
          <t>9 διαστήματα των 2.00 m c/c (από καμπή έως γωνία NW)</t>
        </is>
      </c>
      <c r="E13" s="9" t="n"/>
      <c r="F13" s="9" t="n"/>
    </row>
    <row r="14" ht="19" customHeight="1">
      <c r="A14" s="5" t="inlineStr">
        <is>
          <t>Μήκος Βόρειας Πλευράς (Κατά μήκος Μενάνδρου)</t>
        </is>
      </c>
      <c r="B14" s="11" t="n">
        <v>54</v>
      </c>
      <c r="C14" s="7" t="inlineStr">
        <is>
          <t>m</t>
        </is>
      </c>
      <c r="D14" s="8" t="inlineStr">
        <is>
          <t>27 διαστήματα των 2.00 m c/c (από γωνία NW έως NE)</t>
        </is>
      </c>
      <c r="E14" s="9" t="n"/>
      <c r="F14" s="9" t="n"/>
    </row>
    <row r="15" ht="19" customHeight="1">
      <c r="A15" s="5" t="inlineStr">
        <is>
          <t>Μήκος Ανατολικής Πλευράς (Ανατολικό όριο)</t>
        </is>
      </c>
      <c r="B15" s="11" t="n">
        <v>22</v>
      </c>
      <c r="C15" s="7" t="inlineStr">
        <is>
          <t>m</t>
        </is>
      </c>
      <c r="D15" s="8" t="inlineStr">
        <is>
          <t>11 διαστήματα των 2.00 m c/c (από γωνία NE έως SE)</t>
        </is>
      </c>
      <c r="E15" s="9" t="n"/>
      <c r="F15" s="9" t="n"/>
    </row>
    <row r="16" ht="19" customHeight="1">
      <c r="A16" s="5" t="inlineStr">
        <is>
          <t>Μήκος Νότιας Πλευράς (Κατά μήκος Ανδρέα Δημητρίου)</t>
        </is>
      </c>
      <c r="B16" s="11" t="n">
        <v>86</v>
      </c>
      <c r="C16" s="7" t="inlineStr">
        <is>
          <t>m</t>
        </is>
      </c>
      <c r="D16" s="8" t="inlineStr">
        <is>
          <t>43 διαστήματα των 2.00 m c/c (από γωνία SE έως SW)</t>
        </is>
      </c>
      <c r="E16" s="9" t="n"/>
      <c r="F16" s="9" t="n"/>
    </row>
    <row r="17" ht="19" customHeight="1">
      <c r="A17" s="5" t="inlineStr">
        <is>
          <t>Ελεύθερο Ύψος Εκσκαφής Μετώπου (H_exc)</t>
        </is>
      </c>
      <c r="B17" s="11" t="n">
        <v>12.5</v>
      </c>
      <c r="C17" s="7" t="inlineStr">
        <is>
          <t>m</t>
        </is>
      </c>
      <c r="D17" s="8" t="inlineStr">
        <is>
          <t>15.50m βάθος διάτρησης μείον 3.00m πάκτωση</t>
        </is>
      </c>
      <c r="E17" s="9" t="n"/>
      <c r="F17" s="9" t="n"/>
    </row>
    <row r="18" ht="19" customHeight="1">
      <c r="A18" s="5" t="inlineStr">
        <is>
          <t>Βάθος Πάκτωσης Πασσάλων κάτω από Εκσκαφή (H_embed)</t>
        </is>
      </c>
      <c r="B18" s="11" t="n">
        <v>3</v>
      </c>
      <c r="C18" s="7" t="inlineStr">
        <is>
          <t>m</t>
        </is>
      </c>
      <c r="D18" s="8" t="inlineStr">
        <is>
          <t>3.00 m πάκτωση (επιλογή ανώτερου C35/45 σχεδίου Σ01.1)</t>
        </is>
      </c>
      <c r="E18" s="9" t="n"/>
      <c r="F18" s="9" t="n"/>
    </row>
    <row r="20" ht="20" customHeight="1">
      <c r="A20" s="4" t="inlineStr">
        <is>
          <t>Α.3 Σχάρες Οπλισμού &amp; Εκτοξευόμενο Σκυρόδεμα (Gunite / Shotcrete)</t>
        </is>
      </c>
    </row>
    <row r="21" ht="19" customHeight="1">
      <c r="A21" s="5" t="inlineStr">
        <is>
          <t>Οριζόντιος Οπλισμός Σχάρας Μελέτης</t>
        </is>
      </c>
      <c r="B21" s="6" t="inlineStr">
        <is>
          <t>Y20 / 200</t>
        </is>
      </c>
      <c r="C21" s="7" t="inlineStr">
        <is>
          <t>διατομή</t>
        </is>
      </c>
      <c r="D21" s="8" t="inlineStr">
        <is>
          <t>Διάμετρος 20 mm ανά 200 mm c/c</t>
        </is>
      </c>
      <c r="E21" s="9" t="n"/>
      <c r="F21" s="9" t="n"/>
    </row>
    <row r="22" ht="19" customHeight="1">
      <c r="A22" s="5" t="inlineStr">
        <is>
          <t>Διάμετρος Οριζόντιων Ράβδων</t>
        </is>
      </c>
      <c r="B22" s="10" t="n">
        <v>20</v>
      </c>
      <c r="C22" s="7" t="inlineStr">
        <is>
          <t>mm</t>
        </is>
      </c>
      <c r="D22" s="8" t="inlineStr">
        <is>
          <t>Ράβδοι B500C</t>
        </is>
      </c>
      <c r="E22" s="9" t="n"/>
      <c r="F22" s="9" t="n"/>
    </row>
    <row r="23" ht="19" customHeight="1">
      <c r="A23" s="5" t="inlineStr">
        <is>
          <t>Βήμα Οριζόντιων Ράβδων</t>
        </is>
      </c>
      <c r="B23" s="10" t="n">
        <v>200</v>
      </c>
      <c r="C23" s="7" t="inlineStr">
        <is>
          <t>mm</t>
        </is>
      </c>
      <c r="D23" s="8" t="inlineStr">
        <is>
          <t>5 ράβδοι ανά μέτρο ύψους</t>
        </is>
      </c>
      <c r="E23" s="9" t="n"/>
      <c r="F23" s="9" t="n"/>
    </row>
    <row r="24" ht="19" customHeight="1">
      <c r="A24" s="5" t="inlineStr">
        <is>
          <t>Κατακόρυφος Οπλισμός Σχάρας Μελέτης</t>
        </is>
      </c>
      <c r="B24" s="6" t="inlineStr">
        <is>
          <t>Y14 / 200</t>
        </is>
      </c>
      <c r="C24" s="7" t="inlineStr">
        <is>
          <t>διατομή</t>
        </is>
      </c>
      <c r="D24" s="8" t="inlineStr">
        <is>
          <t>Διάμετρος 14 mm ανά 200 mm c/c</t>
        </is>
      </c>
      <c r="E24" s="9" t="n"/>
      <c r="F24" s="9" t="n"/>
    </row>
    <row r="25" ht="19" customHeight="1">
      <c r="A25" s="5" t="inlineStr">
        <is>
          <t>Διάμετρος Κατακόρυφων Ράβδων</t>
        </is>
      </c>
      <c r="B25" s="10" t="n">
        <v>14</v>
      </c>
      <c r="C25" s="7" t="inlineStr">
        <is>
          <t>mm</t>
        </is>
      </c>
      <c r="D25" s="8" t="inlineStr">
        <is>
          <t>Ράβδοι B500C</t>
        </is>
      </c>
      <c r="E25" s="9" t="n"/>
      <c r="F25" s="9" t="n"/>
    </row>
    <row r="26" ht="19" customHeight="1">
      <c r="A26" s="5" t="inlineStr">
        <is>
          <t>Βήμα Κατακόρυφων Ράβδων</t>
        </is>
      </c>
      <c r="B26" s="10" t="n">
        <v>200</v>
      </c>
      <c r="C26" s="7" t="inlineStr">
        <is>
          <t>mm</t>
        </is>
      </c>
      <c r="D26" s="8" t="inlineStr">
        <is>
          <t>5 ράβδοι ανά μέτρο μήκους</t>
        </is>
      </c>
      <c r="E26" s="9" t="n"/>
      <c r="F26" s="9" t="n"/>
    </row>
    <row r="27" ht="19" customHeight="1">
      <c r="A27" s="5" t="inlineStr">
        <is>
          <t>Ονομαστικό Πάχος Shotcrete Μελέτης (t_nom)</t>
        </is>
      </c>
      <c r="B27" s="11" t="n">
        <v>0.15</v>
      </c>
      <c r="C27" s="7" t="inlineStr">
        <is>
          <t>m</t>
        </is>
      </c>
      <c r="D27" s="8" t="inlineStr">
        <is>
          <t>150 mm ελάχιστο πάχος επικάλυψης σχεδίου</t>
        </is>
      </c>
      <c r="E27" s="9" t="n"/>
      <c r="F27" s="9" t="n"/>
    </row>
    <row r="28" ht="19" customHeight="1">
      <c r="A28" s="5" t="inlineStr">
        <is>
          <t>Πάγια Απώλεια / Αναπήδηση Εταιρείας</t>
        </is>
      </c>
      <c r="B28" s="11" t="n">
        <v>0.05</v>
      </c>
      <c r="C28" s="7" t="inlineStr">
        <is>
          <t>m</t>
        </is>
      </c>
      <c r="D28" s="8" t="inlineStr">
        <is>
          <t>+5 cm πάγια προσαύξηση εταιρείας</t>
        </is>
      </c>
      <c r="E28" s="9" t="n"/>
      <c r="F28" s="9" t="n"/>
    </row>
    <row r="29" ht="19" customHeight="1">
      <c r="A29" s="5" t="inlineStr">
        <is>
          <t>Κατηγορία Σκυροδέματος Μελέτης</t>
        </is>
      </c>
      <c r="B29" s="6" t="inlineStr">
        <is>
          <t>C30/40 CEMII 42.5</t>
        </is>
      </c>
      <c r="C29" s="7" t="inlineStr">
        <is>
          <t>κατηγορία</t>
        </is>
      </c>
      <c r="D29" s="8" t="inlineStr">
        <is>
          <t>Πρόσμικτα RHEOMAC SE 100 56 &amp; Sigunit L 22E</t>
        </is>
      </c>
      <c r="E29" s="9" t="n"/>
      <c r="F29" s="9" t="n"/>
    </row>
    <row r="31" ht="20" customHeight="1">
      <c r="A31" s="4" t="inlineStr">
        <is>
          <t>Α.4 H-Beams (Πασσαλοκολώνες 2×UPN 350, Διάτρηση Ø800 &amp; Λάμες)</t>
        </is>
      </c>
    </row>
    <row r="32" ht="19" customHeight="1">
      <c r="A32" s="5" t="inlineStr">
        <is>
          <t>Αξονική Απόσταση Πασσάλων (s_beam)</t>
        </is>
      </c>
      <c r="B32" s="11" t="n">
        <v>2</v>
      </c>
      <c r="C32" s="7" t="inlineStr">
        <is>
          <t>m</t>
        </is>
      </c>
      <c r="D32" s="8" t="inlineStr">
        <is>
          <t>Ανά 2.00 m c/c στην περίμετρο</t>
        </is>
      </c>
      <c r="E32" s="9" t="n"/>
      <c r="F32" s="9" t="n"/>
    </row>
    <row r="33" ht="19" customHeight="1">
      <c r="A33" s="5" t="inlineStr">
        <is>
          <t>Συνολικό Πλήθος Οπών / Πασσάλων Έργου</t>
        </is>
      </c>
      <c r="B33" s="10" t="n">
        <v>98</v>
      </c>
      <c r="C33" s="7" t="inlineStr">
        <is>
          <t>οπές / πάσσαλοι</t>
        </is>
      </c>
      <c r="D33" s="8" t="inlineStr">
        <is>
          <t>98 διαστήματα των 2.0m c/c (196m περίμετρος)</t>
        </is>
      </c>
      <c r="E33" s="9" t="n"/>
      <c r="F33" s="9" t="n"/>
    </row>
    <row r="34" ht="19" customHeight="1">
      <c r="A34" s="5" t="inlineStr">
        <is>
          <t>Διάμετρος Διάτρησης Μεγάλου Τρυπανιού (Κανόνας v2: min Ø800 mm)</t>
        </is>
      </c>
      <c r="B34" s="11" t="n">
        <v>0.8</v>
      </c>
      <c r="C34" s="7" t="inlineStr">
        <is>
          <t>m</t>
        </is>
      </c>
      <c r="D34" s="8" t="inlineStr">
        <is>
          <t>Ζητήθηκε Ø600 mm -&gt; Εφαρμογή κανόνα: ελάχιστο Ø800 mm</t>
        </is>
      </c>
      <c r="E34" s="9" t="n"/>
      <c r="F34" s="9" t="n"/>
    </row>
    <row r="35" ht="19" customHeight="1">
      <c r="A35" s="5" t="inlineStr">
        <is>
          <t>Συνολικό Βάθος Διάτρησης Μεγάλου Τρυπανιού</t>
        </is>
      </c>
      <c r="B35" s="11" t="n">
        <v>15.5</v>
      </c>
      <c r="C35" s="7" t="inlineStr">
        <is>
          <t>m</t>
        </is>
      </c>
      <c r="D35" s="8" t="inlineStr">
        <is>
          <t>Βάθος κάτω από δημόσιο δρόμο &gt; 15.50 m</t>
        </is>
      </c>
      <c r="E35" s="9" t="n"/>
      <c r="F35" s="9" t="n"/>
    </row>
    <row r="36" ht="19" customHeight="1">
      <c r="A36" s="5" t="inlineStr">
        <is>
          <t>Τύπος Μεταλλικού Προφίλ Νέφκας</t>
        </is>
      </c>
      <c r="B36" s="6" t="inlineStr">
        <is>
          <t>2xUPN 350x100</t>
        </is>
      </c>
      <c r="C36" s="7" t="inlineStr">
        <is>
          <t>προφίλ</t>
        </is>
      </c>
      <c r="D36" s="8" t="inlineStr">
        <is>
          <t>2 κοιλοδοκοί UPN 350 ανά οπή</t>
        </is>
      </c>
      <c r="E36" s="9" t="n"/>
      <c r="F36" s="9" t="n"/>
    </row>
    <row r="37" ht="19" customHeight="1">
      <c r="A37" s="5" t="inlineStr">
        <is>
          <t>Μήκος Μεταλλικής Κολώνας (h)</t>
        </is>
      </c>
      <c r="B37" s="11" t="n">
        <v>15</v>
      </c>
      <c r="C37" s="7" t="inlineStr">
        <is>
          <t>m</t>
        </is>
      </c>
      <c r="D37" s="8" t="inlineStr">
        <is>
          <t>Βυθίζεται 0.50m κάτω από ισόγειο</t>
        </is>
      </c>
      <c r="E37" s="9" t="n"/>
      <c r="F37" s="9" t="n"/>
    </row>
    <row r="38" ht="19" customHeight="1">
      <c r="A38" s="5" t="inlineStr">
        <is>
          <t>Πλήθος Προφίλ ανά Οπή</t>
        </is>
      </c>
      <c r="B38" s="10" t="n">
        <v>2</v>
      </c>
      <c r="C38" s="7" t="inlineStr">
        <is>
          <t>προφίλ / οπή</t>
        </is>
      </c>
      <c r="D38" s="8" t="inlineStr">
        <is>
          <t>Διπλό UPN 350</t>
        </is>
      </c>
      <c r="E38" s="9" t="n"/>
      <c r="F38" s="9" t="n"/>
    </row>
    <row r="39" ht="19" customHeight="1">
      <c r="A39" s="5" t="inlineStr">
        <is>
          <t>Θεωρητικό Βάρος Προφίλ ανά Μέτρο</t>
        </is>
      </c>
      <c r="B39" s="11" t="n">
        <v>60.6</v>
      </c>
      <c r="C39" s="7" t="inlineStr">
        <is>
          <t>kg / m</t>
        </is>
      </c>
      <c r="D39" s="8" t="inlineStr">
        <is>
          <t>60.6 kg/m ανά UPN (Σύνολο 121.2 kg/m)</t>
        </is>
      </c>
      <c r="E39" s="9" t="n"/>
      <c r="F39" s="9" t="n"/>
    </row>
    <row r="40" ht="19" customHeight="1">
      <c r="A40" s="5" t="inlineStr">
        <is>
          <t>Διαστάσεις Συνδετικής Λάμας (Πλάτος W x Μήκος L x Πάχος t)</t>
        </is>
      </c>
      <c r="B40" s="6" t="inlineStr">
        <is>
          <t>350 x 100 x 12</t>
        </is>
      </c>
      <c r="C40" s="7" t="inlineStr">
        <is>
          <t>mm</t>
        </is>
      </c>
      <c r="D40" s="8" t="inlineStr">
        <is>
          <t>PLT 350x100x12 mm</t>
        </is>
      </c>
      <c r="E40" s="9" t="n"/>
      <c r="F40" s="9" t="n"/>
    </row>
    <row r="41" ht="19" customHeight="1">
      <c r="A41" s="5" t="inlineStr">
        <is>
          <t>Βήμα Τοποθέτησης Λαμών κατά Ύψος (s_plate)</t>
        </is>
      </c>
      <c r="B41" s="11" t="n">
        <v>0.6</v>
      </c>
      <c r="C41" s="7" t="inlineStr">
        <is>
          <t>m</t>
        </is>
      </c>
      <c r="D41" s="8" t="inlineStr">
        <is>
          <t>Απόσταση που ζητά ο μελετητής ανά 0.60 m</t>
        </is>
      </c>
      <c r="E41" s="9" t="n"/>
      <c r="F41" s="9" t="n"/>
    </row>
    <row r="42" ht="19" customHeight="1">
      <c r="A42" s="5" t="inlineStr">
        <is>
          <t>Ύψος Σκυροδέματος Πάκτωσης Πασσάλου</t>
        </is>
      </c>
      <c r="B42" s="11" t="n">
        <v>3</v>
      </c>
      <c r="C42" s="7" t="inlineStr">
        <is>
          <t>m</t>
        </is>
      </c>
      <c r="D42" s="8" t="inlineStr">
        <is>
          <t>Πιάσιμο στον πυθμένα της διάτρησης σε ύψος 3.00 m</t>
        </is>
      </c>
      <c r="E42" s="9" t="n"/>
      <c r="F42" s="9" t="n"/>
    </row>
    <row r="43" ht="19" customHeight="1">
      <c r="A43" s="5" t="inlineStr">
        <is>
          <t>Κατηγορία Σκυροδέματος Πάκτωσης (Κανόνας v2)</t>
        </is>
      </c>
      <c r="B43" s="6" t="inlineStr">
        <is>
          <t>C35/45</t>
        </is>
      </c>
      <c r="C43" s="7" t="inlineStr">
        <is>
          <t>κατηγορία</t>
        </is>
      </c>
      <c r="D43" s="8" t="inlineStr">
        <is>
          <t>Επιλογή ανώτερου C35/45 (Σ02.1 ανέφερε C30/37 στα 2.5m)</t>
        </is>
      </c>
      <c r="E43" s="9" t="n"/>
      <c r="F43" s="9" t="n"/>
    </row>
    <row r="45" ht="20" customHeight="1">
      <c r="A45" s="4" t="inlineStr">
        <is>
          <t>Α.5 Αγκυρώσεις (Prestressed Tieback Anchors)</t>
        </is>
      </c>
    </row>
    <row r="46" ht="19" customHeight="1">
      <c r="A46" s="5" t="inlineStr">
        <is>
          <t>Πλήθος Σειρών Αγκυρώσεων</t>
        </is>
      </c>
      <c r="B46" s="10" t="n">
        <v>4</v>
      </c>
      <c r="C46" s="7" t="inlineStr">
        <is>
          <t>σειρές</t>
        </is>
      </c>
      <c r="D46" s="8" t="inlineStr">
        <is>
          <t>4 σειρές ανά πάσσαλο</t>
        </is>
      </c>
      <c r="E46" s="9" t="n"/>
      <c r="F46" s="9" t="n"/>
    </row>
    <row r="47" ht="19" customHeight="1">
      <c r="A47" s="5" t="inlineStr">
        <is>
          <t>Μήκος / Βάθος Διάτρησης 1ης Σειράς (15°)</t>
        </is>
      </c>
      <c r="B47" s="11" t="n">
        <v>13.3</v>
      </c>
      <c r="C47" s="7" t="inlineStr">
        <is>
          <t>m</t>
        </is>
      </c>
      <c r="D47" s="8" t="inlineStr">
        <is>
          <t>Στάθμη -2.00m, 13.0m + 0.30m επιπλέον</t>
        </is>
      </c>
      <c r="E47" s="9" t="n"/>
      <c r="F47" s="9" t="n"/>
    </row>
    <row r="48" ht="19" customHeight="1">
      <c r="A48" s="5" t="inlineStr">
        <is>
          <t>Μήκος / Βάθος Διάτρησης 2ης Σειράς (30°)</t>
        </is>
      </c>
      <c r="B48" s="11" t="n">
        <v>13.3</v>
      </c>
      <c r="C48" s="7" t="inlineStr">
        <is>
          <t>m</t>
        </is>
      </c>
      <c r="D48" s="8" t="inlineStr">
        <is>
          <t>13.0m + 0.30m επιπλέον βάθος</t>
        </is>
      </c>
      <c r="E48" s="9" t="n"/>
      <c r="F48" s="9" t="n"/>
    </row>
    <row r="49" ht="19" customHeight="1">
      <c r="A49" s="5" t="inlineStr">
        <is>
          <t>Μήκος / Βάθος Διάτρησης 3ης Σειράς (30°)</t>
        </is>
      </c>
      <c r="B49" s="11" t="n">
        <v>13.3</v>
      </c>
      <c r="C49" s="7" t="inlineStr">
        <is>
          <t>m</t>
        </is>
      </c>
      <c r="D49" s="8" t="inlineStr">
        <is>
          <t>13.0m + 0.30m επιπλέον βάθος</t>
        </is>
      </c>
      <c r="E49" s="9" t="n"/>
      <c r="F49" s="9" t="n"/>
    </row>
    <row r="50" ht="19" customHeight="1">
      <c r="A50" s="5" t="inlineStr">
        <is>
          <t>Μήκος / Βάθος Διάτρησης 4ης Σειράς (30°)</t>
        </is>
      </c>
      <c r="B50" s="11" t="n">
        <v>13.3</v>
      </c>
      <c r="C50" s="7" t="inlineStr">
        <is>
          <t>m</t>
        </is>
      </c>
      <c r="D50" s="8" t="inlineStr">
        <is>
          <t>13.0m + 0.30m επιπλέον βάθος</t>
        </is>
      </c>
      <c r="E50" s="9" t="n"/>
      <c r="F50" s="9" t="n"/>
    </row>
    <row r="51" ht="19" customHeight="1">
      <c r="A51" s="5" t="inlineStr">
        <is>
          <t>Πλήθος Αγκυρώσεων ανά Σειρά</t>
        </is>
      </c>
      <c r="B51" s="10" t="n">
        <v>98</v>
      </c>
      <c r="C51" s="7" t="inlineStr">
        <is>
          <t>τεμάχια / σειρά</t>
        </is>
      </c>
      <c r="D51" s="8" t="inlineStr">
        <is>
          <t>1 αγκύρωση ανά πάσσαλο σε κάθε σειρά</t>
        </is>
      </c>
      <c r="E51" s="9" t="n"/>
      <c r="F51" s="9" t="n"/>
    </row>
    <row r="52" ht="19" customHeight="1">
      <c r="A52" s="5" t="inlineStr">
        <is>
          <t>Πλήθος Τενόντων ανά Οπή Αγκύρωσης</t>
        </is>
      </c>
      <c r="B52" s="10" t="n">
        <v>5</v>
      </c>
      <c r="C52" s="7" t="inlineStr">
        <is>
          <t>strands / οπή</t>
        </is>
      </c>
      <c r="D52" s="8" t="inlineStr">
        <is>
          <t>5x14mm wire rope</t>
        </is>
      </c>
      <c r="E52" s="9" t="n"/>
      <c r="F52" s="9" t="n"/>
    </row>
    <row r="53" ht="19" customHeight="1">
      <c r="A53" s="5" t="inlineStr">
        <is>
          <t>Διάμετρος Οπής Διάτρησης Αγκύρωσης</t>
        </is>
      </c>
      <c r="B53" s="11" t="n">
        <v>0.15</v>
      </c>
      <c r="C53" s="7" t="inlineStr">
        <is>
          <t>m</t>
        </is>
      </c>
      <c r="D53" s="8" t="inlineStr">
        <is>
          <t>Minimum Drill Hole Diameter Ø150 mm</t>
        </is>
      </c>
      <c r="E53" s="9" t="n"/>
      <c r="F53" s="9" t="n"/>
    </row>
    <row r="54" ht="19" customHeight="1">
      <c r="A54" s="5" t="inlineStr">
        <is>
          <t>Μήκος Grout Πάκτωσης ανά Αγκύρωση</t>
        </is>
      </c>
      <c r="B54" s="11" t="n">
        <v>5.3</v>
      </c>
      <c r="C54" s="7" t="inlineStr">
        <is>
          <t>m</t>
        </is>
      </c>
      <c r="D54" s="8" t="inlineStr">
        <is>
          <t>5.30 m cement grouting fcu &gt; 80 N/mm²</t>
        </is>
      </c>
      <c r="E54" s="9" t="n"/>
      <c r="F54" s="9" t="n"/>
    </row>
    <row r="55" ht="19" customHeight="1">
      <c r="A55" s="5" t="inlineStr">
        <is>
          <t>Συντελεστής Υπερκατανάλωσης Grout</t>
        </is>
      </c>
      <c r="B55" s="11" t="n">
        <v>1.2</v>
      </c>
      <c r="C55" s="7" t="inlineStr">
        <is>
          <t>συντελεστής</t>
        </is>
      </c>
      <c r="D55" s="8" t="inlineStr">
        <is>
          <t>+20% απώλεια / υπερκατανάλωση</t>
        </is>
      </c>
      <c r="E55" s="9" t="n"/>
      <c r="F55" s="9" t="n"/>
    </row>
    <row r="56" ht="19" customHeight="1">
      <c r="A56" s="5" t="inlineStr">
        <is>
          <t>Επιπλέον Μήκος Τένοντα για Τάνυση</t>
        </is>
      </c>
      <c r="B56" s="11" t="n">
        <v>1</v>
      </c>
      <c r="C56" s="7" t="inlineStr">
        <is>
          <t>m</t>
        </is>
      </c>
      <c r="D56" s="8" t="inlineStr">
        <is>
          <t>+1.0 m ανά τένοντα έξω από το μέτωπο</t>
        </is>
      </c>
      <c r="E56" s="9" t="n"/>
      <c r="F56" s="9" t="n"/>
    </row>
    <row r="58" ht="25" customHeight="1">
      <c r="A58" s="12" t="inlineStr">
        <is>
          <t>⚙️ ΚΕΦΑΛΑΙΟ Β: ΟΛΟΙ ΟΙ ΥΠΟΛΟΓΙΣΜΟΙ ΦΥΣΙΚΩΝ ΜΕΓΕΘΩΝ (ΜΕ ΒΑΣΗ ΤΟ ΚΕΦΑΛΑΙΟ Α)</t>
        </is>
      </c>
    </row>
    <row r="59" ht="20" customHeight="1">
      <c r="A59" s="4" t="inlineStr">
        <is>
          <t>Β.1 Υπολογισμοί Στρατών Μετακίνησης (3 Είδη)</t>
        </is>
      </c>
    </row>
    <row r="60" ht="19" customHeight="1">
      <c r="A60" s="5" t="inlineStr">
        <is>
          <t>Υπολογισμός Στρατών Μεγάλου Τρυπανιού (Piling Rig)</t>
        </is>
      </c>
      <c r="B60" s="13" t="n">
        <v>1</v>
      </c>
      <c r="C60" s="7" t="inlineStr">
        <is>
          <t>στράτες</t>
        </is>
      </c>
      <c r="D60" s="8" t="inlineStr">
        <is>
          <t>Συνήθως 1 στράτα ανά έργο (Λευκωσία &gt;80 km)</t>
        </is>
      </c>
      <c r="E60" s="9" t="n"/>
      <c r="F60" s="9" t="n"/>
    </row>
    <row r="61" ht="19" customHeight="1">
      <c r="A61" s="5" t="inlineStr">
        <is>
          <t>Υπολογισμός Στρατών Εξοπλισμού Αγκυρώσεων</t>
        </is>
      </c>
      <c r="B61" s="13">
        <f>B46</f>
        <v/>
      </c>
      <c r="C61" s="7" t="inlineStr">
        <is>
          <t>στράτες</t>
        </is>
      </c>
      <c r="D61" s="8" t="inlineStr">
        <is>
          <t>Στράτες = Σειρές αγκυρώσεων (4 στράτες)</t>
        </is>
      </c>
      <c r="E61" s="9" t="n"/>
      <c r="F61" s="9" t="n"/>
    </row>
    <row r="62" ht="19" customHeight="1">
      <c r="A62" s="5" t="inlineStr">
        <is>
          <t>Υπολογισμός Στρατών Συνεργείου Shotcrete</t>
        </is>
      </c>
      <c r="B62" s="13">
        <f>B46+1</f>
        <v/>
      </c>
      <c r="C62" s="7" t="inlineStr">
        <is>
          <t>στράτες</t>
        </is>
      </c>
      <c r="D62" s="8" t="inlineStr">
        <is>
          <t>Στράτες = Σειρές αγκυρώσεων + 1 (5 στράτες)</t>
        </is>
      </c>
      <c r="E62" s="9" t="n"/>
      <c r="F62" s="9" t="n"/>
    </row>
    <row r="64" ht="20" customHeight="1">
      <c r="A64" s="4" t="inlineStr">
        <is>
          <t>Β.2 Υπολογισμοί Επιφανειών Μετώπου, Σχαρών &amp; Shotcrete</t>
        </is>
      </c>
    </row>
    <row r="65" ht="19" customHeight="1">
      <c r="A65" s="5" t="inlineStr">
        <is>
          <t>Συνολική Περίμετρος / Μήκος Μετώπου Εκσκαφής</t>
        </is>
      </c>
      <c r="B65" s="14">
        <f>SUM(B12:B16)</f>
        <v/>
      </c>
      <c r="C65" s="7" t="inlineStr">
        <is>
          <t>m</t>
        </is>
      </c>
      <c r="D65" s="8" t="inlineStr">
        <is>
          <t>Δυτική (16) + ΒΔ (18) + Βόρεια (54) + Ανατολική (22) + Νότια (86)</t>
        </is>
      </c>
      <c r="E65" s="9" t="n"/>
      <c r="F65" s="9" t="n"/>
    </row>
    <row r="66" ht="20" customHeight="1">
      <c r="A66" s="15" t="inlineStr">
        <is>
          <t>ΣΥΝΟΛΙΚΟ ΕΜΒΑΔΟΝ ΜΕΤΩΠΟΥ (A = L x H_exc)</t>
        </is>
      </c>
      <c r="B66" s="16">
        <f>ROUND(B65*B17, 2)</f>
        <v/>
      </c>
      <c r="C66" s="17" t="inlineStr">
        <is>
          <t>m²</t>
        </is>
      </c>
      <c r="D66" s="18" t="inlineStr">
        <is>
          <t>196.00 m x 12.50 m ελεύθερο ύψος</t>
        </is>
      </c>
      <c r="E66" s="19" t="n"/>
      <c r="F66" s="19" t="n"/>
    </row>
    <row r="67" ht="19" customHeight="1">
      <c r="A67" s="5" t="inlineStr">
        <is>
          <t>Βάρος Οριζόντιων Ράβδων Σχάρας (Y20/200)</t>
        </is>
      </c>
      <c r="B67" s="14">
        <f>ROUND((1000/B23)*PI()*((B22/1000/2)^2)*7850, 3)</f>
        <v/>
      </c>
      <c r="C67" s="7" t="inlineStr">
        <is>
          <t>kg / m²</t>
        </is>
      </c>
      <c r="D67" s="8" t="inlineStr">
        <is>
          <t>1000/200 x 2.466 kg/m = 12.330 kg/m²</t>
        </is>
      </c>
      <c r="E67" s="9" t="n"/>
      <c r="F67" s="9" t="n"/>
    </row>
    <row r="68" ht="19" customHeight="1">
      <c r="A68" s="5" t="inlineStr">
        <is>
          <t>Βάρος Κατακόρυφων Ράβδων Σχάρας (Y14/200)</t>
        </is>
      </c>
      <c r="B68" s="14">
        <f>ROUND((1000/B26)*PI()*((B25/1000/2)^2)*7850, 3)</f>
        <v/>
      </c>
      <c r="C68" s="7" t="inlineStr">
        <is>
          <t>kg / m²</t>
        </is>
      </c>
      <c r="D68" s="8" t="inlineStr">
        <is>
          <t>1000/200 x 1.208 kg/m = 6.042 kg/m²</t>
        </is>
      </c>
      <c r="E68" s="9" t="n"/>
      <c r="F68" s="9" t="n"/>
    </row>
    <row r="69" ht="19" customHeight="1">
      <c r="A69" s="5" t="inlineStr">
        <is>
          <t>Συνολικό Θεωρητικό Βάρος Σχάρας ανά m²</t>
        </is>
      </c>
      <c r="B69" s="14">
        <f>B67+B68</f>
        <v/>
      </c>
      <c r="C69" s="7" t="inlineStr">
        <is>
          <t>kg / m²</t>
        </is>
      </c>
      <c r="D69" s="8" t="inlineStr">
        <is>
          <t>12.330 + 6.042 = 18.372 kg/m²</t>
        </is>
      </c>
      <c r="E69" s="9" t="n"/>
      <c r="F69" s="9" t="n"/>
    </row>
    <row r="70" ht="20" customHeight="1">
      <c r="A70" s="15" t="inlineStr">
        <is>
          <t>ΣΥΝΟΛΙΚΟ ΒΑΡΟΣ ΧΑΛΥΒΑ ΣΧΑΡΩΝ ΕΡΓΟΥ</t>
        </is>
      </c>
      <c r="B70" s="16">
        <f>ROUND(B66*B69, 2)</f>
        <v/>
      </c>
      <c r="C70" s="17" t="inlineStr">
        <is>
          <t>kg</t>
        </is>
      </c>
      <c r="D70" s="18" t="inlineStr">
        <is>
          <t>2,450 m² x 18.372 kg/m²</t>
        </is>
      </c>
      <c r="E70" s="19" t="n"/>
      <c r="F70" s="19" t="n"/>
    </row>
    <row r="71" ht="19" customHeight="1">
      <c r="A71" s="5" t="inlineStr">
        <is>
          <t>Ονομαστικός Όγκος Shotcrete Μελέτης</t>
        </is>
      </c>
      <c r="B71" s="14">
        <f>ROUND(B66*B27, 2)</f>
        <v/>
      </c>
      <c r="C71" s="7" t="inlineStr">
        <is>
          <t>m³</t>
        </is>
      </c>
      <c r="D71" s="8" t="inlineStr">
        <is>
          <t>2,450 m² x 0.15 m (ΧΩΡΙΣ απώλεια στα κυβικά)</t>
        </is>
      </c>
      <c r="E71" s="9" t="n"/>
      <c r="F71" s="9" t="n"/>
    </row>
    <row r="72" ht="19" customHeight="1">
      <c r="A72" s="5" t="inlineStr">
        <is>
          <t>Ποσοστό Απώλειας επί του Ονομαστικού Πάχους</t>
        </is>
      </c>
      <c r="B72" s="20">
        <f>ROUND(B28/B27, 4)</f>
        <v/>
      </c>
      <c r="C72" s="7" t="inlineStr">
        <is>
          <t>ποσοστό</t>
        </is>
      </c>
      <c r="D72" s="8" t="inlineStr">
        <is>
          <t>0.05 m / 0.15 m = 33.33%</t>
        </is>
      </c>
      <c r="E72" s="9" t="n"/>
      <c r="F72" s="9" t="n"/>
    </row>
    <row r="74" ht="20" customHeight="1">
      <c r="A74" s="4" t="inlineStr">
        <is>
          <t>Β.3 Υπολογισμοί H-Beams (Πασσαλοκολώνες, Λάμες &amp; Κουγκρί Πάκτωσης)</t>
        </is>
      </c>
    </row>
    <row r="75" ht="19" customHeight="1">
      <c r="A75" s="5" t="inlineStr">
        <is>
          <t>Συνολικό Μήκος Διάτρησης ανά Οπή</t>
        </is>
      </c>
      <c r="B75" s="14">
        <f>B35</f>
        <v/>
      </c>
      <c r="C75" s="7" t="inlineStr">
        <is>
          <t>m / οπή</t>
        </is>
      </c>
      <c r="D75" s="8" t="inlineStr">
        <is>
          <t>15.50 m βάθος διάτρησης</t>
        </is>
      </c>
      <c r="E75" s="9" t="n"/>
      <c r="F75" s="9" t="n"/>
    </row>
    <row r="76" ht="20" customHeight="1">
      <c r="A76" s="15" t="inlineStr">
        <is>
          <t>ΣΥΝΟΛΙΚΑ ΜΕΤΡΑ ΔΙΑΤΡΗΣΗΣ ΜΕΓΑΛΟΥ ΤΡΥΠΑΝΙΟΥ</t>
        </is>
      </c>
      <c r="B76" s="16">
        <f>B33*B75</f>
        <v/>
      </c>
      <c r="C76" s="17" t="inlineStr">
        <is>
          <t>m</t>
        </is>
      </c>
      <c r="D76" s="18" t="inlineStr">
        <is>
          <t>98 οπές x 15.50 m</t>
        </is>
      </c>
      <c r="E76" s="19" t="n"/>
      <c r="F76" s="19" t="n"/>
    </row>
    <row r="77" ht="19" customHeight="1">
      <c r="A77" s="5" t="inlineStr">
        <is>
          <t>Κυβικά Εκσκαφής Οπής ανά Μέτρο (Κανόνας v2: Ø800 mm)</t>
        </is>
      </c>
      <c r="B77" s="14">
        <f>PI()*((B34/2)^2)</f>
        <v/>
      </c>
      <c r="C77" s="7" t="inlineStr">
        <is>
          <t>m³ / m</t>
        </is>
      </c>
      <c r="D77" s="8" t="inlineStr">
        <is>
          <t>π x (0.80/2)² = 0.5027 m³/m</t>
        </is>
      </c>
      <c r="E77" s="9" t="n"/>
      <c r="F77" s="9" t="n"/>
    </row>
    <row r="78" ht="19" customHeight="1">
      <c r="A78" s="5" t="inlineStr">
        <is>
          <t>Συνολικά Κυβικά Εκσκαφής Οπών Τρυπανιού</t>
        </is>
      </c>
      <c r="B78" s="14">
        <f>ROUND(B76*B77, 2)</f>
        <v/>
      </c>
      <c r="C78" s="7" t="inlineStr">
        <is>
          <t>m³</t>
        </is>
      </c>
      <c r="D78" s="8" t="inlineStr">
        <is>
          <t>1,519.00 m x 0.5027 m³/m</t>
        </is>
      </c>
      <c r="E78" s="9" t="n"/>
      <c r="F78" s="9" t="n"/>
    </row>
    <row r="79" ht="20" customHeight="1">
      <c r="A79" s="15" t="inlineStr">
        <is>
          <t>ΣΥΝΟΛΙΚΟ ΒΑΡΟΣ ΧΑΛΥΒΑ ΝΕΦΚΩΝ (2xUPN 350)</t>
        </is>
      </c>
      <c r="B79" s="16">
        <f>ROUND(B33*B38*B37*B39, 2)</f>
        <v/>
      </c>
      <c r="C79" s="17" t="inlineStr">
        <is>
          <t>kg</t>
        </is>
      </c>
      <c r="D79" s="18" t="inlineStr">
        <is>
          <t>98 οπές x 2 προφίλ x 15.00 m x 60.6 kg/m</t>
        </is>
      </c>
      <c r="E79" s="19" t="n"/>
      <c r="F79" s="19" t="n"/>
    </row>
    <row r="80" ht="19" customHeight="1">
      <c r="A80" s="5" t="inlineStr">
        <is>
          <t>Πλήθος Λαμών ανά Πάσσαλο (Κανόνας v2: L/s)</t>
        </is>
      </c>
      <c r="B80" s="14">
        <f>ROUND(B37/B41, 0)</f>
        <v/>
      </c>
      <c r="C80" s="7" t="inlineStr">
        <is>
          <t>λάμες / πάσσαλο</t>
        </is>
      </c>
      <c r="D80" s="8" t="inlineStr">
        <is>
          <t>15.00 m / 0.60 m = 25 λάμες (ακριβής τύπος v2)</t>
        </is>
      </c>
      <c r="E80" s="9" t="n"/>
      <c r="F80" s="9" t="n"/>
    </row>
    <row r="81" ht="20" customHeight="1">
      <c r="A81" s="15" t="inlineStr">
        <is>
          <t>ΣΥΝΟΛΙΚΟ ΠΛΗΘΟΣ ΛΑΜΩΝ ΣΥΝΔΕΣΗΣ ΕΡΓΟΥ</t>
        </is>
      </c>
      <c r="B81" s="21">
        <f>B33*B80</f>
        <v/>
      </c>
      <c r="C81" s="17" t="inlineStr">
        <is>
          <t>τεμάχια</t>
        </is>
      </c>
      <c r="D81" s="18" t="inlineStr">
        <is>
          <t>98 πάσσαλοι x 25 λάμες = 2,450 λάμες</t>
        </is>
      </c>
      <c r="E81" s="19" t="n"/>
      <c r="F81" s="19" t="n"/>
    </row>
    <row r="82" ht="19" customHeight="1">
      <c r="A82" s="5" t="inlineStr">
        <is>
          <t>Βάρος Μίας Λάμας PLT 350x100x12 mm</t>
        </is>
      </c>
      <c r="B82" s="14">
        <f>ROUND(0.35*0.10*0.012*7850, 3)</f>
        <v/>
      </c>
      <c r="C82" s="7" t="inlineStr">
        <is>
          <t>kg / λάμα</t>
        </is>
      </c>
      <c r="D82" s="8" t="inlineStr">
        <is>
          <t>0.35 x 0.10 x 0.012 m³ x 7850 kg/m³ = 3.297 kg</t>
        </is>
      </c>
      <c r="E82" s="9" t="n"/>
      <c r="F82" s="9" t="n"/>
    </row>
    <row r="83" ht="20" customHeight="1">
      <c r="A83" s="15" t="inlineStr">
        <is>
          <t>ΣΥΝΟΛΙΚΟ ΒΑΡΟΣ ΛΑΜΩΝ ΣΥΝΔΕΣΗΣ ΕΡΓΟΥ</t>
        </is>
      </c>
      <c r="B83" s="16">
        <f>ROUND(B81*B82, 2)</f>
        <v/>
      </c>
      <c r="C83" s="17" t="inlineStr">
        <is>
          <t>kg</t>
        </is>
      </c>
      <c r="D83" s="18" t="inlineStr">
        <is>
          <t>2,450 λάμες x 3.297 kg = 8,077.65 kg</t>
        </is>
      </c>
      <c r="E83" s="19" t="n"/>
      <c r="F83" s="19" t="n"/>
    </row>
    <row r="84" ht="19" customHeight="1">
      <c r="A84" s="5" t="inlineStr">
        <is>
          <t>Όγκος Κουγκριού Πάκτωσης ανά Πάσσαλο (Κανόνας v2: Ø800 mm)</t>
        </is>
      </c>
      <c r="B84" s="14">
        <f>ROUND(PI()*((B34/2)^2)*B42, 4)</f>
        <v/>
      </c>
      <c r="C84" s="7" t="inlineStr">
        <is>
          <t>m³ / πάσσαλο</t>
        </is>
      </c>
      <c r="D84" s="8" t="inlineStr">
        <is>
          <t>π x (0.80/2)² x 3.00 m = 1.5080 m³</t>
        </is>
      </c>
      <c r="E84" s="9" t="n"/>
      <c r="F84" s="9" t="n"/>
    </row>
    <row r="85" ht="20" customHeight="1">
      <c r="A85" s="15" t="inlineStr">
        <is>
          <t>ΣΥΝΟΛΙΚΟΣ ΟΓΚΟΣ ΚΟΥΓΚΡΙΟΥ ΠΑΚΤΩΣΗΣ</t>
        </is>
      </c>
      <c r="B85" s="16">
        <f>ROUND(B33*B84, 2)</f>
        <v/>
      </c>
      <c r="C85" s="17" t="inlineStr">
        <is>
          <t>m³</t>
        </is>
      </c>
      <c r="D85" s="18" t="inlineStr">
        <is>
          <t>98 πάσσαλοι x 1.5080 m³ = 147.78 m³ (C35/45)</t>
        </is>
      </c>
      <c r="E85" s="19" t="n"/>
      <c r="F85" s="19" t="n"/>
    </row>
    <row r="87" ht="20" customHeight="1">
      <c r="A87" s="4" t="inlineStr">
        <is>
          <t>Β.4 Υπολογισμοί Αγκυρώσεων (Διάτρηση, Grout, Τένοντες &amp; Κεφαλές)</t>
        </is>
      </c>
    </row>
    <row r="88" ht="20" customHeight="1">
      <c r="A88" s="15" t="inlineStr">
        <is>
          <t>ΣΥΝΟΛΙΚΟ ΠΛΗΘΟΣ ΑΓΚΥΡΩΣΕΩΝ ΕΡΓΟΥ</t>
        </is>
      </c>
      <c r="B88" s="21">
        <f>B46*B51</f>
        <v/>
      </c>
      <c r="C88" s="17" t="inlineStr">
        <is>
          <t>τεμάχια</t>
        </is>
      </c>
      <c r="D88" s="18" t="inlineStr">
        <is>
          <t>4 σειρές x 98 αγκυρώσεις/σειρά = 392 αγκυρώσεις</t>
        </is>
      </c>
      <c r="E88" s="19" t="n"/>
      <c r="F88" s="19" t="n"/>
    </row>
    <row r="89" ht="20" customHeight="1">
      <c r="A89" s="15" t="inlineStr">
        <is>
          <t>ΣΥΝΟΛΙΚΑ ΜΕΤΡΑ ΔΙΑΤΡΗΣΗΣ ΑΓΚΥΡΩΣΕΩΝ</t>
        </is>
      </c>
      <c r="B89" s="16">
        <f>B88*B47</f>
        <v/>
      </c>
      <c r="C89" s="17" t="inlineStr">
        <is>
          <t>m</t>
        </is>
      </c>
      <c r="D89" s="18" t="inlineStr">
        <is>
          <t>392 αγκυρώσεις x 13.30 m = 5,213.60 m</t>
        </is>
      </c>
      <c r="E89" s="19" t="n"/>
      <c r="F89" s="19" t="n"/>
    </row>
    <row r="90" ht="19" customHeight="1">
      <c r="A90" s="5" t="inlineStr">
        <is>
          <t>Όγκος Grout ανά Μέτρο Διάτρησης (Ø150mm)</t>
        </is>
      </c>
      <c r="B90" s="14">
        <f>PI()*((B53/2)^2)*B55</f>
        <v/>
      </c>
      <c r="C90" s="7" t="inlineStr">
        <is>
          <t>m³ / m</t>
        </is>
      </c>
      <c r="D90" s="8" t="inlineStr">
        <is>
          <t>π x (0.15/2)² x 1.20 = 0.021206 m³/m</t>
        </is>
      </c>
      <c r="E90" s="9" t="n"/>
      <c r="F90" s="9" t="n"/>
    </row>
    <row r="91" ht="20" customHeight="1">
      <c r="A91" s="15" t="inlineStr">
        <is>
          <t>ΣΥΝΟΛΙΚΟΣ ΟΓΚΟΣ GROUT ΑΓΚΥΡΩΣΕΩΝ</t>
        </is>
      </c>
      <c r="B91" s="16">
        <f>ROUND(B89*B90, 2)</f>
        <v/>
      </c>
      <c r="C91" s="17" t="inlineStr">
        <is>
          <t>m³</t>
        </is>
      </c>
      <c r="D91" s="18" t="inlineStr">
        <is>
          <t>5,213.60 m x 0.021206 m³/m = 110.56 m³</t>
        </is>
      </c>
      <c r="E91" s="19" t="n"/>
      <c r="F91" s="19" t="n"/>
    </row>
    <row r="92" ht="20" customHeight="1">
      <c r="A92" s="15" t="inlineStr">
        <is>
          <t>ΣΥΝΟΛΙΚΟ ΜΗΚΟΣ ΤΕΝΟΝΤΩΝ (STRANDS 0.6")</t>
        </is>
      </c>
      <c r="B92" s="16">
        <f>ROUND(B88*(B47+B56)*B52, 2)</f>
        <v/>
      </c>
      <c r="C92" s="17" t="inlineStr">
        <is>
          <t>m</t>
        </is>
      </c>
      <c r="D92" s="18" t="inlineStr">
        <is>
          <t>392 οπές x (13.30 + 1.0m) x 5 strands</t>
        </is>
      </c>
      <c r="E92" s="19" t="n"/>
      <c r="F92" s="19" t="n"/>
    </row>
    <row r="93" ht="19" customHeight="1">
      <c r="A93" s="5" t="inlineStr">
        <is>
          <t>Θεωρητικό Βάρος Τενόντων ανά Μέτρο</t>
        </is>
      </c>
      <c r="B93" s="14" t="n">
        <v>1.1</v>
      </c>
      <c r="C93" s="7" t="inlineStr">
        <is>
          <t>kg / m</t>
        </is>
      </c>
      <c r="D93" s="8" t="inlineStr">
        <is>
          <t>Τυπικό βάρος strand 0.6" (15.2 mm)</t>
        </is>
      </c>
      <c r="E93" s="9" t="n"/>
      <c r="F93" s="9" t="n"/>
    </row>
    <row r="94" ht="20" customHeight="1">
      <c r="A94" s="15" t="inlineStr">
        <is>
          <t>ΣΥΝΟΛΙΚΟ ΒΑΡΟΣ ΤΕΝΟΝΤΩΝ ΕΡΓΟΥ</t>
        </is>
      </c>
      <c r="B94" s="16">
        <f>ROUND(B92*B93, 2)</f>
        <v/>
      </c>
      <c r="C94" s="17" t="inlineStr">
        <is>
          <t>kg</t>
        </is>
      </c>
      <c r="D94" s="18" t="inlineStr">
        <is>
          <t>28,028 m x 1.10 kg/m = 30,830.80 kg</t>
        </is>
      </c>
      <c r="E94" s="19" t="n"/>
      <c r="F94" s="19" t="n"/>
    </row>
    <row r="95" ht="20" customHeight="1">
      <c r="A95" s="15" t="inlineStr">
        <is>
          <t>ΣΥΝΟΛΙΚΟ ΠΛΗΘΟΣ ΣΕΤ ΠΡΟΕΝΤΑΣΗΣ &amp; LOCK-OFF</t>
        </is>
      </c>
      <c r="B95" s="21">
        <f>B88</f>
        <v/>
      </c>
      <c r="C95" s="17" t="inlineStr">
        <is>
          <t>τεμάχια</t>
        </is>
      </c>
      <c r="D95" s="18" t="inlineStr">
        <is>
          <t>1 διαδικασία τάνυσης ανά αγκύρωση</t>
        </is>
      </c>
      <c r="E95" s="19" t="n"/>
      <c r="F95" s="19" t="n"/>
    </row>
    <row r="96" ht="20" customHeight="1">
      <c r="A96" s="15" t="inlineStr">
        <is>
          <t>ΣΥΝΟΛΙΚΟ ΠΛΗΘΟΣ ΚΕΦΑΛΩΝ ΑΓΚΥΡΩΣΗΣ &amp; ΠΛΑΚΩΝ</t>
        </is>
      </c>
      <c r="B96" s="21">
        <f>B88</f>
        <v/>
      </c>
      <c r="C96" s="17" t="inlineStr">
        <is>
          <t>τεμάχια</t>
        </is>
      </c>
      <c r="D96" s="18" t="inlineStr">
        <is>
          <t>1 πλήρες σετ κεφαλής ανά αγκύρωση</t>
        </is>
      </c>
      <c r="E96" s="19" t="n"/>
      <c r="F96" s="19" t="n"/>
    </row>
  </sheetData>
  <mergeCells count="11">
    <mergeCell ref="A11:F11"/>
    <mergeCell ref="A5:F5"/>
    <mergeCell ref="A45:F45"/>
    <mergeCell ref="A31:F31"/>
    <mergeCell ref="A58:F58"/>
    <mergeCell ref="A74:F74"/>
    <mergeCell ref="A87:F87"/>
    <mergeCell ref="A4:F4"/>
    <mergeCell ref="A20:F20"/>
    <mergeCell ref="A64:F64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22" customWidth="1" min="4" max="4"/>
    <col width="22" customWidth="1" min="5" max="5"/>
    <col width="45" customWidth="1" min="6" max="6"/>
  </cols>
  <sheetData>
    <row r="1">
      <c r="A1" s="1" t="inlineStr">
        <is>
          <t>ΠΡΟΣΦΟΡΑ ΚΟΣΤΟΛΟΓΗΣΗΣ: TOFARCO "ΑΘΗΝΑΙΟΝ" (TIVOLI PROPERTY LTD)</t>
        </is>
      </c>
    </row>
    <row r="2">
      <c r="A2" s="2" t="inlineStr">
        <is>
          <t>ΑΝΑΛΥΣΗ ΚΟΣΤΟΥΣ 4 ΠΥΛΩΝΩΝ (v2)  |  ΓΕΝΙΚΑ ΕΞΟΔΑ &amp; ΚΕΡΔΟΣ ΕΝΣΩΜΑΤΩΜΕΝΑ ΣΤΙΣ ΤΙΜΕΣ ΜΟΝΑΔΑΣ (ΚΙΤΡΙΝΑ ΚΕΛΙΑ)</t>
        </is>
      </c>
    </row>
    <row r="4" ht="28" customHeight="1">
      <c r="A4" s="22" t="inlineStr">
        <is>
          <t>Περιγραφή Εργασίας / Υλικού</t>
        </is>
      </c>
      <c r="B4" s="22" t="inlineStr">
        <is>
          <t>Ποσότητα Μελέτης
[ΑΠΟ ΦΥΛΛΟ 1]</t>
        </is>
      </c>
      <c r="C4" s="22" t="inlineStr">
        <is>
          <t>Μονάδα</t>
        </is>
      </c>
      <c r="D4" s="22" t="inlineStr">
        <is>
          <t>Τιμή Μονάδας (€)
[ΚΙΤΡΙΝΟ = ΑΛΛΑΖΕΙ]</t>
        </is>
      </c>
      <c r="E4" s="22" t="inlineStr">
        <is>
          <t>Σύνολο (€)</t>
        </is>
      </c>
      <c r="F4" s="22" t="inlineStr">
        <is>
          <t>Παρατηρήσεις &amp; Τεχνικές Σημειώσεις Μελέτης</t>
        </is>
      </c>
    </row>
    <row r="5" ht="22" customHeight="1">
      <c r="A5" s="4" t="inlineStr">
        <is>
          <t>ΠΥΛΩΝΑΣ 1: ΜΕΤΑΚΙΝΗΣΕΙΣ ΕΞΟΠΛΙΣΜΟΥ &amp; ΠΡΟΣΩΠΙΚΟΥ (ΛΕΥΚΩΣΙΑ &gt; 80 km)</t>
        </is>
      </c>
    </row>
    <row r="6" ht="20" customHeight="1">
      <c r="A6" s="5" t="inlineStr">
        <is>
          <t>1.1 Μετακίνηση Μεγάλου Τρυπανιού (Piling Rig)</t>
        </is>
      </c>
      <c r="B6" s="23">
        <f>'1_Στοιχεία_Μελέτης_&amp;_Ποσότητες'!B60</f>
        <v/>
      </c>
      <c r="C6" s="7" t="inlineStr">
        <is>
          <t>στράτες</t>
        </is>
      </c>
      <c r="D6" s="24" t="n">
        <v>3000</v>
      </c>
      <c r="E6" s="25">
        <f>B6*D6</f>
        <v/>
      </c>
      <c r="F6" s="8" t="inlineStr">
        <is>
          <t>1 στράτα. Βασική 1500 € + 1500 € επιβάρυνση Λευκωσίας (&gt;80 km)</t>
        </is>
      </c>
    </row>
    <row r="7" ht="20" customHeight="1">
      <c r="A7" s="5" t="inlineStr">
        <is>
          <t>1.2 Μετακινήσεις Εξοπλισμού Αγκυρώσεων</t>
        </is>
      </c>
      <c r="B7" s="23">
        <f>'1_Στοιχεία_Μελέτης_&amp;_Ποσότητες'!B61</f>
        <v/>
      </c>
      <c r="C7" s="7" t="inlineStr">
        <is>
          <t>στράτες</t>
        </is>
      </c>
      <c r="D7" s="24" t="n">
        <v>400</v>
      </c>
      <c r="E7" s="25">
        <f>B7*D7</f>
        <v/>
      </c>
      <c r="F7" s="8" t="inlineStr">
        <is>
          <t>4 στράτες (όσες οι σειρές αγκυρώσεων). 300 € + 2x50 € Λευκωσίας</t>
        </is>
      </c>
    </row>
    <row r="8" ht="20" customHeight="1">
      <c r="A8" s="5" t="inlineStr">
        <is>
          <t>1.3 Μετακινήσεις Συνεργείου &amp; Αντλίας Shotcrete</t>
        </is>
      </c>
      <c r="B8" s="23">
        <f>'1_Στοιχεία_Μελέτης_&amp;_Ποσότητες'!B62</f>
        <v/>
      </c>
      <c r="C8" s="7" t="inlineStr">
        <is>
          <t>στράτες</t>
        </is>
      </c>
      <c r="D8" s="24" t="n">
        <v>300</v>
      </c>
      <c r="E8" s="25">
        <f>B8*D8</f>
        <v/>
      </c>
      <c r="F8" s="8" t="inlineStr">
        <is>
          <t>5 στράτες (σειρές αγκυρώσεων + 1). 200 € + 2x50 € Λευκωσίας</t>
        </is>
      </c>
    </row>
    <row r="9" ht="21" customHeight="1">
      <c r="A9" s="26" t="inlineStr">
        <is>
          <t>ΣΥΝΟΛΟ ΠΥΛΩΝΑ 1 (ΜΕΤΑΚΙΝΗΣΕΙΣ)</t>
        </is>
      </c>
      <c r="B9" s="27" t="n"/>
      <c r="C9" s="27" t="n"/>
      <c r="D9" s="27" t="n"/>
      <c r="E9" s="28">
        <f>SUM(E6:E8)</f>
        <v/>
      </c>
      <c r="F9" s="27" t="n"/>
    </row>
    <row r="11" ht="22" customHeight="1">
      <c r="A11" s="4" t="inlineStr">
        <is>
          <t>ΠΥΛΩΝΑΣ 2: ΣΧΑΡΕΣ ΟΠΛΙΣΜΟΥ &amp; ΕΚΤΟΞΕΥΟΜΕΝΟ ΣΚΥΡΟΔΕΜΑ (SHOTCRETE)</t>
        </is>
      </c>
    </row>
    <row r="12" ht="20" customHeight="1">
      <c r="A12" s="5">
        <f>"2.1 Αγορά Χάλυβα Σχάρας (" &amp; '1_Στοιχεία_Μελέτης_&amp;_Ποσότητες'!B21 &amp; " + " &amp; '1_Στοιχεία_Μελέτης_&amp;_Ποσότητες'!B24 &amp; ")"</f>
        <v/>
      </c>
      <c r="B12" s="25">
        <f>'1_Στοιχεία_Μελέτης_&amp;_Ποσότητες'!B70</f>
        <v/>
      </c>
      <c r="C12" s="7" t="inlineStr">
        <is>
          <t>kg</t>
        </is>
      </c>
      <c r="D12" s="24" t="n">
        <v>2.5</v>
      </c>
      <c r="E12" s="25">
        <f>B12*D12</f>
        <v/>
      </c>
      <c r="F12" s="8" t="inlineStr">
        <is>
          <t>Χάλυβας B500C (18.37 kg/m² μετώπου)</t>
        </is>
      </c>
    </row>
    <row r="13" ht="20" customHeight="1">
      <c r="A13" s="5" t="inlineStr">
        <is>
          <t>2.2 Τοποθέτηση &amp; Εργατικά Σχάρας Μετώπου</t>
        </is>
      </c>
      <c r="B13" s="25">
        <f>'1_Στοιχεία_Μελέτης_&amp;_Ποσότητες'!B66</f>
        <v/>
      </c>
      <c r="C13" s="7" t="inlineStr">
        <is>
          <t>m²</t>
        </is>
      </c>
      <c r="D13" s="24" t="n">
        <v>15</v>
      </c>
      <c r="E13" s="25">
        <f>B13*D13</f>
        <v/>
      </c>
      <c r="F13" s="8" t="inlineStr">
        <is>
          <t>Ενιαία τιμή τοποθέτησης ανά m² μετώπου εκσκαφής</t>
        </is>
      </c>
    </row>
    <row r="14" ht="20" customHeight="1">
      <c r="A14" s="5" t="inlineStr">
        <is>
          <t>2.3 Αγορά Σκυροδέματος Shotcrete C30/40</t>
        </is>
      </c>
      <c r="B14" s="25">
        <f>'1_Στοιχεία_Μελέτης_&amp;_Ποσότητες'!B71</f>
        <v/>
      </c>
      <c r="C14" s="7" t="inlineStr">
        <is>
          <t>m³</t>
        </is>
      </c>
      <c r="D14" s="24" t="n">
        <v>90</v>
      </c>
      <c r="E14" s="25">
        <f>B14*D14</f>
        <v/>
      </c>
      <c r="F14" s="8" t="inlineStr">
        <is>
          <t>367.50 m³ ονομαστικός όγκος μελέτης (t=15cm, χωρίς απώλεια)</t>
        </is>
      </c>
    </row>
    <row r="15" ht="20" customHeight="1">
      <c r="A15" s="5" t="inlineStr">
        <is>
          <t>2.4 Εφαρμογή, Άντληση &amp; Εκτόξευση Shotcrete</t>
        </is>
      </c>
      <c r="B15" s="25">
        <f>'1_Στοιχεία_Μελέτης_&amp;_Ποσότητες'!B71</f>
        <v/>
      </c>
      <c r="C15" s="7" t="inlineStr">
        <is>
          <t>m³</t>
        </is>
      </c>
      <c r="D15" s="24">
        <f>ROUND((200*(1+'1_Στοιχεία_Μελέτης_&amp;_Ποσότητες'!B72))-90, 2)</f>
        <v/>
      </c>
      <c r="E15" s="25">
        <f>B15*D15</f>
        <v/>
      </c>
      <c r="F15" s="8" t="inlineStr">
        <is>
          <t>Τύπος: [(200 x (1 + %απώλειας)) - 90] = 176.67 €/m³</t>
        </is>
      </c>
    </row>
    <row r="16" ht="21" customHeight="1">
      <c r="A16" s="26" t="inlineStr">
        <is>
          <t>ΣΥΝΟΛΟ ΠΥΛΩΝΑ 2 (ΣΧΑΡΕΣ &amp; SHOTCRETE)</t>
        </is>
      </c>
      <c r="B16" s="27" t="n"/>
      <c r="C16" s="27" t="n"/>
      <c r="D16" s="27" t="n"/>
      <c r="E16" s="28">
        <f>SUM(E12:E15)</f>
        <v/>
      </c>
      <c r="F16" s="27" t="n"/>
    </row>
    <row r="18" ht="22" customHeight="1">
      <c r="A18" s="4" t="inlineStr">
        <is>
          <t>ΠΥΛΩΝΑΣ 3: H-BEAMS (ΠΑΣΣΑΛΟΚΟΛΩΝΕΣ 2xUPN 350, ΔΙΑΤΡΗΣΗ Ø800, ΛΑΜΕΣ &amp; ΚΟΥΓΚΡΙ)</t>
        </is>
      </c>
    </row>
    <row r="19" ht="20" customHeight="1">
      <c r="A19" s="5">
        <f>"3.1 Διάτρηση Μεγάλου Τρυπανιού (Ø" &amp; TEXT('1_Στοιχεία_Μελέτης_&amp;_Ποσότητες'!B34*1000, "0") &amp; " mm)"</f>
        <v/>
      </c>
      <c r="B19" s="25">
        <f>'1_Στοιχεία_Μελέτης_&amp;_Ποσότητες'!B76</f>
        <v/>
      </c>
      <c r="C19" s="7" t="inlineStr">
        <is>
          <t>m</t>
        </is>
      </c>
      <c r="D19" s="24" t="n">
        <v>75</v>
      </c>
      <c r="E19" s="25">
        <f>B19*D19</f>
        <v/>
      </c>
      <c r="F19" s="8" t="inlineStr">
        <is>
          <t>98 οπές x 15.50 m (Κανόνας v2: Ελάχιστη διάτρηση Ø800 mm)</t>
        </is>
      </c>
    </row>
    <row r="20" ht="20" customHeight="1">
      <c r="A20" s="5">
        <f>"3.2 Χάλυβας Νέφκων (" &amp; '1_Στοιχεία_Μελέτης_&amp;_Ποσότητες'!B36 &amp; " @ 60.6 kg/m)"</f>
        <v/>
      </c>
      <c r="B20" s="25">
        <f>'1_Στοιχεία_Μελέτης_&amp;_Ποσότητες'!B79</f>
        <v/>
      </c>
      <c r="C20" s="7" t="inlineStr">
        <is>
          <t>kg</t>
        </is>
      </c>
      <c r="D20" s="24" t="n">
        <v>1.4</v>
      </c>
      <c r="E20" s="25">
        <f>B20*D20</f>
        <v/>
      </c>
      <c r="F20" s="8" t="inlineStr">
        <is>
          <t>1.00 € αγορά + 0.40 € επεξεργασία &amp; τοποθέτηση</t>
        </is>
      </c>
    </row>
    <row r="21" ht="20" customHeight="1">
      <c r="A21" s="5" t="inlineStr">
        <is>
          <t>3.3 Λάμες Σύνδεσης / Ενίσχυσης PLT 350x100x12 mm</t>
        </is>
      </c>
      <c r="B21" s="25">
        <f>'1_Στοιχεία_Μελέτης_&amp;_Ποσότητες'!B83</f>
        <v/>
      </c>
      <c r="C21" s="7" t="inlineStr">
        <is>
          <t>kg</t>
        </is>
      </c>
      <c r="D21" s="24" t="n">
        <v>1.6</v>
      </c>
      <c r="E21" s="25">
        <f>B21*D21</f>
        <v/>
      </c>
      <c r="F21" s="8" t="inlineStr">
        <is>
          <t>2,450 λάμες (Κανόνας v2: L/s = 25 λάμες/οπή, 1.00€ αγορά + 0.60€ συγκόλληση)</t>
        </is>
      </c>
    </row>
    <row r="22" ht="20" customHeight="1">
      <c r="A22" s="5" t="inlineStr">
        <is>
          <t>3.4 Κουγκρί Πάκτωσης Πασσάλων (H=3.0 m, Ø800 mm)</t>
        </is>
      </c>
      <c r="B22" s="25">
        <f>'1_Στοιχεία_Μελέτης_&amp;_Ποσότητες'!B85</f>
        <v/>
      </c>
      <c r="C22" s="7" t="inlineStr">
        <is>
          <t>m³</t>
        </is>
      </c>
      <c r="D22" s="29" t="n">
        <v>120</v>
      </c>
      <c r="E22" s="25">
        <f>B22*D22</f>
        <v/>
      </c>
      <c r="F22" s="8" t="inlineStr">
        <is>
          <t>147.78 m³. Επιλογή C35/45 (Σ02.1 ανέφερε C30/37). Τιμή βάσης 120€ για C25/30</t>
        </is>
      </c>
    </row>
    <row r="23" ht="20" customHeight="1">
      <c r="A23" s="5" t="inlineStr">
        <is>
          <t>3.5 Γωνιές Στήριξης (Equal Angles L)</t>
        </is>
      </c>
      <c r="B23" s="25" t="n">
        <v>0</v>
      </c>
      <c r="C23" s="7" t="inlineStr">
        <is>
          <t>kg</t>
        </is>
      </c>
      <c r="D23" s="24" t="n">
        <v>1.6</v>
      </c>
      <c r="E23" s="25">
        <f>B23*D23</f>
        <v/>
      </c>
      <c r="F23" s="8" t="inlineStr">
        <is>
          <t>Δεν ζητούνται γωνιές στήριξης στα κατασκευαστικά σχέδια</t>
        </is>
      </c>
    </row>
    <row r="24" ht="21" customHeight="1">
      <c r="A24" s="26" t="inlineStr">
        <is>
          <t>ΣΥΝΟΛΟ ΠΥΛΩΝΑ 3 (H-BEAMS)</t>
        </is>
      </c>
      <c r="B24" s="27" t="n"/>
      <c r="C24" s="27" t="n"/>
      <c r="D24" s="27" t="n"/>
      <c r="E24" s="28">
        <f>SUM(E19:E23)</f>
        <v/>
      </c>
      <c r="F24" s="27" t="n"/>
    </row>
    <row r="26" ht="22" customHeight="1">
      <c r="A26" s="4" t="inlineStr">
        <is>
          <t>ΠΥΛΩΝΑΣ 4: ΑΓΚΥΡΩΣΕΙΣ (PRESTRESSED TIEBACK ANCHORS — 4 ΣΕΙΡΕΣ)</t>
        </is>
      </c>
    </row>
    <row r="27" ht="20" customHeight="1">
      <c r="A27" s="5">
        <f>"4.1 Διάτρηση Αγκυρώσεων (Ø" &amp; TEXT('1_Στοιχεία_Μελέτης_&amp;_Ποσότητες'!B53*1000, "0") &amp; " mm)"</f>
        <v/>
      </c>
      <c r="B27" s="25">
        <f>'1_Στοιχεία_Μελέτης_&amp;_Ποσότητες'!B89</f>
        <v/>
      </c>
      <c r="C27" s="7" t="inlineStr">
        <is>
          <t>m</t>
        </is>
      </c>
      <c r="D27" s="24" t="n">
        <v>30</v>
      </c>
      <c r="E27" s="25">
        <f>B27*D27</f>
        <v/>
      </c>
      <c r="F27" s="8" t="inlineStr">
        <is>
          <t>392 οπές x 13.30 m βάθος (εύρος τιμών: 25–35 €/m)</t>
        </is>
      </c>
    </row>
    <row r="28" ht="20" customHeight="1">
      <c r="A28" s="5" t="inlineStr">
        <is>
          <t>4.2 Grout Τσιμεντενέματος Πλήρωσης Αγκυρώσεων</t>
        </is>
      </c>
      <c r="B28" s="25">
        <f>'1_Στοιχεία_Μελέτης_&amp;_Ποσότητες'!B91</f>
        <v/>
      </c>
      <c r="C28" s="7" t="inlineStr">
        <is>
          <t>m³</t>
        </is>
      </c>
      <c r="D28" s="24" t="n">
        <v>500</v>
      </c>
      <c r="E28" s="25">
        <f>B28*D28</f>
        <v/>
      </c>
      <c r="F28" s="8" t="inlineStr">
        <is>
          <t>Υψηλής αντοχής fcu &gt; 80 N/mm² (ASTM C-845)</t>
        </is>
      </c>
    </row>
    <row r="29" ht="20" customHeight="1">
      <c r="A29" s="5" t="inlineStr">
        <is>
          <t>4.3 Τένοντες Προέντασης (5 Strands 0.6" - 1.10 kg/m)</t>
        </is>
      </c>
      <c r="B29" s="25">
        <f>'1_Στοιχεία_Μελέτης_&amp;_Ποσότητες'!B92</f>
        <v/>
      </c>
      <c r="C29" s="7" t="inlineStr">
        <is>
          <t>m</t>
        </is>
      </c>
      <c r="D29" s="24" t="n">
        <v>2.28</v>
      </c>
      <c r="E29" s="25">
        <f>B29*D29</f>
        <v/>
      </c>
      <c r="F29" s="8" t="inlineStr">
        <is>
          <t>28,028 m (392 οπές x 14.30m x 5 strands @ 2.28 €/m)</t>
        </is>
      </c>
    </row>
    <row r="30" ht="20" customHeight="1">
      <c r="A30" s="5" t="inlineStr">
        <is>
          <t>4.4 Προένταση Αγκυρώσεων (Stressing &amp; Lock-off)</t>
        </is>
      </c>
      <c r="B30" s="30">
        <f>'1_Στοιχεία_Μελέτης_&amp;_Ποσότητες'!B95</f>
        <v/>
      </c>
      <c r="C30" s="7" t="inlineStr">
        <is>
          <t>τεμ</t>
        </is>
      </c>
      <c r="D30" s="24" t="n">
        <v>18</v>
      </c>
      <c r="E30" s="25">
        <f>B30*D30</f>
        <v/>
      </c>
      <c r="F30" s="8" t="inlineStr">
        <is>
          <t>392 διαδικασίες τάνυσης και κλειδώματος σφηνών</t>
        </is>
      </c>
    </row>
    <row r="31" ht="20" customHeight="1">
      <c r="A31" s="5" t="inlineStr">
        <is>
          <t>4.5 Κεφαλή Αγκύρωσης, Σφήνες &amp; Πλάκα Έδρασης</t>
        </is>
      </c>
      <c r="B31" s="30">
        <f>'1_Στοιχεία_Μελέτης_&amp;_Ποσότητες'!B96</f>
        <v/>
      </c>
      <c r="C31" s="7" t="inlineStr">
        <is>
          <t>τεμ</t>
        </is>
      </c>
      <c r="D31" s="24" t="n">
        <v>55</v>
      </c>
      <c r="E31" s="25">
        <f>B31*D31</f>
        <v/>
      </c>
      <c r="F31" s="8" t="inlineStr">
        <is>
          <t>392 πλήρη σετ κεφαλής, σφηνών και πλάκας έδρασης</t>
        </is>
      </c>
    </row>
    <row r="32" ht="21" customHeight="1">
      <c r="A32" s="26" t="inlineStr">
        <is>
          <t>ΣΥΝΟΛΟ ΠΥΛΩΝΑ 4 (ΑΓΚΥΡΩΣΕΙΣ)</t>
        </is>
      </c>
      <c r="B32" s="27" t="n"/>
      <c r="C32" s="27" t="n"/>
      <c r="D32" s="27" t="n"/>
      <c r="E32" s="28">
        <f>SUM(E27:E31)</f>
        <v/>
      </c>
      <c r="F32" s="27" t="n"/>
    </row>
    <row r="34" ht="22" customHeight="1">
      <c r="A34" s="4" t="inlineStr">
        <is>
          <t>ΤΕΛΙΚΑ ΣΥΝΟΛΑ ΠΡΟΣΦΟΡΑΣ (ΓΕΝΙΚΑ ΕΞΟΔΑ &amp; ΚΕΡΔΟΣ ΕΝΣΩΜΑΤΩΜΕΝΑ ΣΤΙΣ ΤΙΜΕΣ)</t>
        </is>
      </c>
    </row>
    <row r="35" ht="22" customHeight="1">
      <c r="A35" s="31" t="inlineStr">
        <is>
          <t>ΚΑΘΑΡΟ ΣΥΝΟΛΟ ΠΡΟΣΦΟΡΑΣ (ΠΡΟ Φ.Π.Α.)</t>
        </is>
      </c>
      <c r="B35" s="32" t="n"/>
      <c r="C35" s="32" t="n"/>
      <c r="D35" s="32" t="n"/>
      <c r="E35" s="33">
        <f>E9+E16+E24+E32</f>
        <v/>
      </c>
      <c r="F35" s="32" t="n"/>
    </row>
    <row r="36" ht="20" customHeight="1">
      <c r="A36" s="34" t="inlineStr">
        <is>
          <t>Φ.Π.Α. (19%)</t>
        </is>
      </c>
      <c r="B36" s="35" t="n"/>
      <c r="C36" s="35" t="n"/>
      <c r="D36" s="35" t="n"/>
      <c r="E36" s="36">
        <f>ROUND(E35*0.19, 2)</f>
        <v/>
      </c>
      <c r="F36" s="35" t="n"/>
    </row>
    <row r="37" ht="22" customHeight="1">
      <c r="A37" s="37" t="inlineStr">
        <is>
          <t>ΤΕΛΙΚΟ ΠΛΗΡΩΤΕΟ ΠΟΣΟ (ΜΕ Φ.Π.Α.)</t>
        </is>
      </c>
      <c r="B37" s="38" t="n"/>
      <c r="C37" s="38" t="n"/>
      <c r="D37" s="38" t="n"/>
      <c r="E37" s="39">
        <f>E35+E36</f>
        <v/>
      </c>
      <c r="F37" s="38" t="n"/>
    </row>
    <row r="39" ht="22" customHeight="1">
      <c r="A39" s="4" t="inlineStr">
        <is>
          <t>ΒΑΣΙΚΟΙ ΔΕΙΚΤΕΣ ΚΟΣΤΟΥΣ &amp; VALUE ENGINEERING (KPIs)</t>
        </is>
      </c>
    </row>
    <row r="40" ht="20" customHeight="1">
      <c r="A40" s="40" t="inlineStr">
        <is>
          <t>KPI 1: Συνολικό Κόστος ανά m² Μετώπου Εκσκαφής</t>
        </is>
      </c>
      <c r="B40" s="41" t="n"/>
      <c r="C40" s="42" t="inlineStr">
        <is>
          <t>€ / m²</t>
        </is>
      </c>
      <c r="D40" s="41" t="n"/>
      <c r="E40" s="43">
        <f>ROUND(E35/'1_Στοιχεία_Μελέτης_&amp;_Ποσότητες'!B66, 2)</f>
        <v/>
      </c>
      <c r="F40" s="44" t="inlineStr">
        <is>
          <t>Καθαρό Σύνολο Προσφοράς / 2,450 m² εμβαδόν μετώπου</t>
        </is>
      </c>
    </row>
    <row r="41" ht="20" customHeight="1">
      <c r="A41" s="40" t="inlineStr">
        <is>
          <t>KPI 2: Συνολικό Κόστος ανά Αγκύρωση (Πλήρες Σύστημα Αγκύρωσης)</t>
        </is>
      </c>
      <c r="B41" s="41" t="n"/>
      <c r="C41" s="42" t="inlineStr">
        <is>
          <t>€ / αγκύρωση</t>
        </is>
      </c>
      <c r="D41" s="41" t="n"/>
      <c r="E41" s="43">
        <f>ROUND(E32/'1_Στοιχεία_Μελέτης_&amp;_Ποσότητες'!B88, 2)</f>
        <v/>
      </c>
      <c r="F41" s="44" t="inlineStr">
        <is>
          <t>Σύνολο Πυλώνα 4 / 392 αγκυρώσεις</t>
        </is>
      </c>
    </row>
    <row r="42" ht="20" customHeight="1">
      <c r="A42" s="40" t="inlineStr">
        <is>
          <t>KPI 3: Συνολικό Κόστος Σχαρών &amp; Shotcrete ανά m² Μετώπου</t>
        </is>
      </c>
      <c r="B42" s="41" t="n"/>
      <c r="C42" s="42" t="inlineStr">
        <is>
          <t>€ / m²</t>
        </is>
      </c>
      <c r="D42" s="41" t="n"/>
      <c r="E42" s="43">
        <f>ROUND(E16/'1_Στοιχεία_Μελέτης_&amp;_Ποσότητες'!B66, 2)</f>
        <v/>
      </c>
      <c r="F42" s="44" t="inlineStr">
        <is>
          <t>Σύνολο Πυλώνα 2 / 2,450 m² εμβαδόν μετώπου</t>
        </is>
      </c>
    </row>
    <row r="43" ht="20" customHeight="1">
      <c r="A43" s="40" t="inlineStr">
        <is>
          <t>KPI 4: Συνολικό Κόστος H-Beams ανά Πάσσαλο / Οπή</t>
        </is>
      </c>
      <c r="B43" s="41" t="n"/>
      <c r="C43" s="42" t="inlineStr">
        <is>
          <t>€ / πάσσαλο</t>
        </is>
      </c>
      <c r="D43" s="41" t="n"/>
      <c r="E43" s="43">
        <f>ROUND(E24/'1_Στοιχεία_Μελέτης_&amp;_Ποσότητες'!B33, 2)</f>
        <v/>
      </c>
      <c r="F43" s="44" t="inlineStr">
        <is>
          <t>Σύνολο Πυλώνα 3 / 98 πασσαλοκολώνες</t>
        </is>
      </c>
    </row>
  </sheetData>
  <mergeCells count="6">
    <mergeCell ref="A11:F11"/>
    <mergeCell ref="A5:F5"/>
    <mergeCell ref="A34:F34"/>
    <mergeCell ref="A18:F18"/>
    <mergeCell ref="A26:F26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5" customWidth="1" min="7" max="7"/>
  </cols>
  <sheetData>
    <row r="1">
      <c r="A1" s="1" t="inlineStr">
        <is>
          <t>ΠΙΝΑΚΕΣ ΔΙΑΤΟΜΩΝ ΧΑΛΥΒΑ &amp; ΘΕΩΡΗΤΙΚΑ ΒΑΡΗ (EUROCODES)</t>
        </is>
      </c>
    </row>
    <row r="2">
      <c r="A2" s="2" t="inlineStr">
        <is>
          <t>Περιλαμβάνει Ευρωπαϊκά Πλατύπελμα HEA, HEB, Κοιλοδοκούς UPN (με έμφαση στο UPN 350) και Γωνίες L</t>
        </is>
      </c>
    </row>
    <row r="4" ht="20" customHeight="1">
      <c r="A4" s="4" t="inlineStr">
        <is>
          <t>1. ΔΙΑΤΟΜΕΣ HEA (Ευρωπαϊκά Πλατύπελμα Ελαφρού Τύπου)</t>
        </is>
      </c>
    </row>
    <row r="5" ht="20" customHeight="1">
      <c r="A5" s="22" t="inlineStr">
        <is>
          <t>Ονομασία Διατομής</t>
        </is>
      </c>
      <c r="B5" s="22" t="inlineStr">
        <is>
          <t>Ύψος h (mm)</t>
        </is>
      </c>
      <c r="C5" s="22" t="inlineStr">
        <is>
          <t>Πλάτος b (mm)</t>
        </is>
      </c>
      <c r="D5" s="22" t="inlineStr">
        <is>
          <t>Πάχος tw (mm)</t>
        </is>
      </c>
      <c r="E5" s="22" t="inlineStr">
        <is>
          <t>Πάχος tf (mm)</t>
        </is>
      </c>
      <c r="F5" s="22" t="inlineStr">
        <is>
          <t>Βάρος (kg/m)</t>
        </is>
      </c>
      <c r="G5" s="22" t="inlineStr">
        <is>
          <t>Κόστος Υλικού (€/m) [1.40 €/kg]</t>
        </is>
      </c>
    </row>
    <row r="6" ht="19" customHeight="1">
      <c r="A6" s="7" t="inlineStr">
        <is>
          <t>HEA 140</t>
        </is>
      </c>
      <c r="B6" s="7" t="n">
        <v>133</v>
      </c>
      <c r="C6" s="7" t="n">
        <v>140</v>
      </c>
      <c r="D6" s="7" t="n">
        <v>5.5</v>
      </c>
      <c r="E6" s="7" t="n">
        <v>8.5</v>
      </c>
      <c r="F6" s="45" t="n">
        <v>24.7</v>
      </c>
      <c r="G6" s="25">
        <f>ROUND(F6*1.40, 2)</f>
        <v/>
      </c>
    </row>
    <row r="7" ht="19" customHeight="1">
      <c r="A7" s="7" t="inlineStr">
        <is>
          <t>HEA 160</t>
        </is>
      </c>
      <c r="B7" s="7" t="n">
        <v>152</v>
      </c>
      <c r="C7" s="7" t="n">
        <v>160</v>
      </c>
      <c r="D7" s="7" t="n">
        <v>6</v>
      </c>
      <c r="E7" s="7" t="n">
        <v>9</v>
      </c>
      <c r="F7" s="45" t="n">
        <v>30.4</v>
      </c>
      <c r="G7" s="25">
        <f>ROUND(F7*1.40, 2)</f>
        <v/>
      </c>
    </row>
    <row r="8" ht="19" customHeight="1">
      <c r="A8" s="7" t="inlineStr">
        <is>
          <t>HEA 180</t>
        </is>
      </c>
      <c r="B8" s="7" t="n">
        <v>171</v>
      </c>
      <c r="C8" s="7" t="n">
        <v>180</v>
      </c>
      <c r="D8" s="7" t="n">
        <v>6</v>
      </c>
      <c r="E8" s="7" t="n">
        <v>9.5</v>
      </c>
      <c r="F8" s="45" t="n">
        <v>35.5</v>
      </c>
      <c r="G8" s="25">
        <f>ROUND(F8*1.40, 2)</f>
        <v/>
      </c>
    </row>
    <row r="9" ht="19" customHeight="1">
      <c r="A9" s="7" t="inlineStr">
        <is>
          <t>HEA 200</t>
        </is>
      </c>
      <c r="B9" s="7" t="n">
        <v>190</v>
      </c>
      <c r="C9" s="7" t="n">
        <v>200</v>
      </c>
      <c r="D9" s="7" t="n">
        <v>6.5</v>
      </c>
      <c r="E9" s="7" t="n">
        <v>10</v>
      </c>
      <c r="F9" s="45" t="n">
        <v>42.3</v>
      </c>
      <c r="G9" s="25">
        <f>ROUND(F9*1.40, 2)</f>
        <v/>
      </c>
    </row>
    <row r="10" ht="19" customHeight="1">
      <c r="A10" s="7" t="inlineStr">
        <is>
          <t>HEA 220</t>
        </is>
      </c>
      <c r="B10" s="7" t="n">
        <v>210</v>
      </c>
      <c r="C10" s="7" t="n">
        <v>220</v>
      </c>
      <c r="D10" s="7" t="n">
        <v>7</v>
      </c>
      <c r="E10" s="7" t="n">
        <v>11</v>
      </c>
      <c r="F10" s="45" t="n">
        <v>50.5</v>
      </c>
      <c r="G10" s="25">
        <f>ROUND(F10*1.40, 2)</f>
        <v/>
      </c>
    </row>
    <row r="11" ht="19" customHeight="1">
      <c r="A11" s="7" t="inlineStr">
        <is>
          <t>HEA 240</t>
        </is>
      </c>
      <c r="B11" s="7" t="n">
        <v>230</v>
      </c>
      <c r="C11" s="7" t="n">
        <v>240</v>
      </c>
      <c r="D11" s="7" t="n">
        <v>7.5</v>
      </c>
      <c r="E11" s="7" t="n">
        <v>12</v>
      </c>
      <c r="F11" s="45" t="n">
        <v>60.3</v>
      </c>
      <c r="G11" s="25">
        <f>ROUND(F11*1.40, 2)</f>
        <v/>
      </c>
    </row>
    <row r="12" ht="19" customHeight="1">
      <c r="A12" s="7" t="inlineStr">
        <is>
          <t>HEA 260</t>
        </is>
      </c>
      <c r="B12" s="7" t="n">
        <v>250</v>
      </c>
      <c r="C12" s="7" t="n">
        <v>260</v>
      </c>
      <c r="D12" s="7" t="n">
        <v>7.5</v>
      </c>
      <c r="E12" s="7" t="n">
        <v>12.5</v>
      </c>
      <c r="F12" s="45" t="n">
        <v>68.2</v>
      </c>
      <c r="G12" s="25">
        <f>ROUND(F12*1.40, 2)</f>
        <v/>
      </c>
    </row>
    <row r="13" ht="19" customHeight="1">
      <c r="A13" s="7" t="inlineStr">
        <is>
          <t>HEA 280</t>
        </is>
      </c>
      <c r="B13" s="7" t="n">
        <v>270</v>
      </c>
      <c r="C13" s="7" t="n">
        <v>280</v>
      </c>
      <c r="D13" s="7" t="n">
        <v>8</v>
      </c>
      <c r="E13" s="7" t="n">
        <v>13</v>
      </c>
      <c r="F13" s="45" t="n">
        <v>76.40000000000001</v>
      </c>
      <c r="G13" s="25">
        <f>ROUND(F13*1.40, 2)</f>
        <v/>
      </c>
    </row>
    <row r="14" ht="19" customHeight="1">
      <c r="A14" s="7" t="inlineStr">
        <is>
          <t>HEA 300</t>
        </is>
      </c>
      <c r="B14" s="7" t="n">
        <v>290</v>
      </c>
      <c r="C14" s="7" t="n">
        <v>300</v>
      </c>
      <c r="D14" s="7" t="n">
        <v>8.5</v>
      </c>
      <c r="E14" s="7" t="n">
        <v>14</v>
      </c>
      <c r="F14" s="45" t="n">
        <v>88.3</v>
      </c>
      <c r="G14" s="25">
        <f>ROUND(F14*1.40, 2)</f>
        <v/>
      </c>
    </row>
    <row r="16" ht="20" customHeight="1">
      <c r="A16" s="4" t="inlineStr">
        <is>
          <t>2. ΔΙΑΤΟΜΕΣ HEB (Ευρωπαϊκά Πλατύπελμα Κανονικού Τύπου)</t>
        </is>
      </c>
    </row>
    <row r="17" ht="20" customHeight="1">
      <c r="A17" s="22" t="inlineStr">
        <is>
          <t>Ονομασία Διατομής</t>
        </is>
      </c>
      <c r="B17" s="22" t="inlineStr">
        <is>
          <t>Ύψος h (mm)</t>
        </is>
      </c>
      <c r="C17" s="22" t="inlineStr">
        <is>
          <t>Πλάτος b (mm)</t>
        </is>
      </c>
      <c r="D17" s="22" t="inlineStr">
        <is>
          <t>Πάχος tw (mm)</t>
        </is>
      </c>
      <c r="E17" s="22" t="inlineStr">
        <is>
          <t>Πάχος tf (mm)</t>
        </is>
      </c>
      <c r="F17" s="22" t="inlineStr">
        <is>
          <t>Βάρος (kg/m)</t>
        </is>
      </c>
      <c r="G17" s="22" t="inlineStr">
        <is>
          <t>Κόστος Υλικού (€/m) [1.40 €/kg]</t>
        </is>
      </c>
    </row>
    <row r="18" ht="19" customHeight="1">
      <c r="A18" s="7" t="inlineStr">
        <is>
          <t>HEB 140</t>
        </is>
      </c>
      <c r="B18" s="7" t="n">
        <v>140</v>
      </c>
      <c r="C18" s="7" t="n">
        <v>140</v>
      </c>
      <c r="D18" s="7" t="n">
        <v>7</v>
      </c>
      <c r="E18" s="7" t="n">
        <v>12</v>
      </c>
      <c r="F18" s="45" t="n">
        <v>33.7</v>
      </c>
      <c r="G18" s="25">
        <f>ROUND(F18*1.40, 2)</f>
        <v/>
      </c>
    </row>
    <row r="19" ht="19" customHeight="1">
      <c r="A19" s="7" t="inlineStr">
        <is>
          <t>HEB 160</t>
        </is>
      </c>
      <c r="B19" s="7" t="n">
        <v>160</v>
      </c>
      <c r="C19" s="7" t="n">
        <v>160</v>
      </c>
      <c r="D19" s="7" t="n">
        <v>8</v>
      </c>
      <c r="E19" s="7" t="n">
        <v>13</v>
      </c>
      <c r="F19" s="45" t="n">
        <v>42.6</v>
      </c>
      <c r="G19" s="25">
        <f>ROUND(F19*1.40, 2)</f>
        <v/>
      </c>
    </row>
    <row r="20" ht="19" customHeight="1">
      <c r="A20" s="7" t="inlineStr">
        <is>
          <t>HEB 180</t>
        </is>
      </c>
      <c r="B20" s="7" t="n">
        <v>180</v>
      </c>
      <c r="C20" s="7" t="n">
        <v>180</v>
      </c>
      <c r="D20" s="7" t="n">
        <v>8.5</v>
      </c>
      <c r="E20" s="7" t="n">
        <v>14</v>
      </c>
      <c r="F20" s="45" t="n">
        <v>51.2</v>
      </c>
      <c r="G20" s="25">
        <f>ROUND(F20*1.40, 2)</f>
        <v/>
      </c>
    </row>
    <row r="21" ht="19" customHeight="1">
      <c r="A21" s="7" t="inlineStr">
        <is>
          <t>HEB 200</t>
        </is>
      </c>
      <c r="B21" s="7" t="n">
        <v>200</v>
      </c>
      <c r="C21" s="7" t="n">
        <v>200</v>
      </c>
      <c r="D21" s="7" t="n">
        <v>9</v>
      </c>
      <c r="E21" s="7" t="n">
        <v>15</v>
      </c>
      <c r="F21" s="45" t="n">
        <v>61.3</v>
      </c>
      <c r="G21" s="25">
        <f>ROUND(F21*1.40, 2)</f>
        <v/>
      </c>
    </row>
    <row r="22" ht="19" customHeight="1">
      <c r="A22" s="7" t="inlineStr">
        <is>
          <t>HEB 220</t>
        </is>
      </c>
      <c r="B22" s="7" t="n">
        <v>220</v>
      </c>
      <c r="C22" s="7" t="n">
        <v>220</v>
      </c>
      <c r="D22" s="7" t="n">
        <v>9.5</v>
      </c>
      <c r="E22" s="7" t="n">
        <v>16</v>
      </c>
      <c r="F22" s="45" t="n">
        <v>71.5</v>
      </c>
      <c r="G22" s="25">
        <f>ROUND(F22*1.40, 2)</f>
        <v/>
      </c>
    </row>
    <row r="23" ht="19" customHeight="1">
      <c r="A23" s="7" t="inlineStr">
        <is>
          <t>HEB 240</t>
        </is>
      </c>
      <c r="B23" s="7" t="n">
        <v>240</v>
      </c>
      <c r="C23" s="7" t="n">
        <v>240</v>
      </c>
      <c r="D23" s="7" t="n">
        <v>10</v>
      </c>
      <c r="E23" s="7" t="n">
        <v>17</v>
      </c>
      <c r="F23" s="45" t="n">
        <v>83.2</v>
      </c>
      <c r="G23" s="25">
        <f>ROUND(F23*1.40, 2)</f>
        <v/>
      </c>
    </row>
    <row r="24" ht="19" customHeight="1">
      <c r="A24" s="7" t="inlineStr">
        <is>
          <t>HEB 260</t>
        </is>
      </c>
      <c r="B24" s="7" t="n">
        <v>260</v>
      </c>
      <c r="C24" s="7" t="n">
        <v>260</v>
      </c>
      <c r="D24" s="7" t="n">
        <v>10</v>
      </c>
      <c r="E24" s="7" t="n">
        <v>17.5</v>
      </c>
      <c r="F24" s="45" t="n">
        <v>93</v>
      </c>
      <c r="G24" s="25">
        <f>ROUND(F24*1.40, 2)</f>
        <v/>
      </c>
    </row>
    <row r="25" ht="19" customHeight="1">
      <c r="A25" s="7" t="inlineStr">
        <is>
          <t>HEB 280</t>
        </is>
      </c>
      <c r="B25" s="7" t="n">
        <v>280</v>
      </c>
      <c r="C25" s="7" t="n">
        <v>280</v>
      </c>
      <c r="D25" s="7" t="n">
        <v>10.5</v>
      </c>
      <c r="E25" s="7" t="n">
        <v>18</v>
      </c>
      <c r="F25" s="45" t="n">
        <v>103</v>
      </c>
      <c r="G25" s="25">
        <f>ROUND(F25*1.40, 2)</f>
        <v/>
      </c>
    </row>
    <row r="26" ht="19" customHeight="1">
      <c r="A26" s="7" t="inlineStr">
        <is>
          <t>HEB 300</t>
        </is>
      </c>
      <c r="B26" s="7" t="n">
        <v>300</v>
      </c>
      <c r="C26" s="7" t="n">
        <v>300</v>
      </c>
      <c r="D26" s="7" t="n">
        <v>11</v>
      </c>
      <c r="E26" s="7" t="n">
        <v>19</v>
      </c>
      <c r="F26" s="45" t="n">
        <v>117</v>
      </c>
      <c r="G26" s="25">
        <f>ROUND(F26*1.40, 2)</f>
        <v/>
      </c>
    </row>
    <row r="28" ht="20" customHeight="1">
      <c r="A28" s="4" t="inlineStr">
        <is>
          <t>3. ΔΙΑΤΟΜΕΣ UPN (Κοιλοδοκοί U-Profiles — ΧΡΗΣΗ ΣΤΟ TOFARCO ATHENION)</t>
        </is>
      </c>
    </row>
    <row r="29" ht="20" customHeight="1">
      <c r="A29" s="22" t="inlineStr">
        <is>
          <t>Ονομασία Διατομής</t>
        </is>
      </c>
      <c r="B29" s="22" t="inlineStr">
        <is>
          <t>Ύψος h (mm)</t>
        </is>
      </c>
      <c r="C29" s="22" t="inlineStr">
        <is>
          <t>Πλάτος b (mm)</t>
        </is>
      </c>
      <c r="D29" s="22" t="inlineStr">
        <is>
          <t>Πάχος tw (mm)</t>
        </is>
      </c>
      <c r="E29" s="22" t="inlineStr">
        <is>
          <t>Πάχος tf (mm)</t>
        </is>
      </c>
      <c r="F29" s="22" t="inlineStr">
        <is>
          <t>Βάρος (kg/m)</t>
        </is>
      </c>
      <c r="G29" s="22" t="inlineStr">
        <is>
          <t>Κόστος Υλικού (€/m) [1.40 €/kg]</t>
        </is>
      </c>
    </row>
    <row r="30" ht="19" customHeight="1">
      <c r="A30" s="7" t="inlineStr">
        <is>
          <t>UPN 140</t>
        </is>
      </c>
      <c r="B30" s="7" t="n">
        <v>140</v>
      </c>
      <c r="C30" s="7" t="n">
        <v>60</v>
      </c>
      <c r="D30" s="7" t="n">
        <v>7</v>
      </c>
      <c r="E30" s="7" t="n">
        <v>10</v>
      </c>
      <c r="F30" s="45" t="n">
        <v>16</v>
      </c>
      <c r="G30" s="25">
        <f>ROUND(F30*1.40, 2)</f>
        <v/>
      </c>
    </row>
    <row r="31" ht="19" customHeight="1">
      <c r="A31" s="7" t="inlineStr">
        <is>
          <t>UPN 160</t>
        </is>
      </c>
      <c r="B31" s="7" t="n">
        <v>160</v>
      </c>
      <c r="C31" s="7" t="n">
        <v>65</v>
      </c>
      <c r="D31" s="7" t="n">
        <v>7.5</v>
      </c>
      <c r="E31" s="7" t="n">
        <v>10.5</v>
      </c>
      <c r="F31" s="45" t="n">
        <v>18.8</v>
      </c>
      <c r="G31" s="25">
        <f>ROUND(F31*1.40, 2)</f>
        <v/>
      </c>
    </row>
    <row r="32" ht="19" customHeight="1">
      <c r="A32" s="7" t="inlineStr">
        <is>
          <t>UPN 180</t>
        </is>
      </c>
      <c r="B32" s="7" t="n">
        <v>180</v>
      </c>
      <c r="C32" s="7" t="n">
        <v>70</v>
      </c>
      <c r="D32" s="7" t="n">
        <v>8</v>
      </c>
      <c r="E32" s="7" t="n">
        <v>11</v>
      </c>
      <c r="F32" s="45" t="n">
        <v>22</v>
      </c>
      <c r="G32" s="25">
        <f>ROUND(F32*1.40, 2)</f>
        <v/>
      </c>
    </row>
    <row r="33" ht="19" customHeight="1">
      <c r="A33" s="7" t="inlineStr">
        <is>
          <t>UPN 200</t>
        </is>
      </c>
      <c r="B33" s="7" t="n">
        <v>200</v>
      </c>
      <c r="C33" s="7" t="n">
        <v>75</v>
      </c>
      <c r="D33" s="7" t="n">
        <v>8.5</v>
      </c>
      <c r="E33" s="7" t="n">
        <v>11.5</v>
      </c>
      <c r="F33" s="45" t="n">
        <v>25.3</v>
      </c>
      <c r="G33" s="25">
        <f>ROUND(F33*1.40, 2)</f>
        <v/>
      </c>
    </row>
    <row r="34" ht="19" customHeight="1">
      <c r="A34" s="7" t="inlineStr">
        <is>
          <t>UPN 220</t>
        </is>
      </c>
      <c r="B34" s="7" t="n">
        <v>220</v>
      </c>
      <c r="C34" s="7" t="n">
        <v>80</v>
      </c>
      <c r="D34" s="7" t="n">
        <v>9</v>
      </c>
      <c r="E34" s="7" t="n">
        <v>12.5</v>
      </c>
      <c r="F34" s="45" t="n">
        <v>29.4</v>
      </c>
      <c r="G34" s="25">
        <f>ROUND(F34*1.40, 2)</f>
        <v/>
      </c>
    </row>
    <row r="35" ht="19" customHeight="1">
      <c r="A35" s="7" t="inlineStr">
        <is>
          <t>UPN 240</t>
        </is>
      </c>
      <c r="B35" s="7" t="n">
        <v>240</v>
      </c>
      <c r="C35" s="7" t="n">
        <v>85</v>
      </c>
      <c r="D35" s="7" t="n">
        <v>9.5</v>
      </c>
      <c r="E35" s="7" t="n">
        <v>13</v>
      </c>
      <c r="F35" s="45" t="n">
        <v>33.2</v>
      </c>
      <c r="G35" s="25">
        <f>ROUND(F35*1.40, 2)</f>
        <v/>
      </c>
    </row>
    <row r="36" ht="19" customHeight="1">
      <c r="A36" s="7" t="inlineStr">
        <is>
          <t>UPN 260</t>
        </is>
      </c>
      <c r="B36" s="7" t="n">
        <v>260</v>
      </c>
      <c r="C36" s="7" t="n">
        <v>90</v>
      </c>
      <c r="D36" s="7" t="n">
        <v>10</v>
      </c>
      <c r="E36" s="7" t="n">
        <v>14</v>
      </c>
      <c r="F36" s="45" t="n">
        <v>37.9</v>
      </c>
      <c r="G36" s="25">
        <f>ROUND(F36*1.40, 2)</f>
        <v/>
      </c>
    </row>
    <row r="37" ht="19" customHeight="1">
      <c r="A37" s="7" t="inlineStr">
        <is>
          <t>UPN 280</t>
        </is>
      </c>
      <c r="B37" s="7" t="n">
        <v>280</v>
      </c>
      <c r="C37" s="7" t="n">
        <v>95</v>
      </c>
      <c r="D37" s="7" t="n">
        <v>10</v>
      </c>
      <c r="E37" s="7" t="n">
        <v>15</v>
      </c>
      <c r="F37" s="45" t="n">
        <v>41.8</v>
      </c>
      <c r="G37" s="25">
        <f>ROUND(F37*1.40, 2)</f>
        <v/>
      </c>
    </row>
    <row r="38" ht="19" customHeight="1">
      <c r="A38" s="7" t="inlineStr">
        <is>
          <t>UPN 300</t>
        </is>
      </c>
      <c r="B38" s="7" t="n">
        <v>300</v>
      </c>
      <c r="C38" s="7" t="n">
        <v>100</v>
      </c>
      <c r="D38" s="7" t="n">
        <v>10</v>
      </c>
      <c r="E38" s="7" t="n">
        <v>16</v>
      </c>
      <c r="F38" s="45" t="n">
        <v>46.2</v>
      </c>
      <c r="G38" s="25">
        <f>ROUND(F38*1.40, 2)</f>
        <v/>
      </c>
    </row>
    <row r="39" ht="20" customHeight="1">
      <c r="A39" s="46" t="inlineStr">
        <is>
          <t>UPN 350</t>
        </is>
      </c>
      <c r="B39" s="46" t="n">
        <v>350</v>
      </c>
      <c r="C39" s="46" t="n">
        <v>100</v>
      </c>
      <c r="D39" s="46" t="n">
        <v>14</v>
      </c>
      <c r="E39" s="46" t="n">
        <v>16</v>
      </c>
      <c r="F39" s="47" t="n">
        <v>60.6</v>
      </c>
      <c r="G39" s="48">
        <f>ROUND(F39*1.40, 2)</f>
        <v/>
      </c>
    </row>
    <row r="41" ht="20" customHeight="1">
      <c r="A41" s="4" t="inlineStr">
        <is>
          <t>4. ΙΣΟΣΚΕΛΕΙΣ ΓΩΝΙΕΣ (Equal Angles L)</t>
        </is>
      </c>
    </row>
    <row r="42" ht="20" customHeight="1">
      <c r="A42" s="22" t="inlineStr">
        <is>
          <t>Ονομασία Γωνίας</t>
        </is>
      </c>
      <c r="B42" s="22" t="inlineStr">
        <is>
          <t>Πλάτος a (mm)</t>
        </is>
      </c>
      <c r="C42" s="22" t="inlineStr">
        <is>
          <t>Πλάτος b (mm)</t>
        </is>
      </c>
      <c r="D42" s="22" t="inlineStr">
        <is>
          <t>Πάχος t (mm)</t>
        </is>
      </c>
      <c r="E42" s="22" t="inlineStr">
        <is>
          <t>—</t>
        </is>
      </c>
      <c r="F42" s="22" t="inlineStr">
        <is>
          <t>Βάρος (kg/m)</t>
        </is>
      </c>
      <c r="G42" s="22" t="inlineStr">
        <is>
          <t>Κόστος Υλικού (€/m) [1.60 €/kg]</t>
        </is>
      </c>
    </row>
    <row r="43" ht="19" customHeight="1">
      <c r="A43" s="7" t="inlineStr">
        <is>
          <t>L 50x50x5</t>
        </is>
      </c>
      <c r="B43" s="7" t="n">
        <v>50</v>
      </c>
      <c r="C43" s="7" t="n">
        <v>50</v>
      </c>
      <c r="D43" s="7" t="n">
        <v>5</v>
      </c>
      <c r="E43" s="7" t="inlineStr">
        <is>
          <t>—</t>
        </is>
      </c>
      <c r="F43" s="49" t="n">
        <v>3.77</v>
      </c>
      <c r="G43" s="25">
        <f>ROUND(F43*1.60, 2)</f>
        <v/>
      </c>
    </row>
    <row r="44" ht="19" customHeight="1">
      <c r="A44" s="7" t="inlineStr">
        <is>
          <t>L 60x60x6</t>
        </is>
      </c>
      <c r="B44" s="7" t="n">
        <v>60</v>
      </c>
      <c r="C44" s="7" t="n">
        <v>60</v>
      </c>
      <c r="D44" s="7" t="n">
        <v>6</v>
      </c>
      <c r="E44" s="7" t="inlineStr">
        <is>
          <t>—</t>
        </is>
      </c>
      <c r="F44" s="49" t="n">
        <v>5.42</v>
      </c>
      <c r="G44" s="25">
        <f>ROUND(F44*1.60, 2)</f>
        <v/>
      </c>
    </row>
    <row r="45" ht="19" customHeight="1">
      <c r="A45" s="7" t="inlineStr">
        <is>
          <t>L 70x70x6</t>
        </is>
      </c>
      <c r="B45" s="7" t="n">
        <v>70</v>
      </c>
      <c r="C45" s="7" t="n">
        <v>70</v>
      </c>
      <c r="D45" s="7" t="n">
        <v>6</v>
      </c>
      <c r="E45" s="7" t="inlineStr">
        <is>
          <t>—</t>
        </is>
      </c>
      <c r="F45" s="49" t="n">
        <v>6.38</v>
      </c>
      <c r="G45" s="25">
        <f>ROUND(F45*1.60, 2)</f>
        <v/>
      </c>
    </row>
    <row r="46" ht="19" customHeight="1">
      <c r="A46" s="7" t="inlineStr">
        <is>
          <t>L 70x70x7</t>
        </is>
      </c>
      <c r="B46" s="7" t="n">
        <v>70</v>
      </c>
      <c r="C46" s="7" t="n">
        <v>70</v>
      </c>
      <c r="D46" s="7" t="n">
        <v>7</v>
      </c>
      <c r="E46" s="7" t="inlineStr">
        <is>
          <t>—</t>
        </is>
      </c>
      <c r="F46" s="49" t="n">
        <v>7.38</v>
      </c>
      <c r="G46" s="25">
        <f>ROUND(F46*1.60, 2)</f>
        <v/>
      </c>
    </row>
    <row r="47" ht="19" customHeight="1">
      <c r="A47" s="7" t="inlineStr">
        <is>
          <t>L 80x80x8</t>
        </is>
      </c>
      <c r="B47" s="7" t="n">
        <v>80</v>
      </c>
      <c r="C47" s="7" t="n">
        <v>80</v>
      </c>
      <c r="D47" s="7" t="n">
        <v>8</v>
      </c>
      <c r="E47" s="7" t="inlineStr">
        <is>
          <t>—</t>
        </is>
      </c>
      <c r="F47" s="49" t="n">
        <v>9.630000000000001</v>
      </c>
      <c r="G47" s="25">
        <f>ROUND(F47*1.60, 2)</f>
        <v/>
      </c>
    </row>
    <row r="48" ht="19" customHeight="1">
      <c r="A48" s="7" t="inlineStr">
        <is>
          <t>L 90x90x9</t>
        </is>
      </c>
      <c r="B48" s="7" t="n">
        <v>90</v>
      </c>
      <c r="C48" s="7" t="n">
        <v>90</v>
      </c>
      <c r="D48" s="7" t="n">
        <v>9</v>
      </c>
      <c r="E48" s="7" t="inlineStr">
        <is>
          <t>—</t>
        </is>
      </c>
      <c r="F48" s="49" t="n">
        <v>12.2</v>
      </c>
      <c r="G48" s="25">
        <f>ROUND(F48*1.60, 2)</f>
        <v/>
      </c>
    </row>
    <row r="49" ht="19" customHeight="1">
      <c r="A49" s="7" t="inlineStr">
        <is>
          <t>L 100x100x10</t>
        </is>
      </c>
      <c r="B49" s="7" t="n">
        <v>100</v>
      </c>
      <c r="C49" s="7" t="n">
        <v>100</v>
      </c>
      <c r="D49" s="7" t="n">
        <v>10</v>
      </c>
      <c r="E49" s="7" t="inlineStr">
        <is>
          <t>—</t>
        </is>
      </c>
      <c r="F49" s="49" t="n">
        <v>15</v>
      </c>
      <c r="G49" s="25">
        <f>ROUND(F49*1.60, 2)</f>
        <v/>
      </c>
    </row>
  </sheetData>
  <mergeCells count="4">
    <mergeCell ref="A41:G41"/>
    <mergeCell ref="A16:G16"/>
    <mergeCell ref="A28:G2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2026-10-14T05:49:46Z</dcterms:created>
  <dcterms:modified xmlns:dcterms="http://purl.org/dc/terms/" xmlns:xsi="http://www.w3.org/2001/XMLSchema-instance" xsi:type="dcterms:W3CDTF">2026-10-14T05:49:46Z</dcterms:modified>
</cp:coreProperties>
</file>