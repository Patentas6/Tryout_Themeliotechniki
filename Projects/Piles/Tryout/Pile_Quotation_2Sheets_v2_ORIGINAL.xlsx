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Tryout\"/>
    </mc:Choice>
  </mc:AlternateContent>
  <xr:revisionPtr revIDLastSave="0" documentId="13_ncr:1_{013647F6-485D-4B4F-9337-AFB53FE3F69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2" l="1"/>
  <c r="D44" i="2"/>
  <c r="D43" i="2"/>
  <c r="D41" i="2"/>
  <c r="D42" i="2"/>
  <c r="D38" i="2"/>
  <c r="D36" i="2"/>
  <c r="D35" i="2"/>
  <c r="F35" i="2" s="1"/>
  <c r="D31" i="2"/>
  <c r="D20" i="2"/>
  <c r="G16" i="2"/>
  <c r="G15" i="2"/>
  <c r="C9" i="2"/>
  <c r="F7" i="1" s="1"/>
  <c r="G7" i="1" s="1"/>
  <c r="D45" i="2" l="1"/>
  <c r="F43" i="2"/>
  <c r="F42" i="2"/>
  <c r="D39" i="2"/>
  <c r="F38" i="2"/>
  <c r="D37" i="2"/>
  <c r="F36" i="2"/>
  <c r="D8" i="1"/>
  <c r="G8" i="1" s="1"/>
  <c r="H8" i="1" s="1"/>
  <c r="F20" i="2"/>
  <c r="H7" i="1"/>
  <c r="F37" i="2" l="1"/>
  <c r="D21" i="2"/>
  <c r="F45" i="2"/>
  <c r="D46" i="2"/>
  <c r="F21" i="2" l="1"/>
  <c r="D9" i="1"/>
  <c r="G9" i="1" s="1"/>
  <c r="D22" i="2"/>
  <c r="F46" i="2"/>
  <c r="F47" i="2" s="1"/>
  <c r="D47" i="2"/>
  <c r="H9" i="1" l="1"/>
  <c r="H11" i="1" s="1"/>
  <c r="F22" i="2"/>
  <c r="D10" i="1"/>
  <c r="G10" i="1" s="1"/>
  <c r="H10" i="1" l="1"/>
  <c r="G11" i="1"/>
</calcChain>
</file>

<file path=xl/sharedStrings.xml><?xml version="1.0" encoding="utf-8"?>
<sst xmlns="http://schemas.openxmlformats.org/spreadsheetml/2006/main" count="203" uniqueCount="132">
  <si>
    <t>ΟΙΚΟΝΟΜΙΚΗ ΠΡΟΣΦΟΡΑ ΠΑΣΣΑΛΩΝ ΘΕΜΕΛΙΩΣΗΣ</t>
  </si>
  <si>
    <t>Προϋπολογισμός Έργου για τον Πελάτη (Τιμολόγιο) — Επιμερισμός Μετακινήσεων, Τρύπημα, Κουγκρί &amp; Χάλυβας</t>
  </si>
  <si>
    <t>ΠΙΝΑΚΑΣ ΟΙΚΟΝΟΜΙΚΗΣ ΠΡΟΣΦΟΡΑΣ (ΤΙΜΟΛΟΓΙΟ)</t>
  </si>
  <si>
    <t>A/A</t>
  </si>
  <si>
    <t>Περιγραφή Εργασίας / Υλικού</t>
  </si>
  <si>
    <t>Ποσότητα ανά Πάσσαλο</t>
  </si>
  <si>
    <t>Μονάδα</t>
  </si>
  <si>
    <t>Τιμή Μονάδας (€)</t>
  </si>
  <si>
    <t>Κόστος ανά Πάσσαλο (€)</t>
  </si>
  <si>
    <t>Σύνολο Όλων των Πασσάλων (€)</t>
  </si>
  <si>
    <t>1</t>
  </si>
  <si>
    <t>Μετακινήσεις &amp; Εγκατάσταση Εξοπλισμού Γεωτρύπανου (Mobilization)</t>
  </si>
  <si>
    <t>πάσσαλος</t>
  </si>
  <si>
    <t>2</t>
  </si>
  <si>
    <t>Τρύπημα / Διάτρηση Πασσάλων Ø600mm</t>
  </si>
  <si>
    <t>m</t>
  </si>
  <si>
    <t>3</t>
  </si>
  <si>
    <t>Σκυροδέτηση Πασσάλων (Κουγκρί με 10% απώλεια)</t>
  </si>
  <si>
    <t>m³</t>
  </si>
  <si>
    <t>4</t>
  </si>
  <si>
    <t>Χάλυβας Οπλισμού (Σούστα &amp; Κάθετες Ράβδοι B500C)</t>
  </si>
  <si>
    <t>kg</t>
  </si>
  <si>
    <t>ΣΥΝΟΛΟ</t>
  </si>
  <si>
    <t>ΓΕΝΙΚΟ ΣΥΝΟΛΟ ΠΡΟΣΦΟΡΑΣ (GRAND TOTAL)</t>
  </si>
  <si>
    <t>-</t>
  </si>
  <si>
    <t>ΟΡΟΙ &amp; ΠΑΡΑΤΗΡΗΣΕΙΣ ΠΡΟΣΦΟΡΑΣ:</t>
  </si>
  <si>
    <t>1. Στις τιμές περιλαμβάνονται όλα τα απαιτούμενα υλικά, εργασία και μηχανολογικός εξοπλισμός για την πλήρη κατασκευή των πασσάλων.
2. Η τιμή μετακίνησης επιμερίζεται ισόποσα στο κόστος ανά πάσσαλο (500 € / 8 = 62.50 €/πάσσαλο).
3. Το τρύπημα τιμολογείται σε τρέχοντα μέτρα (m) διάτρησης.
4. Στο σκυρόδεμα υπολογίζεται συντελεστής απώλειας 10% (loss factor) επί του γεωμετρικού όγκου.
5. Ο χάλυβας οπλισμού (B500C) τιμολογείται με ενιαία τιμή 1.10 €/kg τόσο για τις κάθετες ράβδους όσο και για τη σούστα.
6. Αναλυτική τεχνική τεκμηρίωση και μαθηματικοί τύποι παρατίθενται στη σελίδα 'Τεχνικοί Υπολογισμοί'.</t>
  </si>
  <si>
    <t>ΤΕΧΝΙΚΗ ΤΕΚΜΗΡΙΩΣΗ &amp; ΜΑΘΗΜΑΤΙΚΟΙ ΥΠΟΛΟΓΙΣΜΟΙ ΠΑΣΣΑΛΩΝ</t>
  </si>
  <si>
    <t>Δεδομένα Σχεδίου, Τελικές Ποσότητες Προσφοράς, Σταθερές Παραδοχές &amp; Αναλυτικά Μαθηματικά</t>
  </si>
  <si>
    <t>1. ΔΕΔΟΜΕΝΑ ΠΟΥ ΔΙΑΒΑΣΤΗΚΑΝ ΑΠΟ ΤΟ ΣΧΕΔΙΟ (ΚΑΘΕΤΟΣ ΔΙΑΧΩΡΙΣΜΟΣ)</t>
  </si>
  <si>
    <t>ΤΟΜΕΑΣ 1: ΜΕΤΑΚΙΝΗΣΕΙΣ (MOBILIZATION)</t>
  </si>
  <si>
    <t>ΤΟΜΕΑΣ 3: ΚΛΩΒΟΣ ΟΠΛΙΣΜΟΥ &amp; ΠΡΟΔΙΑΓΡΑΦΕΣ</t>
  </si>
  <si>
    <t>Συνολικό Ποσό Μετακινήσεων Γεωτρύπανου</t>
  </si>
  <si>
    <t>€</t>
  </si>
  <si>
    <t>Κάθετες Ράβδοι - Πλήθος (Nvert)</t>
  </si>
  <si>
    <t>τεμ.</t>
  </si>
  <si>
    <t>12 ράβδοι στην περίμετρο</t>
  </si>
  <si>
    <t>Εφάπαξ κατ' αποκοπή ποσό για το εργοτάξιο (θέστε 0 αν δεν χρεώνεται)</t>
  </si>
  <si>
    <t>Κάθετες Ράβδοι - Διάμετρος (Yvert)</t>
  </si>
  <si>
    <t>mm</t>
  </si>
  <si>
    <t>Y20 (Ø20 mm)</t>
  </si>
  <si>
    <t>Τιμή Μετακίνησης ανά Πάσσαλο (Επιμερισμός)</t>
  </si>
  <si>
    <t>€ / πάσσαλο</t>
  </si>
  <si>
    <t>Starter / Αναμονή στο Πέδιλο</t>
  </si>
  <si>
    <t>50 cm (Foundation height 0.50m)</t>
  </si>
  <si>
    <t>Γωνία Πάνω (Top Bend / Hook)</t>
  </si>
  <si>
    <t>50 cm (Οριζόντιο άγκιστρο στο σχέδιο)</t>
  </si>
  <si>
    <t>ΤΟΜΕΑΣ 2: ΣΚΥΡΟΔΕΜΑ &amp; ΤΡΥΠΗΜΑ</t>
  </si>
  <si>
    <t>Γωνία στον Πυθμένα (Bottom Bend)</t>
  </si>
  <si>
    <t>Δεν δίνεται στο σχέδιο (0.00 m) / Δεν απαιτείται</t>
  </si>
  <si>
    <t>Διάμετρος Τρύπας Πασσάλου (D)</t>
  </si>
  <si>
    <t>Επικάλυψη Οπλισμού (Cover)</t>
  </si>
  <si>
    <t>7.5 cm ανά πλευρά (Προεπιλογή αν δεν δίνεται)</t>
  </si>
  <si>
    <t>Βάθος Διάτρησης στο Έδαφος (L)</t>
  </si>
  <si>
    <t>Σούστα - Διάμετρος (Yspiral)</t>
  </si>
  <si>
    <t>Y10 (Ø10 mm)</t>
  </si>
  <si>
    <t>Αριθμός Πασσάλων Έργου (Τρύπες)</t>
  </si>
  <si>
    <t>Σούστα - Βήμα / Απόσταση (s)</t>
  </si>
  <si>
    <t>Βήμα σπείρας ανά 15 cm</t>
  </si>
  <si>
    <t>Αριθμός Ματίσεων ανά Ράβδο</t>
  </si>
  <si>
    <t>ματίσεις</t>
  </si>
  <si>
    <t>Αυτόματος υπολογισμός αν L_bar &gt; 12m</t>
  </si>
  <si>
    <t>Μήκος Μάτισης (Κανόνας 50×Φ)</t>
  </si>
  <si>
    <t>50 φορές το πάχος: 50×20mm = 1.00m</t>
  </si>
  <si>
    <t>2. ΤΕΛΙΚΕΣ ΠΟΣΟΤΗΤΕΣ ΓΙΑ ΤΗΝ ΟΙΚΟΝΟΜΙΚΗ ΠΡΟΣΦΟΡΑ (ΣΥΝΟΨΗ ΑΠΟΤΕΛΕΣΜΑΤΩΝ)</t>
  </si>
  <si>
    <t>Μέγεθος / Τελικός Υπολογισμός</t>
  </si>
  <si>
    <t>Σύνολο Έργου (όλοι οι πάσσαλοι)</t>
  </si>
  <si>
    <t>Μαθηματικός Τύπος &amp; Σημείωση</t>
  </si>
  <si>
    <t>Τρέχοντα Μέτρα Τρυπήματος (Διάτρηση)</t>
  </si>
  <si>
    <t>L_drill = L = 4.00 m ανά πάσσαλο (Σύνολο 32.00 m)</t>
  </si>
  <si>
    <t>Όγκος Σκυροδέματος (Κουγκρί με 10% απώλεια)</t>
  </si>
  <si>
    <t>V_conc = V_exc × (1 + 10%) = 1.131 × 1.10 = 1.244 m³ ανά πάσσαλο</t>
  </si>
  <si>
    <t>Συνολικό Βάρος Χάλυβα Οπλισμού (B500C)</t>
  </si>
  <si>
    <t>W_steel = Κάθετες (147.97 kg) + Σούστα (23.53 kg) = 171.50 kg ανά πάσσαλο</t>
  </si>
  <si>
    <t>3. ΣΤΑΘΕΡΕΣ ΤΕΧΝΙΚΕΣ ΠΑΡΑΔΟΧΕΣ &amp; ΚΑΝΟΝΕΣ (ΔΕΝ ΑΛΛΑΖΟΥΝ - ΔΕΝ ΠΕΡΙΛΑΜΒΑΝΟΝΤΑΙ ΣΤΑ ΔΕΔΟΜΕΝΑ ΣΧΕΔΙΟΥ)</t>
  </si>
  <si>
    <t>Σταθερά / Παραδοχή</t>
  </si>
  <si>
    <t>Τιμή</t>
  </si>
  <si>
    <t>Κανόνας &amp; Τεχνική Επεξήγηση</t>
  </si>
  <si>
    <t>Συντελεστής Απώλειας Σκυροδέματος</t>
  </si>
  <si>
    <t>%</t>
  </si>
  <si>
    <t>Πάγια υπερκατανάλωση κουγκριού 10% (loss factor) για πλήρωση κοιλοτήτων</t>
  </si>
  <si>
    <t>Ειδικό Βάρος / Πυκνότητα Χάλυβα (ρ)</t>
  </si>
  <si>
    <t>kg/m³</t>
  </si>
  <si>
    <t>Φυσική πυκνότητα δομικού χάλυβα B500C για υπολογισμό βαρών</t>
  </si>
  <si>
    <t>Μέγιστο Εμπορικό Μήκος Βέργας</t>
  </si>
  <si>
    <t>Βέργες εμπορίου 12 μέτρων (όριο για απαίτηση μάτισης ράβδων)</t>
  </si>
  <si>
    <t>Συντελεστής Μήκους Μάτισης (Lapping)</t>
  </si>
  <si>
    <t>× Φ</t>
  </si>
  <si>
    <t>Κανόνας επικάλυψης 50 φορές τη διάμετρο της ράβδου (50Φ)</t>
  </si>
  <si>
    <t>5</t>
  </si>
  <si>
    <t>Μαθηματική Σταθερά π</t>
  </si>
  <si>
    <t>Ακριβής σταθερά κύκλου (3.14159...) για εμβαδά και περιμέτρους</t>
  </si>
  <si>
    <t>4. ΑΝΑΛΥΤΙΚΑ ΜΑΘΗΜΑΤΙΚΑ &amp; ΒΗΜΑ-ΒΗΜΑ ΥΠΟΛΟΓΙΣΜΟΙ (ΜΕ ΤΟΥΣ ΤΥΠΟΥΣ ΩΣ ΣΗΜΕΙΩΣΕΙΣ)</t>
  </si>
  <si>
    <t>Μέγεθος / Υπολογισμός</t>
  </si>
  <si>
    <t>Σύνολο Έργου (8 Πάσσαλοι)</t>
  </si>
  <si>
    <t>Μαθηματικός Τύπος &amp; Αναλυτικές Σημειώσεις</t>
  </si>
  <si>
    <t>Τρύπημα / Διάτρηση Πασσάλου (L_drill)</t>
  </si>
  <si>
    <t>L_drill = L = 4.00 m ανά πάσσαλο</t>
  </si>
  <si>
    <t>Γεωμετρικός Όγκος Εκσκαφής</t>
  </si>
  <si>
    <t>V_exc = (π × D² / 4) × L = π × 0.60² / 4 × 4.00 m = 1.131 m³</t>
  </si>
  <si>
    <t>V_conc = V_exc × (1 + 10%) = 1.131 × 1.10 = 1.244 m³</t>
  </si>
  <si>
    <t>Διάμετρος Κλωβού Οπλισμού (Dcage)</t>
  </si>
  <si>
    <t>Dcage = D - 2×Cover = 0.60m - 2×0.075m = 0.450 m (450 mm)</t>
  </si>
  <si>
    <t>Περίμετρος Σπείρας Κλωβού (Πcage)</t>
  </si>
  <si>
    <t>Πcage = π × Dcage = π × 0.450 m = 1.414 m</t>
  </si>
  <si>
    <t>6</t>
  </si>
  <si>
    <t>Ανεπτυγμένο Μήκος Κάθετης Ράβδου (L_bar)</t>
  </si>
  <si>
    <t>L_bar = L(4m) + Starter(0.5m) + Γωνία_πάνω(0.5m) + Γωνία_πυθμ(0m) + Lapping(0m) = 5.00 m</t>
  </si>
  <si>
    <t>7</t>
  </si>
  <si>
    <t>Μοναδιαίο Βάρος Κάθετων Ράβδων (Y20)</t>
  </si>
  <si>
    <t>kg/m</t>
  </si>
  <si>
    <t>w_vert = (π × 0.020² / 4) × 7850 = 2.466 kg/m</t>
  </si>
  <si>
    <t>8</t>
  </si>
  <si>
    <t>Βάρος Κάθετου Οπλισμού (12Y20)</t>
  </si>
  <si>
    <t>W_vert = N_vert(12) × L_bar(5.00m) × w_vert(2.466 kg/m) = 147.97 kg</t>
  </si>
  <si>
    <t>9</t>
  </si>
  <si>
    <t>Αριθμός Σπειρών Σούστας (Y10/150)</t>
  </si>
  <si>
    <t>σπείρες</t>
  </si>
  <si>
    <t>N_turns = ROUNDUP(L / pitch, 0) = ROUNDUP(4.00m / 0.15m, 0) = 27 σπείρες</t>
  </si>
  <si>
    <t>10</t>
  </si>
  <si>
    <t>Μοναδιαίο Βάρος Σούστας (Y10)</t>
  </si>
  <si>
    <t>w_spiral = (π × 0.010² / 4) × 7850 = 0.617 kg/m</t>
  </si>
  <si>
    <t>11</t>
  </si>
  <si>
    <t>Βάρος Σιδήρου Σούστας (Y10/150)</t>
  </si>
  <si>
    <t>W_spiral = 27 σπείρες × 1.414 m × 0.617 kg/m = 23.53 kg</t>
  </si>
  <si>
    <t>12</t>
  </si>
  <si>
    <t>ΣΥΝΟΛΙΚΟ ΒΑΡΟΣ ΧΑΛΥΒΑ (TOTAL STEEL)</t>
  </si>
  <si>
    <t>W_total = Κάθετες (147.97 kg) + Σούστα (23.53 kg) = 171.50 kg (1.372 tn σύνολο)</t>
  </si>
  <si>
    <t>13</t>
  </si>
  <si>
    <t>Αναλογία Οπλισμού ανά m³ Σκυροδέματος</t>
  </si>
  <si>
    <t>Δείκτης = Συνολικός Χάλυβας / Σκυρόδεμα = 171.50 kg / 1.244 m³ = 137.9 kg/m³</t>
  </si>
  <si>
    <t>+1 πάντα διοτι ξεκινα με διπλη σουστα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</si>
</sst>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0.0%"/>
    <numFmt numFmtId="166" formatCode="0.00000"/>
    <numFmt numFmtId="167" formatCode="0.000"/>
    <numFmt numFmtId="168" formatCode="0.0"/>
  </numFmts>
  <fonts count="12" x14ac:knownFonts="1">
    <font>
      <sz val="11"/>
      <color theme="1"/>
      <name val="Calibri"/>
      <family val="2"/>
      <scheme val="minor"/>
    </font>
    <font>
      <b/>
      <sz val="13"/>
      <color rgb="FF1E3A8A"/>
      <name val="Segoe UI"/>
    </font>
    <font>
      <i/>
      <sz val="9"/>
      <color rgb="FF4B5563"/>
      <name val="Segoe UI"/>
    </font>
    <font>
      <b/>
      <sz val="9.5"/>
      <color rgb="FFFFFFFF"/>
      <name val="Segoe UI"/>
    </font>
    <font>
      <b/>
      <sz val="9"/>
      <color rgb="FF1E3A8A"/>
      <name val="Segoe UI"/>
    </font>
    <font>
      <b/>
      <sz val="9.5"/>
      <color rgb="FF1F2937"/>
      <name val="Segoe UI"/>
    </font>
    <font>
      <b/>
      <sz val="9.5"/>
      <color rgb="FF92400E"/>
      <name val="Segoe UI"/>
    </font>
    <font>
      <b/>
      <sz val="10"/>
      <color rgb="FF92400E"/>
      <name val="Segoe UI"/>
    </font>
    <font>
      <b/>
      <sz val="9"/>
      <color rgb="FF92400E"/>
      <name val="Segoe UI"/>
    </font>
    <font>
      <sz val="8.5"/>
      <color rgb="FF4B5563"/>
      <name val="Segoe UI"/>
    </font>
    <font>
      <sz val="9"/>
      <color rgb="FF1F2937"/>
      <name val="Segoe UI"/>
    </font>
    <font>
      <b/>
      <sz val="9.5"/>
      <color rgb="FF065F46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FEF9C3"/>
        <bgColor rgb="FFFEF9C3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9FAFB"/>
        <bgColor rgb="FFF9FAFB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D1D5DB"/>
      </left>
      <right style="thin">
        <color rgb="FFD1D5DB"/>
      </right>
      <top style="thin">
        <color rgb="FF1E3A8A"/>
      </top>
      <bottom style="double">
        <color rgb="FF1E3A8A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164" fontId="7" fillId="5" borderId="3" xfId="0" applyNumberFormat="1" applyFont="1" applyFill="1" applyBorder="1" applyAlignment="1">
      <alignment horizontal="right" vertical="center"/>
    </xf>
    <xf numFmtId="0" fontId="0" fillId="0" borderId="1" xfId="0" applyBorder="1"/>
    <xf numFmtId="0" fontId="5" fillId="0" borderId="1" xfId="0" applyFont="1" applyBorder="1"/>
    <xf numFmtId="4" fontId="6" fillId="4" borderId="2" xfId="0" applyNumberFormat="1" applyFont="1" applyFill="1" applyBorder="1" applyAlignment="1">
      <alignment horizontal="right" vertical="center"/>
    </xf>
    <xf numFmtId="0" fontId="10" fillId="0" borderId="1" xfId="0" applyFont="1" applyBorder="1"/>
    <xf numFmtId="3" fontId="6" fillId="4" borderId="2" xfId="0" applyNumberFormat="1" applyFont="1" applyFill="1" applyBorder="1" applyAlignment="1">
      <alignment horizontal="right" vertical="center"/>
    </xf>
    <xf numFmtId="0" fontId="9" fillId="0" borderId="1" xfId="0" applyFont="1" applyBorder="1"/>
    <xf numFmtId="4" fontId="5" fillId="3" borderId="1" xfId="0" applyNumberFormat="1" applyFont="1" applyFill="1" applyBorder="1" applyAlignment="1">
      <alignment horizontal="right" vertical="center"/>
    </xf>
    <xf numFmtId="2" fontId="6" fillId="4" borderId="2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left" vertical="center"/>
    </xf>
    <xf numFmtId="4" fontId="11" fillId="6" borderId="4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4" fontId="5" fillId="7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4" fontId="11" fillId="6" borderId="1" xfId="0" applyNumberFormat="1" applyFont="1" applyFill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7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right" vertical="center"/>
    </xf>
    <xf numFmtId="168" fontId="5" fillId="7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8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/>
    <xf numFmtId="0" fontId="11" fillId="6" borderId="4" xfId="0" applyFont="1" applyFill="1" applyBorder="1" applyAlignment="1">
      <alignment horizontal="left" vertical="center"/>
    </xf>
    <xf numFmtId="0" fontId="0" fillId="0" borderId="4" xfId="0" applyBorder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workbookViewId="0">
      <selection activeCell="F10" sqref="F10"/>
    </sheetView>
  </sheetViews>
  <sheetFormatPr defaultRowHeight="14.5" x14ac:dyDescent="0.35"/>
  <cols>
    <col min="1" max="1" width="3" customWidth="1"/>
    <col min="2" max="2" width="8" customWidth="1"/>
    <col min="3" max="3" width="46" customWidth="1"/>
    <col min="4" max="4" width="22" customWidth="1"/>
    <col min="5" max="5" width="16" customWidth="1"/>
    <col min="6" max="6" width="18" customWidth="1"/>
    <col min="7" max="7" width="22" customWidth="1"/>
    <col min="8" max="8" width="26" customWidth="1"/>
  </cols>
  <sheetData>
    <row r="2" spans="2:8" ht="20" x14ac:dyDescent="0.35">
      <c r="B2" s="48" t="s">
        <v>0</v>
      </c>
      <c r="C2" s="46"/>
      <c r="D2" s="46"/>
      <c r="E2" s="46"/>
      <c r="F2" s="46"/>
      <c r="G2" s="46"/>
      <c r="H2" s="46"/>
    </row>
    <row r="3" spans="2:8" x14ac:dyDescent="0.35">
      <c r="B3" s="49" t="s">
        <v>1</v>
      </c>
      <c r="C3" s="46"/>
      <c r="D3" s="46"/>
      <c r="E3" s="46"/>
      <c r="F3" s="46"/>
      <c r="G3" s="46"/>
      <c r="H3" s="46"/>
    </row>
    <row r="5" spans="2:8" x14ac:dyDescent="0.35">
      <c r="B5" s="50" t="s">
        <v>2</v>
      </c>
      <c r="C5" s="46"/>
      <c r="D5" s="46"/>
      <c r="E5" s="46"/>
      <c r="F5" s="46"/>
      <c r="G5" s="46"/>
      <c r="H5" s="46"/>
    </row>
    <row r="6" spans="2:8" x14ac:dyDescent="0.35">
      <c r="B6" s="1" t="s">
        <v>3</v>
      </c>
      <c r="C6" s="2" t="s">
        <v>4</v>
      </c>
      <c r="D6" s="3" t="s">
        <v>5</v>
      </c>
      <c r="E6" s="1" t="s">
        <v>6</v>
      </c>
      <c r="F6" s="3" t="s">
        <v>7</v>
      </c>
      <c r="G6" s="3" t="s">
        <v>8</v>
      </c>
      <c r="H6" s="3" t="s">
        <v>9</v>
      </c>
    </row>
    <row r="7" spans="2:8" x14ac:dyDescent="0.35">
      <c r="B7" s="4" t="s">
        <v>10</v>
      </c>
      <c r="C7" s="5" t="s">
        <v>11</v>
      </c>
      <c r="D7" s="6">
        <v>1</v>
      </c>
      <c r="E7" s="4" t="s">
        <v>12</v>
      </c>
      <c r="F7" s="7">
        <f>'Τεχνικοί Υπολογισμοί'!C9</f>
        <v>75</v>
      </c>
      <c r="G7" s="8">
        <f>D7*F7</f>
        <v>75</v>
      </c>
      <c r="H7" s="8">
        <f>G7*'Τεχνικοί Υπολογισμοί'!C14</f>
        <v>600</v>
      </c>
    </row>
    <row r="8" spans="2:8" x14ac:dyDescent="0.35">
      <c r="B8" s="4" t="s">
        <v>13</v>
      </c>
      <c r="C8" s="5" t="s">
        <v>14</v>
      </c>
      <c r="D8" s="9">
        <f>'Τεχνικοί Υπολογισμοί'!D20</f>
        <v>4</v>
      </c>
      <c r="E8" s="4" t="s">
        <v>15</v>
      </c>
      <c r="F8" s="10">
        <v>70</v>
      </c>
      <c r="G8" s="8">
        <f>D8*F8</f>
        <v>280</v>
      </c>
      <c r="H8" s="8">
        <f>G8*'Τεχνικοί Υπολογισμοί'!C14</f>
        <v>2240</v>
      </c>
    </row>
    <row r="9" spans="2:8" x14ac:dyDescent="0.35">
      <c r="B9" s="4" t="s">
        <v>16</v>
      </c>
      <c r="C9" s="5" t="s">
        <v>17</v>
      </c>
      <c r="D9" s="9">
        <f>'Τεχνικοί Υπολογισμοί'!D21</f>
        <v>1.2440706908215582</v>
      </c>
      <c r="E9" s="4" t="s">
        <v>18</v>
      </c>
      <c r="F9" s="10">
        <v>123</v>
      </c>
      <c r="G9" s="8">
        <f>D9*F9</f>
        <v>153.02069497105165</v>
      </c>
      <c r="H9" s="8">
        <f>G9*'Τεχνικοί Υπολογισμοί'!C14</f>
        <v>1224.1655597684132</v>
      </c>
    </row>
    <row r="10" spans="2:8" x14ac:dyDescent="0.35">
      <c r="B10" s="4" t="s">
        <v>19</v>
      </c>
      <c r="C10" s="5" t="s">
        <v>20</v>
      </c>
      <c r="D10" s="9">
        <f>'Τεχνικοί Υπολογισμοί'!D22</f>
        <v>171.50246882820176</v>
      </c>
      <c r="E10" s="4" t="s">
        <v>21</v>
      </c>
      <c r="F10" s="10">
        <v>1.1000000000000001</v>
      </c>
      <c r="G10" s="8">
        <f>D10*F10</f>
        <v>188.65271571102195</v>
      </c>
      <c r="H10" s="8">
        <f>G10*'Τεχνικοί Υπολογισμοί'!C14</f>
        <v>1509.2217256881756</v>
      </c>
    </row>
    <row r="11" spans="2:8" ht="16" x14ac:dyDescent="0.35">
      <c r="B11" s="11" t="s">
        <v>22</v>
      </c>
      <c r="C11" s="12" t="s">
        <v>23</v>
      </c>
      <c r="D11" s="11" t="s">
        <v>24</v>
      </c>
      <c r="E11" s="11" t="s">
        <v>24</v>
      </c>
      <c r="F11" s="11" t="s">
        <v>24</v>
      </c>
      <c r="G11" s="13">
        <f>SUM(G7:G10)</f>
        <v>696.67341068207361</v>
      </c>
      <c r="H11" s="13">
        <f>SUM(H7:H10)</f>
        <v>5573.3872854565889</v>
      </c>
    </row>
    <row r="13" spans="2:8" ht="15" x14ac:dyDescent="0.4">
      <c r="B13" s="47" t="s">
        <v>25</v>
      </c>
      <c r="C13" s="46"/>
      <c r="D13" s="46"/>
      <c r="E13" s="46"/>
      <c r="F13" s="46"/>
      <c r="G13" s="46"/>
      <c r="H13" s="46"/>
    </row>
    <row r="14" spans="2:8" x14ac:dyDescent="0.35">
      <c r="B14" s="45" t="s">
        <v>26</v>
      </c>
      <c r="C14" s="46"/>
      <c r="D14" s="46"/>
      <c r="E14" s="46"/>
      <c r="F14" s="46"/>
      <c r="G14" s="46"/>
      <c r="H14" s="46"/>
    </row>
    <row r="15" spans="2:8" x14ac:dyDescent="0.35">
      <c r="B15" s="46"/>
      <c r="C15" s="46"/>
      <c r="D15" s="46"/>
      <c r="E15" s="46"/>
      <c r="F15" s="46"/>
      <c r="G15" s="46"/>
      <c r="H15" s="46"/>
    </row>
    <row r="16" spans="2:8" x14ac:dyDescent="0.35">
      <c r="B16" s="46"/>
      <c r="C16" s="46"/>
      <c r="D16" s="46"/>
      <c r="E16" s="46"/>
      <c r="F16" s="46"/>
      <c r="G16" s="46"/>
      <c r="H16" s="46"/>
    </row>
    <row r="17" spans="2:8" x14ac:dyDescent="0.35">
      <c r="B17" s="46"/>
      <c r="C17" s="46"/>
      <c r="D17" s="46"/>
      <c r="E17" s="46"/>
      <c r="F17" s="46"/>
      <c r="G17" s="46"/>
      <c r="H17" s="46"/>
    </row>
    <row r="18" spans="2:8" x14ac:dyDescent="0.35">
      <c r="B18" s="46"/>
      <c r="C18" s="46"/>
      <c r="D18" s="46"/>
      <c r="E18" s="46"/>
      <c r="F18" s="46"/>
      <c r="G18" s="46"/>
      <c r="H18" s="46"/>
    </row>
    <row r="19" spans="2:8" x14ac:dyDescent="0.35">
      <c r="B19" s="46"/>
      <c r="C19" s="46"/>
      <c r="D19" s="46"/>
      <c r="E19" s="46"/>
      <c r="F19" s="46"/>
      <c r="G19" s="46"/>
      <c r="H19" s="46"/>
    </row>
  </sheetData>
  <mergeCells count="5">
    <mergeCell ref="B14:H19"/>
    <mergeCell ref="B13:H13"/>
    <mergeCell ref="B2:H2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7"/>
  <sheetViews>
    <sheetView tabSelected="1" workbookViewId="0">
      <selection activeCell="B8" sqref="B8:D8"/>
    </sheetView>
  </sheetViews>
  <sheetFormatPr defaultRowHeight="14.5" x14ac:dyDescent="0.35"/>
  <cols>
    <col min="1" max="1" width="3" customWidth="1"/>
    <col min="2" max="2" width="8" customWidth="1"/>
    <col min="3" max="3" width="44" customWidth="1"/>
    <col min="4" max="4" width="22" customWidth="1"/>
    <col min="5" max="5" width="14" customWidth="1"/>
    <col min="6" max="6" width="22" customWidth="1"/>
    <col min="7" max="7" width="14" customWidth="1"/>
    <col min="8" max="8" width="28" customWidth="1"/>
    <col min="9" max="9" width="42" customWidth="1"/>
  </cols>
  <sheetData>
    <row r="2" spans="2:9" ht="20" x14ac:dyDescent="0.35">
      <c r="B2" s="48" t="s">
        <v>27</v>
      </c>
      <c r="C2" s="46"/>
      <c r="D2" s="46"/>
      <c r="E2" s="46"/>
      <c r="F2" s="46"/>
      <c r="G2" s="46"/>
      <c r="H2" s="46"/>
      <c r="I2" s="46"/>
    </row>
    <row r="3" spans="2:9" x14ac:dyDescent="0.35">
      <c r="B3" s="49" t="s">
        <v>28</v>
      </c>
      <c r="C3" s="46"/>
      <c r="D3" s="46"/>
      <c r="E3" s="46"/>
      <c r="F3" s="46"/>
      <c r="G3" s="46"/>
      <c r="H3" s="46"/>
      <c r="I3" s="46"/>
    </row>
    <row r="5" spans="2:9" x14ac:dyDescent="0.35">
      <c r="B5" s="50" t="s">
        <v>29</v>
      </c>
      <c r="C5" s="46"/>
      <c r="D5" s="46"/>
      <c r="E5" s="46"/>
      <c r="F5" s="46"/>
      <c r="G5" s="46"/>
      <c r="H5" s="46"/>
      <c r="I5" s="46"/>
    </row>
    <row r="6" spans="2:9" x14ac:dyDescent="0.35">
      <c r="B6" s="51" t="s">
        <v>30</v>
      </c>
      <c r="C6" s="52"/>
      <c r="D6" s="52"/>
      <c r="F6" s="51" t="s">
        <v>31</v>
      </c>
      <c r="G6" s="52"/>
      <c r="H6" s="52"/>
      <c r="I6" s="52"/>
    </row>
    <row r="7" spans="2:9" ht="15" x14ac:dyDescent="0.4">
      <c r="B7" s="15" t="s">
        <v>32</v>
      </c>
      <c r="C7" s="16">
        <v>600</v>
      </c>
      <c r="D7" s="14" t="s">
        <v>33</v>
      </c>
      <c r="F7" s="17" t="s">
        <v>34</v>
      </c>
      <c r="G7" s="18">
        <v>12</v>
      </c>
      <c r="H7" s="4" t="s">
        <v>35</v>
      </c>
      <c r="I7" s="19" t="s">
        <v>36</v>
      </c>
    </row>
    <row r="8" spans="2:9" ht="15" x14ac:dyDescent="0.4">
      <c r="B8" s="53" t="s">
        <v>37</v>
      </c>
      <c r="C8" s="52"/>
      <c r="D8" s="52"/>
      <c r="F8" s="17" t="s">
        <v>38</v>
      </c>
      <c r="G8" s="18">
        <v>20</v>
      </c>
      <c r="H8" s="4" t="s">
        <v>39</v>
      </c>
      <c r="I8" s="19" t="s">
        <v>40</v>
      </c>
    </row>
    <row r="9" spans="2:9" ht="15" x14ac:dyDescent="0.4">
      <c r="B9" s="15" t="s">
        <v>41</v>
      </c>
      <c r="C9" s="20">
        <f>C7/C14</f>
        <v>75</v>
      </c>
      <c r="D9" s="14" t="s">
        <v>42</v>
      </c>
      <c r="F9" s="17" t="s">
        <v>43</v>
      </c>
      <c r="G9" s="21">
        <v>0.5</v>
      </c>
      <c r="H9" s="4" t="s">
        <v>15</v>
      </c>
      <c r="I9" s="19" t="s">
        <v>44</v>
      </c>
    </row>
    <row r="10" spans="2:9" x14ac:dyDescent="0.35">
      <c r="F10" s="15" t="s">
        <v>45</v>
      </c>
      <c r="G10" s="21">
        <v>0.5</v>
      </c>
      <c r="H10" s="4" t="s">
        <v>15</v>
      </c>
      <c r="I10" s="19" t="s">
        <v>46</v>
      </c>
    </row>
    <row r="11" spans="2:9" x14ac:dyDescent="0.35">
      <c r="B11" s="51" t="s">
        <v>47</v>
      </c>
      <c r="C11" s="52"/>
      <c r="D11" s="52"/>
      <c r="F11" s="15" t="s">
        <v>48</v>
      </c>
      <c r="G11" s="21">
        <v>0</v>
      </c>
      <c r="H11" s="4" t="s">
        <v>15</v>
      </c>
      <c r="I11" s="19" t="s">
        <v>49</v>
      </c>
    </row>
    <row r="12" spans="2:9" ht="15" x14ac:dyDescent="0.4">
      <c r="B12" s="15" t="s">
        <v>50</v>
      </c>
      <c r="C12" s="18">
        <v>600</v>
      </c>
      <c r="D12" s="14" t="s">
        <v>39</v>
      </c>
      <c r="F12" s="17" t="s">
        <v>51</v>
      </c>
      <c r="G12" s="18">
        <v>75</v>
      </c>
      <c r="H12" s="4" t="s">
        <v>39</v>
      </c>
      <c r="I12" s="19" t="s">
        <v>52</v>
      </c>
    </row>
    <row r="13" spans="2:9" ht="15" x14ac:dyDescent="0.4">
      <c r="B13" s="15" t="s">
        <v>53</v>
      </c>
      <c r="C13" s="21">
        <v>4</v>
      </c>
      <c r="D13" s="14" t="s">
        <v>15</v>
      </c>
      <c r="F13" s="17" t="s">
        <v>54</v>
      </c>
      <c r="G13" s="18">
        <v>10</v>
      </c>
      <c r="H13" s="4" t="s">
        <v>39</v>
      </c>
      <c r="I13" s="19" t="s">
        <v>55</v>
      </c>
    </row>
    <row r="14" spans="2:9" ht="15" x14ac:dyDescent="0.4">
      <c r="B14" s="15" t="s">
        <v>56</v>
      </c>
      <c r="C14" s="18">
        <v>8</v>
      </c>
      <c r="D14" s="14" t="s">
        <v>35</v>
      </c>
      <c r="F14" s="17" t="s">
        <v>57</v>
      </c>
      <c r="G14" s="18">
        <v>150</v>
      </c>
      <c r="H14" s="4" t="s">
        <v>39</v>
      </c>
      <c r="I14" s="19" t="s">
        <v>58</v>
      </c>
    </row>
    <row r="15" spans="2:9" ht="15" x14ac:dyDescent="0.4">
      <c r="F15" s="17" t="s">
        <v>59</v>
      </c>
      <c r="G15" s="22">
        <f>IF((C13+G9+G10+G11)&gt;D28, INT(((C13+G9+G10+G11)-0.001)/D28), 0)</f>
        <v>0</v>
      </c>
      <c r="H15" s="4" t="s">
        <v>60</v>
      </c>
      <c r="I15" s="19" t="s">
        <v>61</v>
      </c>
    </row>
    <row r="16" spans="2:9" x14ac:dyDescent="0.35">
      <c r="F16" s="15" t="s">
        <v>62</v>
      </c>
      <c r="G16" s="23">
        <f>D29*(G8/1000)</f>
        <v>0.24</v>
      </c>
      <c r="H16" s="4" t="s">
        <v>15</v>
      </c>
      <c r="I16" s="19" t="s">
        <v>63</v>
      </c>
    </row>
    <row r="18" spans="2:9" x14ac:dyDescent="0.35">
      <c r="B18" s="50" t="s">
        <v>64</v>
      </c>
      <c r="C18" s="46"/>
      <c r="D18" s="46"/>
      <c r="E18" s="46"/>
      <c r="F18" s="46"/>
      <c r="G18" s="46"/>
      <c r="H18" s="46"/>
      <c r="I18" s="46"/>
    </row>
    <row r="19" spans="2:9" x14ac:dyDescent="0.35">
      <c r="B19" s="1" t="s">
        <v>3</v>
      </c>
      <c r="C19" s="2" t="s">
        <v>65</v>
      </c>
      <c r="D19" s="3" t="s">
        <v>5</v>
      </c>
      <c r="E19" s="1" t="s">
        <v>6</v>
      </c>
      <c r="F19" s="3" t="s">
        <v>66</v>
      </c>
      <c r="G19" s="1" t="s">
        <v>6</v>
      </c>
      <c r="H19" s="51" t="s">
        <v>67</v>
      </c>
      <c r="I19" s="52"/>
    </row>
    <row r="20" spans="2:9" x14ac:dyDescent="0.35">
      <c r="B20" s="24" t="s">
        <v>10</v>
      </c>
      <c r="C20" s="25" t="s">
        <v>68</v>
      </c>
      <c r="D20" s="26">
        <f>D35</f>
        <v>4</v>
      </c>
      <c r="E20" s="24" t="s">
        <v>15</v>
      </c>
      <c r="F20" s="26">
        <f>D20*C14</f>
        <v>32</v>
      </c>
      <c r="G20" s="24" t="s">
        <v>15</v>
      </c>
      <c r="H20" s="56" t="s">
        <v>69</v>
      </c>
      <c r="I20" s="57"/>
    </row>
    <row r="21" spans="2:9" x14ac:dyDescent="0.35">
      <c r="B21" s="24" t="s">
        <v>13</v>
      </c>
      <c r="C21" s="25" t="s">
        <v>70</v>
      </c>
      <c r="D21" s="26">
        <f>D37</f>
        <v>1.2440706908215582</v>
      </c>
      <c r="E21" s="24" t="s">
        <v>18</v>
      </c>
      <c r="F21" s="26">
        <f>D21*C14</f>
        <v>9.9525655265724655</v>
      </c>
      <c r="G21" s="24" t="s">
        <v>18</v>
      </c>
      <c r="H21" s="56" t="s">
        <v>71</v>
      </c>
      <c r="I21" s="57"/>
    </row>
    <row r="22" spans="2:9" x14ac:dyDescent="0.35">
      <c r="B22" s="24" t="s">
        <v>16</v>
      </c>
      <c r="C22" s="25" t="s">
        <v>72</v>
      </c>
      <c r="D22" s="26">
        <f>D46</f>
        <v>171.50246882820176</v>
      </c>
      <c r="E22" s="24" t="s">
        <v>21</v>
      </c>
      <c r="F22" s="26">
        <f>D22*C14</f>
        <v>1372.0197506256141</v>
      </c>
      <c r="G22" s="24" t="s">
        <v>21</v>
      </c>
      <c r="H22" s="56" t="s">
        <v>73</v>
      </c>
      <c r="I22" s="57"/>
    </row>
    <row r="25" spans="2:9" x14ac:dyDescent="0.35">
      <c r="B25" s="50" t="s">
        <v>74</v>
      </c>
      <c r="C25" s="46"/>
      <c r="D25" s="46"/>
      <c r="E25" s="46"/>
      <c r="F25" s="46"/>
      <c r="G25" s="46"/>
      <c r="H25" s="46"/>
      <c r="I25" s="46"/>
    </row>
    <row r="26" spans="2:9" x14ac:dyDescent="0.35">
      <c r="B26" s="1" t="s">
        <v>3</v>
      </c>
      <c r="C26" s="2" t="s">
        <v>75</v>
      </c>
      <c r="D26" s="3" t="s">
        <v>76</v>
      </c>
      <c r="E26" s="1" t="s">
        <v>6</v>
      </c>
      <c r="F26" s="51" t="s">
        <v>77</v>
      </c>
      <c r="G26" s="52"/>
      <c r="H26" s="52"/>
      <c r="I26" s="52"/>
    </row>
    <row r="27" spans="2:9" x14ac:dyDescent="0.35">
      <c r="B27" s="4" t="s">
        <v>10</v>
      </c>
      <c r="C27" s="15" t="s">
        <v>78</v>
      </c>
      <c r="D27" s="27">
        <v>0.1</v>
      </c>
      <c r="E27" s="4" t="s">
        <v>79</v>
      </c>
      <c r="F27" s="53" t="s">
        <v>80</v>
      </c>
      <c r="G27" s="52"/>
      <c r="H27" s="52"/>
      <c r="I27" s="52"/>
    </row>
    <row r="28" spans="2:9" x14ac:dyDescent="0.35">
      <c r="B28" s="4" t="s">
        <v>13</v>
      </c>
      <c r="C28" s="15" t="s">
        <v>81</v>
      </c>
      <c r="D28" s="28">
        <v>7850</v>
      </c>
      <c r="E28" s="4" t="s">
        <v>82</v>
      </c>
      <c r="F28" s="53" t="s">
        <v>83</v>
      </c>
      <c r="G28" s="52"/>
      <c r="H28" s="52"/>
      <c r="I28" s="52"/>
    </row>
    <row r="29" spans="2:9" x14ac:dyDescent="0.35">
      <c r="B29" s="4" t="s">
        <v>16</v>
      </c>
      <c r="C29" s="15" t="s">
        <v>84</v>
      </c>
      <c r="D29" s="29">
        <v>12</v>
      </c>
      <c r="E29" s="4" t="s">
        <v>15</v>
      </c>
      <c r="F29" s="53" t="s">
        <v>85</v>
      </c>
      <c r="G29" s="52"/>
      <c r="H29" s="52"/>
      <c r="I29" s="52"/>
    </row>
    <row r="30" spans="2:9" x14ac:dyDescent="0.35">
      <c r="B30" s="4" t="s">
        <v>19</v>
      </c>
      <c r="C30" s="15" t="s">
        <v>86</v>
      </c>
      <c r="D30" s="28">
        <v>50</v>
      </c>
      <c r="E30" s="4" t="s">
        <v>87</v>
      </c>
      <c r="F30" s="53" t="s">
        <v>88</v>
      </c>
      <c r="G30" s="52"/>
      <c r="H30" s="52"/>
      <c r="I30" s="52"/>
    </row>
    <row r="31" spans="2:9" x14ac:dyDescent="0.35">
      <c r="B31" s="4" t="s">
        <v>89</v>
      </c>
      <c r="C31" s="15" t="s">
        <v>90</v>
      </c>
      <c r="D31" s="30">
        <f>PI()</f>
        <v>3.1415926535897931</v>
      </c>
      <c r="E31" s="4" t="s">
        <v>24</v>
      </c>
      <c r="F31" s="53" t="s">
        <v>91</v>
      </c>
      <c r="G31" s="52"/>
      <c r="H31" s="52"/>
      <c r="I31" s="52"/>
    </row>
    <row r="33" spans="2:10" x14ac:dyDescent="0.35">
      <c r="B33" s="50" t="s">
        <v>92</v>
      </c>
      <c r="C33" s="46"/>
      <c r="D33" s="46"/>
      <c r="E33" s="46"/>
      <c r="F33" s="46"/>
      <c r="G33" s="46"/>
      <c r="H33" s="46"/>
      <c r="I33" s="46"/>
    </row>
    <row r="34" spans="2:10" x14ac:dyDescent="0.35">
      <c r="B34" s="1" t="s">
        <v>3</v>
      </c>
      <c r="C34" s="2" t="s">
        <v>93</v>
      </c>
      <c r="D34" s="3" t="s">
        <v>5</v>
      </c>
      <c r="E34" s="1" t="s">
        <v>6</v>
      </c>
      <c r="F34" s="3" t="s">
        <v>94</v>
      </c>
      <c r="G34" s="1" t="s">
        <v>6</v>
      </c>
      <c r="H34" s="51" t="s">
        <v>95</v>
      </c>
      <c r="I34" s="52"/>
    </row>
    <row r="35" spans="2:10" ht="15" x14ac:dyDescent="0.4">
      <c r="B35" s="31" t="s">
        <v>10</v>
      </c>
      <c r="C35" s="32" t="s">
        <v>96</v>
      </c>
      <c r="D35" s="33">
        <f>C13</f>
        <v>4</v>
      </c>
      <c r="E35" s="31" t="s">
        <v>15</v>
      </c>
      <c r="F35" s="33">
        <f>D35*C14</f>
        <v>32</v>
      </c>
      <c r="G35" s="31" t="s">
        <v>15</v>
      </c>
      <c r="H35" s="54" t="s">
        <v>97</v>
      </c>
      <c r="I35" s="55"/>
    </row>
    <row r="36" spans="2:10" ht="15" x14ac:dyDescent="0.4">
      <c r="B36" s="34" t="s">
        <v>13</v>
      </c>
      <c r="C36" s="5" t="s">
        <v>98</v>
      </c>
      <c r="D36" s="35">
        <f>PI()*(C12/1000)^2/4 * C13</f>
        <v>1.1309733552923256</v>
      </c>
      <c r="E36" s="34" t="s">
        <v>18</v>
      </c>
      <c r="F36" s="35">
        <f>D36*C14</f>
        <v>9.0477868423386045</v>
      </c>
      <c r="G36" s="34" t="s">
        <v>18</v>
      </c>
      <c r="H36" s="58" t="s">
        <v>99</v>
      </c>
      <c r="I36" s="59"/>
    </row>
    <row r="37" spans="2:10" x14ac:dyDescent="0.35">
      <c r="B37" s="36" t="s">
        <v>16</v>
      </c>
      <c r="C37" s="37" t="s">
        <v>70</v>
      </c>
      <c r="D37" s="38">
        <f>D36*(1+D27)</f>
        <v>1.2440706908215582</v>
      </c>
      <c r="E37" s="36" t="s">
        <v>18</v>
      </c>
      <c r="F37" s="38">
        <f>D37*C14</f>
        <v>9.9525655265724655</v>
      </c>
      <c r="G37" s="36" t="s">
        <v>18</v>
      </c>
      <c r="H37" s="60" t="s">
        <v>100</v>
      </c>
      <c r="I37" s="61"/>
    </row>
    <row r="38" spans="2:10" ht="15" x14ac:dyDescent="0.4">
      <c r="B38" s="34" t="s">
        <v>19</v>
      </c>
      <c r="C38" s="5" t="s">
        <v>101</v>
      </c>
      <c r="D38" s="39">
        <f>(C12-2*G12)/1000</f>
        <v>0.45</v>
      </c>
      <c r="E38" s="34" t="s">
        <v>15</v>
      </c>
      <c r="F38" s="39">
        <f>(D38*1000)</f>
        <v>450</v>
      </c>
      <c r="G38" s="34" t="s">
        <v>39</v>
      </c>
      <c r="H38" s="58" t="s">
        <v>102</v>
      </c>
      <c r="I38" s="59"/>
    </row>
    <row r="39" spans="2:10" ht="15" x14ac:dyDescent="0.4">
      <c r="B39" s="31" t="s">
        <v>89</v>
      </c>
      <c r="C39" s="32" t="s">
        <v>103</v>
      </c>
      <c r="D39" s="40">
        <f>PI()*D38</f>
        <v>1.4137166941154069</v>
      </c>
      <c r="E39" s="31" t="s">
        <v>15</v>
      </c>
      <c r="F39" s="41" t="s">
        <v>24</v>
      </c>
      <c r="G39" s="31" t="s">
        <v>24</v>
      </c>
      <c r="H39" s="54" t="s">
        <v>104</v>
      </c>
      <c r="I39" s="55"/>
    </row>
    <row r="40" spans="2:10" ht="15" x14ac:dyDescent="0.4">
      <c r="B40" s="34" t="s">
        <v>105</v>
      </c>
      <c r="C40" s="5" t="s">
        <v>106</v>
      </c>
      <c r="D40" s="29">
        <f>C13+G9+G10+G11+(G15*G16)</f>
        <v>5</v>
      </c>
      <c r="E40" s="34" t="s">
        <v>15</v>
      </c>
      <c r="F40" s="42" t="s">
        <v>24</v>
      </c>
      <c r="G40" s="34" t="s">
        <v>24</v>
      </c>
      <c r="H40" s="58" t="s">
        <v>107</v>
      </c>
      <c r="I40" s="59"/>
    </row>
    <row r="41" spans="2:10" ht="15" x14ac:dyDescent="0.4">
      <c r="B41" s="31" t="s">
        <v>108</v>
      </c>
      <c r="C41" s="32" t="s">
        <v>109</v>
      </c>
      <c r="D41" s="40">
        <f>PI()*(G8/1000)^2/4 * D28</f>
        <v>2.4661502330679874</v>
      </c>
      <c r="E41" s="31" t="s">
        <v>110</v>
      </c>
      <c r="F41" s="41" t="s">
        <v>24</v>
      </c>
      <c r="G41" s="31" t="s">
        <v>24</v>
      </c>
      <c r="H41" s="54" t="s">
        <v>111</v>
      </c>
      <c r="I41" s="55"/>
    </row>
    <row r="42" spans="2:10" ht="15" x14ac:dyDescent="0.4">
      <c r="B42" s="34" t="s">
        <v>112</v>
      </c>
      <c r="C42" s="5" t="s">
        <v>113</v>
      </c>
      <c r="D42" s="35">
        <f>G7*D40*D41</f>
        <v>147.96901398407925</v>
      </c>
      <c r="E42" s="34" t="s">
        <v>21</v>
      </c>
      <c r="F42" s="35">
        <f>D42*C14</f>
        <v>1183.752111872634</v>
      </c>
      <c r="G42" s="34" t="s">
        <v>21</v>
      </c>
      <c r="H42" s="58" t="s">
        <v>114</v>
      </c>
      <c r="I42" s="59"/>
    </row>
    <row r="43" spans="2:10" ht="15" x14ac:dyDescent="0.4">
      <c r="B43" s="31" t="s">
        <v>115</v>
      </c>
      <c r="C43" s="32" t="s">
        <v>116</v>
      </c>
      <c r="D43" s="43">
        <f>ROUNDUP(C13/(G14/1000),0)</f>
        <v>27</v>
      </c>
      <c r="E43" s="31" t="s">
        <v>117</v>
      </c>
      <c r="F43" s="43">
        <f>D43*C14</f>
        <v>216</v>
      </c>
      <c r="G43" s="31" t="s">
        <v>117</v>
      </c>
      <c r="H43" s="54" t="s">
        <v>118</v>
      </c>
      <c r="I43" s="55"/>
      <c r="J43" s="62" t="s">
        <v>131</v>
      </c>
    </row>
    <row r="44" spans="2:10" ht="15" x14ac:dyDescent="0.4">
      <c r="B44" s="34" t="s">
        <v>119</v>
      </c>
      <c r="C44" s="5" t="s">
        <v>120</v>
      </c>
      <c r="D44" s="39">
        <f>PI()*(G13/1000)^2/4 * D28</f>
        <v>0.61653755826699685</v>
      </c>
      <c r="E44" s="34" t="s">
        <v>110</v>
      </c>
      <c r="F44" s="42" t="s">
        <v>24</v>
      </c>
      <c r="G44" s="34" t="s">
        <v>24</v>
      </c>
      <c r="H44" s="58" t="s">
        <v>121</v>
      </c>
      <c r="I44" s="59"/>
    </row>
    <row r="45" spans="2:10" ht="15" x14ac:dyDescent="0.4">
      <c r="B45" s="31" t="s">
        <v>122</v>
      </c>
      <c r="C45" s="32" t="s">
        <v>123</v>
      </c>
      <c r="D45" s="33">
        <f>D43*D39*D44</f>
        <v>23.533454844122506</v>
      </c>
      <c r="E45" s="31" t="s">
        <v>21</v>
      </c>
      <c r="F45" s="33">
        <f>D45*C14</f>
        <v>188.26763875298005</v>
      </c>
      <c r="G45" s="31" t="s">
        <v>21</v>
      </c>
      <c r="H45" s="54" t="s">
        <v>124</v>
      </c>
      <c r="I45" s="55"/>
    </row>
    <row r="46" spans="2:10" x14ac:dyDescent="0.35">
      <c r="B46" s="36" t="s">
        <v>125</v>
      </c>
      <c r="C46" s="37" t="s">
        <v>126</v>
      </c>
      <c r="D46" s="38">
        <f>D42+D45</f>
        <v>171.50246882820176</v>
      </c>
      <c r="E46" s="36" t="s">
        <v>21</v>
      </c>
      <c r="F46" s="38">
        <f>D46*C14</f>
        <v>1372.0197506256141</v>
      </c>
      <c r="G46" s="36" t="s">
        <v>21</v>
      </c>
      <c r="H46" s="60" t="s">
        <v>127</v>
      </c>
      <c r="I46" s="61"/>
    </row>
    <row r="47" spans="2:10" ht="15" x14ac:dyDescent="0.4">
      <c r="B47" s="31" t="s">
        <v>128</v>
      </c>
      <c r="C47" s="32" t="s">
        <v>129</v>
      </c>
      <c r="D47" s="44">
        <f>D46/D37</f>
        <v>137.85588720440404</v>
      </c>
      <c r="E47" s="31" t="s">
        <v>82</v>
      </c>
      <c r="F47" s="44">
        <f>F46/F37</f>
        <v>137.85588720440404</v>
      </c>
      <c r="G47" s="31" t="s">
        <v>82</v>
      </c>
      <c r="H47" s="54" t="s">
        <v>130</v>
      </c>
      <c r="I47" s="55"/>
    </row>
  </sheetData>
  <mergeCells count="34">
    <mergeCell ref="H47:I47"/>
    <mergeCell ref="F26:I26"/>
    <mergeCell ref="B33:I33"/>
    <mergeCell ref="H42:I42"/>
    <mergeCell ref="B5:I5"/>
    <mergeCell ref="F28:I28"/>
    <mergeCell ref="H46:I46"/>
    <mergeCell ref="B2:I2"/>
    <mergeCell ref="F29:I29"/>
    <mergeCell ref="H36:I36"/>
    <mergeCell ref="B6:D6"/>
    <mergeCell ref="F6:I6"/>
    <mergeCell ref="H45:I45"/>
    <mergeCell ref="F30:I30"/>
    <mergeCell ref="H19:I19"/>
    <mergeCell ref="H37:I37"/>
    <mergeCell ref="H22:I22"/>
    <mergeCell ref="H44:I44"/>
    <mergeCell ref="H40:I40"/>
    <mergeCell ref="B18:I18"/>
    <mergeCell ref="H39:I39"/>
    <mergeCell ref="H34:I34"/>
    <mergeCell ref="H21:I21"/>
    <mergeCell ref="H38:I38"/>
    <mergeCell ref="B25:I25"/>
    <mergeCell ref="B8:D8"/>
    <mergeCell ref="H43:I43"/>
    <mergeCell ref="B3:I3"/>
    <mergeCell ref="H41:I41"/>
    <mergeCell ref="B11:D11"/>
    <mergeCell ref="F31:I31"/>
    <mergeCell ref="H35:I35"/>
    <mergeCell ref="F27:I27"/>
    <mergeCell ref="H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Οικονομική Προσφορά</vt:lpstr>
      <vt:lpstr>Τεχνικοί Υπολογισμοί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2026-10-14T10:54:15Z</dcterms:created>
  <dcterms:modified xsi:type="dcterms:W3CDTF">2026-10-14T11:36:42Z</dcterms:modified>
</cp:coreProperties>
</file>