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Rules_Berlin_Wall\"/>
    </mc:Choice>
  </mc:AlternateContent>
  <xr:revisionPtr revIDLastSave="0" documentId="13_ncr:1_{73803BB4-6703-45B8-8282-AD591A0EB99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1_Τιμές_Εταιρείας" sheetId="1" r:id="rId1"/>
    <sheet name="2_Βάρη_Διατομών_Χάλυβα" sheetId="2" r:id="rId2"/>
    <sheet name="3_Υπολογιστές_Έργων_&amp;_Math" sheetId="3" r:id="rId3"/>
    <sheet name="4_Κανόνες_&amp;_Πολιτικ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42" i="3"/>
  <c r="E42" i="3" s="1"/>
  <c r="E41" i="3"/>
  <c r="B41" i="3"/>
  <c r="B40" i="3"/>
  <c r="E40" i="3" s="1"/>
  <c r="B39" i="3"/>
  <c r="E39" i="3" s="1"/>
  <c r="B38" i="3"/>
  <c r="E38" i="3" s="1"/>
  <c r="B43" i="3" s="1"/>
  <c r="E43" i="3" s="1"/>
  <c r="B31" i="3"/>
  <c r="E31" i="3" s="1"/>
  <c r="E30" i="3"/>
  <c r="B25" i="3"/>
  <c r="B18" i="3"/>
  <c r="E18" i="3" s="1"/>
  <c r="D15" i="3"/>
  <c r="E15" i="3" s="1"/>
  <c r="D14" i="3"/>
  <c r="B8" i="3"/>
  <c r="E8" i="3" s="1"/>
  <c r="G70" i="2"/>
  <c r="G69" i="2"/>
  <c r="G68" i="2"/>
  <c r="G67" i="2"/>
  <c r="G66" i="2"/>
  <c r="G65" i="2"/>
  <c r="G61" i="2"/>
  <c r="G60" i="2"/>
  <c r="G59" i="2"/>
  <c r="G58" i="2"/>
  <c r="G57" i="2"/>
  <c r="G56" i="2"/>
  <c r="G55" i="2"/>
  <c r="G54" i="2"/>
  <c r="G53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B29" i="3" l="1"/>
  <c r="E29" i="3" s="1"/>
  <c r="B27" i="3"/>
  <c r="E27" i="3" s="1"/>
  <c r="D16" i="3"/>
  <c r="E14" i="3"/>
  <c r="E16" i="3" s="1"/>
  <c r="B17" i="3" s="1"/>
  <c r="B10" i="3"/>
  <c r="E10" i="3" s="1"/>
  <c r="B9" i="3"/>
  <c r="E9" i="3" s="1"/>
  <c r="E7" i="3"/>
  <c r="E17" i="3" l="1"/>
  <c r="B19" i="3"/>
  <c r="E19" i="3" s="1"/>
  <c r="B32" i="3"/>
  <c r="E32" i="3" s="1"/>
</calcChain>
</file>

<file path=xl/sharedStrings.xml><?xml version="1.0" encoding="utf-8"?>
<sst xmlns="http://schemas.openxmlformats.org/spreadsheetml/2006/main" count="410" uniqueCount="289">
  <si>
    <t>ΚΕΝΤΡΙΚΟΣ ΤΙΜΟΚΑΤΑΛΟΓΟΣ ΕΤΑΙΡΕΙΑΣ — BERLIN WALL &amp; ΑΓΚΥΡΩΣΕΙΣ</t>
  </si>
  <si>
    <t>ΕΔΡΑ: ΑΓΙΟΣ ΣΥΛΑΣ, ΣΠΥΡΟΥ ΚΥΠΡΙΑΝΟΥ 32, ΛΕΜΕΣΟΣ  |  ΚΙΤΡΙΝΟ = Τιμές μονάδας αγοράς  |  ΛΕΥΚΟ = Φυσικές σταθερές &amp; τύποι</t>
  </si>
  <si>
    <t>Α/Α</t>
  </si>
  <si>
    <t>Πυλώνας Κόστους</t>
  </si>
  <si>
    <t>Είδος Υλικού / Εργασίας</t>
  </si>
  <si>
    <t>Τιμή Μονάδας (€)
[ΚΙΤΡΙΝΟ = ΑΛΛΑΖΕΙ]</t>
  </si>
  <si>
    <t>Μονάδα</t>
  </si>
  <si>
    <t>Κανόνας, Επεξήγηση &amp; Χρήση στην Κοστολόγηση</t>
  </si>
  <si>
    <t>1. Μετακινήσεις</t>
  </si>
  <si>
    <t>Στράτα Μεγάλου Τρυπανιού (Piling Rig) — Βασική (Λεμεσός / 0–40 km)</t>
  </si>
  <si>
    <t>€ / στράτα</t>
  </si>
  <si>
    <t>Βάση: Άγιος Συλάς. Συνήθως 1 στράτα ανά έργο.</t>
  </si>
  <si>
    <t>Επιβάρυνση Μεγάλου Τρυπανιού για 40–80 km</t>
  </si>
  <si>
    <t>Προστίθεται στη βασική για αποστάσεις 40–80 km (Σύνολο 2,000 €).</t>
  </si>
  <si>
    <t>Επιβάρυνση Μεγάλου Τρυπανιού για &gt;80 km (π.χ. Λευκωσία)</t>
  </si>
  <si>
    <t>Προστίθεται στη βασική για αποστάσεις άνω των 80 km (Σύνολο 3,000 €).</t>
  </si>
  <si>
    <t>Στράτα Εξοπλισμού Αγκυρώσεων — Βασική (Λεμεσός / 0–40 km)</t>
  </si>
  <si>
    <t>Στράτες = Άθροισμα οριζόντιων σειρών αγκυρώσεων ανά ζώνη.</t>
  </si>
  <si>
    <t>Στράτα Shotcrete — Βασική (Λεμεσός / 0–40 km)</t>
  </si>
  <si>
    <t>Στράτες = Σειρές αγκυρώσεων + 1 στράτα.</t>
  </si>
  <si>
    <t>Επιβάρυνση Αγκυρώσεων &amp; Shotcrete ανά επιπλέον 40 km</t>
  </si>
  <si>
    <t>+50 € ανά στράτα για κάθε 40 km έξω από τη βασική ακτίνα 40 km.</t>
  </si>
  <si>
    <t>2. Σχάρες &amp; Shotcrete</t>
  </si>
  <si>
    <t>Σίδηρος Σχάρας Μετώπου — Αγορά Χάλυβα B500C</t>
  </si>
  <si>
    <t>€ / kg</t>
  </si>
  <si>
    <t>Υπολογίζεται με βάση τα kg/m² της σχάρας (π.χ. Q188 = 3.02 kg/m²).</t>
  </si>
  <si>
    <t>Σχάρα Μετώπου — Τοποθέτηση / Εργατικά</t>
  </si>
  <si>
    <t>€ / m²</t>
  </si>
  <si>
    <t>Ενιαία τιμή τοποθέτησης ανά m² όψης εκσκαφής.</t>
  </si>
  <si>
    <t>Σκυρόδεμα Shotcrete C30/37 — Αγορά Κουγκριού</t>
  </si>
  <si>
    <t>€ / m³</t>
  </si>
  <si>
    <t>Ονομαστικός όγκος μελέτης = Εμβαδόν × Ονομαστικό πάχος (m).</t>
  </si>
  <si>
    <t>Εκτοξευόμενο — Εφαρμογή/Εκτόξευση (Βάση &gt; 7 m³)</t>
  </si>
  <si>
    <t>Βάση υπολογισμού: [(200 × (1 + %απώλειας)) - 90] €/m³.</t>
  </si>
  <si>
    <t>Εκτοξευόμενο — Εφαρμογή/Εκτόξευση (Βάση ≤ 7 m³)</t>
  </si>
  <si>
    <t>Εφαρμόζεται σε μικρές ποσότητες κάτω των 7 m³.</t>
  </si>
  <si>
    <t>3. H-Beams (Νέφκες)</t>
  </si>
  <si>
    <t>Διάτρηση Μεγάλου Τρυπανιού (Ø800 mm προεπιλογή)</t>
  </si>
  <si>
    <t>€ / m</t>
  </si>
  <si>
    <t>Εύρος τιμών: 65–90 €/m. Μέτρα = Πλήθος οπών × (H_exc + H_embed).</t>
  </si>
  <si>
    <t>Χάλυβας Νέφκων (Προφίλ HEA/HEB/UPN) — Αγορά</t>
  </si>
  <si>
    <t>Αγορά δομικού χάλυβα προφίλ.</t>
  </si>
  <si>
    <t>Χάλυβας Νέφκων (Προφίλ HEA/HEB/UPN) — Επεξεργασία &amp; Τοποθέτηση</t>
  </si>
  <si>
    <t>Εργατικά, κοπές, τοποθέτηση εντός οπών (Σύνολο 1.40 €/kg).</t>
  </si>
  <si>
    <t>Λάμες Σύνδεσης / Ενίσχυσης — Αγορά Χάλυβα</t>
  </si>
  <si>
    <t>Αγορά χαλυβδοελασμάτων (plates).</t>
  </si>
  <si>
    <t>Λάμες Σύνδεσης / Ενίσχυσης — Επεξεργασία &amp; Συγκόλληση</t>
  </si>
  <si>
    <t>Κοπή και συγκόλληση λαμών στις νέφκες (Σύνολο 1.60 €/kg).</t>
  </si>
  <si>
    <t>Κουγκρί Πάκτωσης Πασσάλων</t>
  </si>
  <si>
    <t>Όγκος = π × (D/2)² × H_embed × N_holes. Διακριτό χρώμα για εύκολη αλλαγή.</t>
  </si>
  <si>
    <t>Γωνιές Στήριξης (Equal Angles L) — Αγορά &amp; Τοποθέτηση</t>
  </si>
  <si>
    <t>Μόνο εφόσον ζητείται από τη μελέτη (1.00 € αγορά + 0.60 € επεξεργασία).</t>
  </si>
  <si>
    <t>4. Αγκυρώσεις</t>
  </si>
  <si>
    <t>Διάτρηση Αγκυρώσεων (Tiebacks)</t>
  </si>
  <si>
    <t>Εύρος τιμών: 25–35 €/m. Μέτρα = Άθροισμα (Οπές × Βάθος σειράς).</t>
  </si>
  <si>
    <t>Grout Τσιμεντενέματος Πλήρωσης Αγκυρώσεων</t>
  </si>
  <si>
    <t>Όγκος ανά μέτρο = π × (0.12/2)² × 1.20 = 0.013572 m³/m.</t>
  </si>
  <si>
    <t>Τένοντες Προέντασης (Strands 0.6" - 1.10 kg/m)</t>
  </si>
  <si>
    <t>Μήκος = (Βάθος + 1.0 m) × Strands/οπή. Τιμή 2.28 € ανά τρέχον μέτρο τένοντα.</t>
  </si>
  <si>
    <t>Προένταση Αγκυρώσεων (Stressing &amp; Lock-off)</t>
  </si>
  <si>
    <t>€ / τεμ</t>
  </si>
  <si>
    <t>Χρέωση ανά κεφαλή/οπή για τάνυση, δοκιμή και κλείδωμα σφηνών.</t>
  </si>
  <si>
    <t>Κεφαλή Αγκύρωσης (Anchor Head, Wedges, Bearing Plate)</t>
  </si>
  <si>
    <t>Πλήρες σετ κεφαλής αγκύρωσης, σφηνών και πλάκας ανά οπή.</t>
  </si>
  <si>
    <t>Β. ΦΥΣΙΚΕΣ ΣΤΑΘΕΡΕΣ &amp; ΠΑΓΙΟΙ ΚΑΝΟΝΕΣ (ΛΕΥΚΟ — ΔΕΝ ΑΛΛΑΖΟΥΝ ΠΟΤΕ)</t>
  </si>
  <si>
    <t>—</t>
  </si>
  <si>
    <t>Σταθερά</t>
  </si>
  <si>
    <t>Πυκνότητα Χάλυβα (ρ)</t>
  </si>
  <si>
    <t>kg / m³</t>
  </si>
  <si>
    <t>Φυσική σταθερά για υπολογισμό βάρους προφίλ, πλακών, λαμών.</t>
  </si>
  <si>
    <t>Πάγια Απώλεια Πάχους Shotcrete</t>
  </si>
  <si>
    <t>m</t>
  </si>
  <si>
    <t>+5 cm πάγια προσαύξηση εταιρείας για αναπήδηση / υπερκατανάλωση.</t>
  </si>
  <si>
    <t>Βασική Ακτίνα Έδρας (Λεμεσός)</t>
  </si>
  <si>
    <t>km</t>
  </si>
  <si>
    <t>Ακτίνα 0–40 km από Άγιο Συλά, Σπύρου Κυπριανού 32, Λεμεσό.</t>
  </si>
  <si>
    <t>Διάμετρος Οπής Grout Αγκυρώσεων</t>
  </si>
  <si>
    <t>Τυπική οπή διάτρησης αγκυρώσεων 120 mm.</t>
  </si>
  <si>
    <t>Συντελεστής Υπερκατανάλωσης Grout</t>
  </si>
  <si>
    <t>συντελεστής</t>
  </si>
  <si>
    <t>+20% υπερκατανάλωση τσιμεντενέματος στο έδαφος.</t>
  </si>
  <si>
    <t>Προεπιλεγμένη Διάμετρος Οπής H-Beams</t>
  </si>
  <si>
    <t>Προεπιλογή Ø800 mm εάν δεν ορίζεται διαφορετικά στη μελέτη.</t>
  </si>
  <si>
    <t>Επιπλέον Μήκος Τενόντων για Τάνυση</t>
  </si>
  <si>
    <t>+1.0 m ανά τένοντα έξω από το μέτωπο για την κεφαλή και το γρύλο.</t>
  </si>
  <si>
    <t>ΠΙΝΑΚΕΣ ΔΙΑΤΟΜΩΝ &amp; ΘΕΩΡΗΤΙΚΩΝ ΒΑΡΩΝ ΧΑΛΥΒΑ (EUROCODES)</t>
  </si>
  <si>
    <t>Περιλαμβάνει Ευρωπαϊκά Πλατύπελμα HEA, HEB, UPN, Ισοσκελείς Γωνίες L και Ράβδους Οπλισμού Y</t>
  </si>
  <si>
    <t>1. ΡΑΒΔΟΙ ΟΠΛΙΣΜΟΥ B500C (ΣΧΑΡΕΣ &amp; ΟΠΛΙΣΜΟΙ)</t>
  </si>
  <si>
    <t>Ονομασία</t>
  </si>
  <si>
    <t>Διάμετρος (mm)</t>
  </si>
  <si>
    <t>Θεωρητικό Βάρος (kg/m)</t>
  </si>
  <si>
    <t>Τιμή Αγοράς (€/kg)</t>
  </si>
  <si>
    <t>Κόστος ανά Μέτρο (€/m)</t>
  </si>
  <si>
    <t>Συνήθης Χρήση</t>
  </si>
  <si>
    <t>Y8</t>
  </si>
  <si>
    <t>Ελαφριές σχάρες μετώπου</t>
  </si>
  <si>
    <t>Y10</t>
  </si>
  <si>
    <t>Τυπική σχάρα shotcrete (π.χ. Y10/150)</t>
  </si>
  <si>
    <t>Y12</t>
  </si>
  <si>
    <t>Ενισχυμένη σχάρα shotcrete</t>
  </si>
  <si>
    <t>Y14</t>
  </si>
  <si>
    <t>Σχάρες βαρέως τύπου</t>
  </si>
  <si>
    <t>Y16</t>
  </si>
  <si>
    <t>Ενισχύσεις / συνδετήρες</t>
  </si>
  <si>
    <t>Y20</t>
  </si>
  <si>
    <t>Δευτερεύοντες οπλισμοί</t>
  </si>
  <si>
    <t>Y25</t>
  </si>
  <si>
    <t>Εδαφοηλώσεις μικρού βάθους</t>
  </si>
  <si>
    <t>Y32</t>
  </si>
  <si>
    <t>Βαριές εδαφοηλώσεις</t>
  </si>
  <si>
    <t>2.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</si>
  <si>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</si>
  <si>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</si>
  <si>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</si>
  <si>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</si>
  <si>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</si>
  <si>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Βάρος (kg/m)</t>
  </si>
  <si>
    <t>Κόστος Υλικού (€/m) [1.40 €/kg]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</si>
  <si>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</si>
  <si>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</si>
  <si>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</si>
  <si>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</si>
  <si>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</si>
  <si>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</si>
  <si>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</si>
  <si>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</si>
  <si>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</si>
  <si>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</si>
  <si>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</si>
  <si>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</si>
  <si>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</si>
  <si>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</si>
  <si>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</si>
  <si>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3. ΔΙΑΤΟΜΕΣ HEB (Ευρωπαϊκά Πλατύπελμα Κανονικού Τύπου — ΤΥΠΙΚΕΣ ΝΕΦΚΕΣ)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</si>
  <si>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</si>
  <si>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</si>
  <si>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</si>
  <si>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</si>
  <si>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</si>
  <si>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</si>
  <si>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</si>
  <si>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</si>
  <si>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</si>
  <si>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HEB 320</t>
  </si>
  <si>
    <t>HEB 340</t>
  </si>
  <si>
    <t>HEB 360</t>
  </si>
  <si>
    <t>HEB 400</t>
  </si>
  <si>
    <t>HEB 450</t>
  </si>
  <si>
    <t>HEB 500</t>
  </si>
  <si>
    <t>4. ΔΙΑΤΟΜΕΣ UPN (Κοιλοδοκοί U-Profiles — Διπλά Προφίλ)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</si>
  <si>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</si>
  <si>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</si>
  <si>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</si>
  <si>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</si>
  <si>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</si>
  <si>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</si>
  <si>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</si>
  <si>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</si>
  <si>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UPN 300</t>
  </si>
  <si>
    <t>5. ΙΣΟΣΚΕΛΕΙΣ ΓΩΝΙΕΣ (Equal Angles L — Γωνιές Στήριξης)</t>
  </si>
  <si>
    <t>Ονομασία Γωνίας</t>
  </si>
  <si>
    <t>Πλάτος a (mm)</t>
  </si>
  <si>
    <t>Πάχος t (mm)</t>
  </si>
  <si>
    <t>Κόστος Υλικού (€/m) [1.60 €/kg]</t>
  </si>
  <si>
    <t>L 50x50x5</t>
  </si>
  <si>
    <t>L 60x60x6</t>
  </si>
  <si>
    <t>L 70x70x7</t>
  </si>
  <si>
    <t>L 80x80x8</t>
  </si>
  <si>
    <t>L 90x90x9</t>
  </si>
  <si>
    <t>L 100x100x10</t>
  </si>
  <si>
    <t>ΔΙΑΔΡΑΣΤΙΚΟΙ ΥΠΟΛΟΓΙΣΤΕΣ ΕΡΓΩΝ BERLIN WALL &amp; ΑΓΚΥΡΩΣΕΩΝ</t>
  </si>
  <si>
    <t>ΓΑΛΑΖΙΑ ΚΕΛΙΑ = Εισαγωγή στοιχείων μελέτης  |  Οι τιμές μονάδας αντλούνται αυτόματα από τον Τιμοκατάλογο (Φύλλο 1)</t>
  </si>
  <si>
    <t>1. ΥΠΟΛΟΓΙΣΤΗΣ ΣΤΡΑΤΩΝ ΜΕΤΑΚΙΝΗΣΗΣ ΑΝΑ ΑΠΟΣΤΑΣΗ</t>
  </si>
  <si>
    <t>Παράμετρος Έργου</t>
  </si>
  <si>
    <t>Τιμή / Εισαγωγή</t>
  </si>
  <si>
    <t>Τύπος Υπολογισμού</t>
  </si>
  <si>
    <t>Τελική Τιμή Στράτας (€)</t>
  </si>
  <si>
    <t>Παρατηρήσεις</t>
  </si>
  <si>
    <t>Οδική Απόσταση Έργου από Άγιο Συλά</t>
  </si>
  <si>
    <t>Εισαγωγή από μελέτη / Google Maps</t>
  </si>
  <si>
    <t>Βασική ζώνη 0–40 km (Λεμεσός)</t>
  </si>
  <si>
    <t>Επιπλέον Ζώνες των 40 km (για Αγκυρώσεις/Shotcrete)</t>
  </si>
  <si>
    <t>ζώνες</t>
  </si>
  <si>
    <t>MAX(0, ROUNDUP((km-40)/40, 0))</t>
  </si>
  <si>
    <t>0 = έως 40km, 1 = 41-80km, 2 = 81-120km</t>
  </si>
  <si>
    <t>Τιμή Στράτας Μεγάλου Τρυπανιού</t>
  </si>
  <si>
    <t>1500 + (+500 αν &gt;40km, +1500 αν &gt;80km)</t>
  </si>
  <si>
    <t>Λεμεσός: 1500 €, 40-80km: 2000 €, Λευκωσία: 3000 €</t>
  </si>
  <si>
    <t>Τιμή Στράτας Εξοπλισμού Αγκυρώσεων</t>
  </si>
  <si>
    <t>300 € + Επιπλέον Ζώνες × 50 €</t>
  </si>
  <si>
    <t>300 € (0-40km), 350 € (40-80km), 400 € (80-120km)</t>
  </si>
  <si>
    <t>Τιμή Στράτας Shotcrete</t>
  </si>
  <si>
    <t>200 € + Επιπλέον Ζώνες × 50 €</t>
  </si>
  <si>
    <t>200 € (0-40km), 250 € (40-80km), 300 € (80-120km)</t>
  </si>
  <si>
    <t>2. ΥΠΟΛΟΓΙΣΤΗΣ ΒΑΡΟΥΣ &amp; ΚΟΣΤΟΥΣ ΣΧΑΡΑΣ ΜΕΤΩΠΟΥ (CUSTOM GRID CALCULATOR)</t>
  </si>
  <si>
    <t>Διεύθυνση Οπλισμού</t>
  </si>
  <si>
    <t>Διάμετρος Y (mm)</t>
  </si>
  <si>
    <t>Βήμα s (mm)</t>
  </si>
  <si>
    <t>Μέτρα Ράβδων ανά m²</t>
  </si>
  <si>
    <t>Βάρος Ράβδων (kg/m²)</t>
  </si>
  <si>
    <t>Τρόπος Υπολογισμού</t>
  </si>
  <si>
    <t>Οριζόντιες Ράβδοι Μετώπου</t>
  </si>
  <si>
    <t>1000 / s × kg/m του Y</t>
  </si>
  <si>
    <t>Κάθετες Ράβδοι Μετώπου</t>
  </si>
  <si>
    <t>ΣΥΝΟΛΙΚΟ ΒΑΡΟΣ ΧΑΛΥΒΑ ΣΧΑΡΑΣ</t>
  </si>
  <si>
    <t>kg χάλυβα ανά m² επιφάνειας μετώπου</t>
  </si>
  <si>
    <t>Κόστος Αγοράς Σιδήρου Σχάρας ανά m²</t>
  </si>
  <si>
    <t>kg/m² × 2.50 €/kg (από Τιμοκατάλογο)</t>
  </si>
  <si>
    <t>Κόστος Τοποθέτησης Σχάρας ανά m²</t>
  </si>
  <si>
    <t>15.00 €/m² ενιαία τοποθέτηση</t>
  </si>
  <si>
    <t>ΤΕΛΙΚΟ ΚΟΣΤΟΣ ΣΧΑΡΑΣ ΑΝΑ m² (ΑΓΟΡΑ + ΤΟΠΟΘΕΤΗΣΗ)</t>
  </si>
  <si>
    <t>Αγορά + Τοποθέτηση</t>
  </si>
  <si>
    <t>3. ΥΠΟΛΟΓΙΣΤΗΣ ΜΟΝΑΔΑΣ H-BEAM / ΠΑΣΣΑΛΟΥ (SOLDIER PILE CALCULATOR)</t>
  </si>
  <si>
    <t>Στοιχείο Πασσάλου / Νέφκας</t>
  </si>
  <si>
    <t>Κόστος ανά Πάσσαλο (€)</t>
  </si>
  <si>
    <t>Ύψος Εκσκαφής Μετώπου (H_exc)</t>
  </si>
  <si>
    <t>Εισαγωγή από μελέτη</t>
  </si>
  <si>
    <t>Ελεύθερο ύψος</t>
  </si>
  <si>
    <t>Βάθος Πάκτωσης Πασσάλου (H_embed)</t>
  </si>
  <si>
    <t>Βάθος πάκτωσης κάτω από πυθμένα</t>
  </si>
  <si>
    <t>Συνολικό Μήκος Οπής &amp; Νέφκας (L_beam)</t>
  </si>
  <si>
    <t>H_exc + H_embed</t>
  </si>
  <si>
    <t>Συνολικό μήκος τρυπήματος</t>
  </si>
  <si>
    <t>Διάμετρος Οπής Μεγάλου Τρυπανιού (D)</t>
  </si>
  <si>
    <t>Εισαγωγή από μελέτη (προεπιλογή 0.80 m)</t>
  </si>
  <si>
    <t>800 mm τυπική διάμετρος</t>
  </si>
  <si>
    <t>Κόστος Διάτρησης ανά Πάσσαλο</t>
  </si>
  <si>
    <t>€ / πάσσαλο</t>
  </si>
  <si>
    <t>L_beam × 75.00 €/m (από Τιμοκατάλογο)</t>
  </si>
  <si>
    <t>Διάτρηση μεγάλου τρυπανιού</t>
  </si>
  <si>
    <t>Βάρος Προφίλ Νέφκας ανά Μέτρο (π.χ. HEB 240)</t>
  </si>
  <si>
    <t>kg / m</t>
  </si>
  <si>
    <t>Από Πίνακα Διατομών (Φύλλο 2)</t>
  </si>
  <si>
    <t>83.2 kg/m για HEB 240</t>
  </si>
  <si>
    <t>Κόστος Προφίλ Νέφκας ανά Πάσσαλο</t>
  </si>
  <si>
    <t>L_beam × kg/m × 1.40 €/kg</t>
  </si>
  <si>
    <t>Χάλυβας νέφκας</t>
  </si>
  <si>
    <t>Κόστος Λαμών Σύνδεσης ανά Πάσσαλο</t>
  </si>
  <si>
    <t>Λάμες ανά 1.0 m × 1.60 €/kg</t>
  </si>
  <si>
    <t>Ενισχύσεις / συνδέσεις</t>
  </si>
  <si>
    <t>Κουγκρί Πάκτωσης ανά Πάσσαλο (Κυβικά &amp; Κόστος)</t>
  </si>
  <si>
    <t>π × (D/2)² × H_embed × 120.00 €/m³</t>
  </si>
  <si>
    <t>Σκυρόδεμα πάκτωσης</t>
  </si>
  <si>
    <t>ΣΥΝΟΛΙΚΟ ΚΟΣΤΟΣ ΑΝΑ ΠΑΣΣΑΛΟ / ΟΠΗ BERLIN WALL</t>
  </si>
  <si>
    <t>Διάτρηση + Νέφκα + Λάμες + Κουγκρί</t>
  </si>
  <si>
    <t>Πλήρες κόστος ανά οπή</t>
  </si>
  <si>
    <t>4. ΥΠΟΛΟΓΙΣΤΗΣ ΜΟΝΑΔΑΣ ΑΓΚΥΡΩΣΗΣ (TIEBACK ANCHOR CALCULATOR)</t>
  </si>
  <si>
    <t>Στοιχείο Αγκύρωσης</t>
  </si>
  <si>
    <t>Κόστος ανά Αγκύρωση (€)</t>
  </si>
  <si>
    <t>Μήκος / Βάθος Διάτρησης Αγκύρωσης (L_drill)</t>
  </si>
  <si>
    <t>Μήκος οπής</t>
  </si>
  <si>
    <t>Αριθμός Τενόντων ανά Οπή (N_strands)</t>
  </si>
  <si>
    <t>τεμ / οπή</t>
  </si>
  <si>
    <t>Τυπικά 3 έως 5 τένοντες</t>
  </si>
  <si>
    <t>Κόστος Διάτρησης ανά Αγκύρωση</t>
  </si>
  <si>
    <t>€ / αγκύρωση</t>
  </si>
  <si>
    <t>L_drill × 30.00 €/m</t>
  </si>
  <si>
    <t>Διάτρηση οπής</t>
  </si>
  <si>
    <t>Κόστος Grout Τσιμεντενέματος ανά Αγκύρωση</t>
  </si>
  <si>
    <t>L_drill × 0.013572 m³/m × 500 €/m³</t>
  </si>
  <si>
    <t>Grout πλήρωσης</t>
  </si>
  <si>
    <t>Κόστος Τενόντων Προέντασης ανά Αγκύρωση</t>
  </si>
  <si>
    <t>(L_drill + 1.0 m) × N_strands × 2.28 €/m</t>
  </si>
  <si>
    <t>Χάλυβας προέντασης</t>
  </si>
  <si>
    <t>Κόστος Προέντασης &amp; Lock-off ανά Αγκύρωση</t>
  </si>
  <si>
    <t>18.00 € / τεμάχιο (από Τιμοκατάλογο)</t>
  </si>
  <si>
    <t>Εργασία τάνυσης</t>
  </si>
  <si>
    <t>Κόστος Κεφαλής Αγκύρωσης &amp; Πλάκας ανά Αγκύρωση</t>
  </si>
  <si>
    <t>55.00 € / τεμάχιο (από Τιμοκατάλογο)</t>
  </si>
  <si>
    <t>Υλικά κεφαλής</t>
  </si>
  <si>
    <t>ΣΥΝΟΛΙΚΟ ΚΟΣΤΟΣ ΑΝΑ ΠΛΗΡΗ ΑΓΚΥΡΩΣΗ (TIEBACK ANCHOR)</t>
  </si>
  <si>
    <t>Διάτρηση + Grout + Τένοντες + Τάνυση + Κεφαλή</t>
  </si>
  <si>
    <t>Πλήρες κόστος αγκύρωσης</t>
  </si>
  <si>
    <t>ΚΑΝΟΝΕΣ ΤΙΜΟΚΑΤΑΛΟΓΟΥ &amp; ΠΟΛΙΤΙΚΗ ΑΠΟΥΣΙΑΣ ΥΛΙΚΟΥ (BERLIN WALL)</t>
  </si>
  <si>
    <t>Αυστηρές οδηγίες κοστολόγησης και συμπεριφοράς για το AI και τους μηχανικούς</t>
  </si>
  <si>
    <t>Θέμα / Πεδίο</t>
  </si>
  <si>
    <t>Κανόνας Λειτουργίας &amp; Οδηγία για το AI</t>
  </si>
  <si>
    <t>Κανόνας Χρωματισμού</t>
  </si>
  <si>
    <t>• ΚΙΤΡΙΝΟ (#FFF2CC): Τιμές μονάδας που αλλάζουν με τους καιρούς / συνθήκες αγοράς.
• ΛΕΥΚΟ (Χωρίς γέμισμα): Φυσικές σταθερές (7850 kg/m³, π), γεωμετρία και δυναμικοί τύποι.
• ΓΑΛΑΖΙΟ (#DDEBF7): Εισαγωγή στοιχείων ανά έργο στους διαδραστικούς υπολογιστές.
• ΑΠΑΛΟ ΠΟΡΤΟΚΑΛΙ (#FFE699): Κουγκρί πάκτωσης πασσάλων για άμεση εποπτεία.</t>
  </si>
  <si>
    <t>Κανόνας Μετακινήσεων (3 Είδη)</t>
  </si>
  <si>
    <t>• Μεγάλο τρυπάνι: 1 στράτα συνήθως. 1,500 € Λεμεσό, +500 € (40–80 km), +1,500 € (&gt;80 km, π.χ. Λευκωσία = 3,000 €).
• Εξοπλισμός αγκυρώσεων: 300 € Λεμεσό (+50 € / 40 km). Στράτες = Σειρές αγκυρώσεων ανά ζώνη.
• Shotcrete: 200 € Λεμεσό (+50 € / 40 km). Στράτες = Σειρές αγκυρώσεων + 1 στράτα.</t>
  </si>
  <si>
    <t>Κανόνας Σχαρών &amp; Shotcrete</t>
  </si>
  <si>
    <t>Μετριούνται ακριβώς όπως στις εδαφοηλώσεις:
• Σχάρα: 2.50 €/kg αγορά + 15.00 €/m² τοποθέτηση.
• Shotcrete C30/37: 90.00 €/m³ αγορά + εφαρμογή [(Βάση 200 ή 250 × (1 + %απώλειας)) - 90] €/m³.
• Πάγια απώλεια: +0.05 m (+5cm) πάνω στο ονομαστικό πάχος μελέτης.</t>
  </si>
  <si>
    <t>Κανόνας H-Beams (Νέφκες &amp; Πάσσαλοι)</t>
  </si>
  <si>
    <t>Περιλαμβάνει 5 στοιχεία:
1. Διάτρηση μεγάλου τρυπανιού: 75.00 €/m (εύρος 65–90 €/m). Προεπιλογή Ø800 mm.
2. Χάλυβας νέφκας: 1.40 €/kg (1.00 € αγορά + 0.40 € επεξεργασία/τοποθέτηση).
3. Λάμες σύνδεσης: 1.60 €/kg (1.00 € αγορά + 0.60 € επεξεργασία/συγκόλληση).
4. Κουγκρί πάκτωσης: 120.00 €/m³ (σε ύψος H_embed).
5. Γωνιές στήριξης L: 1.60 €/kg (μόνο εφόσον ζητούνται στο σχέδιο).</t>
  </si>
  <si>
    <t>Κανόνας Αγκυρώσεων (Tieback Anchors)</t>
  </si>
  <si>
    <t>Περιλαμβάνει 5 στοιχεία:
1. Διάτρηση: 30.00 €/m (εύρος 25–35 €/m).
2. Grout: 500.00 €/m³ με όγκο π × (0.12/2)² × 1.20 = 0.013572 m³/m.
3. Τένοντες προέντασης: 2.28 €/m τένοντα (0.6" - 1.10 kg/m), μήκος = (Βάθος + 1.0 m) × strands.
4. Προένταση (Stressing &amp; Lock-off): 18.00 € / τεμάχιο (ανά οπή).
5. Κεφαλή αγκύρωσης: 55.00 € / τεμάχιο (ανά οπή).</t>
  </si>
  <si>
    <t>ΚΑΝΟΝΑΣ ΑΠΟΥΣΙΑΣ ΥΛΙΚΟΥ (ΥΠΟΧΡΕΩΤΙΚΟ ΜΗΝΥΜΑ AI)</t>
  </si>
  <si>
    <t>Εάν ο μελετητής ζητήσει υλικό που ΔΕΝ υπάρχει στον παρόντα τιμοκατάλογο (π.χ. διάτρηση Ø1000 mm, διατομή HEB 700, ίνες, κ.λπ.):
-&gt; Το σύστημα AI ΑΠΑΓΟΡΕΥΕΤΑΙ ΑΥΣΤΗΡΑ να μαντέψει ή να εφεύρει τιμή!
-&gt; Το σύστημα ΣΤΑΜΑΤΑΕΙ και εμφανίζει στον χρήστη ρητά το μήνυμα:
   «Δεν υπάρχει αυτό το είδος ([Όνομα Είδους]) στον τιμοκατάλογο. Καθοδήγησέ με με τιμή να ξέρω.»
-&gt; Μόνο αφού ο χρήστης δώσει την τιμή, η κοστολόγηση προχωρά.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</si>
</sst>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5"/>
      <color rgb="FF1F4E79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1"/>
      <color rgb="FFFFFFFF"/>
      <name val="Segoe UI"/>
    </font>
    <font>
      <b/>
      <sz val="10"/>
      <color rgb="FF1F4E7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E9EEF4"/>
        <bgColor rgb="FFE9EE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right" vertical="center"/>
    </xf>
    <xf numFmtId="4" fontId="7" fillId="7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10" workbookViewId="0">
      <selection activeCell="D31" sqref="D31"/>
    </sheetView>
  </sheetViews>
  <sheetFormatPr defaultRowHeight="14.5" x14ac:dyDescent="0.35"/>
  <cols>
    <col min="1" max="1" width="8" customWidth="1"/>
    <col min="2" max="2" width="22" customWidth="1"/>
    <col min="3" max="3" width="61.6328125" bestFit="1" customWidth="1"/>
    <col min="4" max="4" width="20" customWidth="1"/>
    <col min="5" max="5" width="16" customWidth="1"/>
    <col min="6" max="6" width="50" customWidth="1"/>
  </cols>
  <sheetData>
    <row r="1" spans="1:6" ht="22.5" x14ac:dyDescent="0.6">
      <c r="A1" s="1" t="s">
        <v>0</v>
      </c>
    </row>
    <row r="2" spans="1:6" ht="16" x14ac:dyDescent="0.45">
      <c r="A2" s="2" t="s">
        <v>1</v>
      </c>
    </row>
    <row r="4" spans="1:6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6" x14ac:dyDescent="0.35">
      <c r="A5" s="4">
        <v>1</v>
      </c>
      <c r="B5" s="5" t="s">
        <v>8</v>
      </c>
      <c r="C5" s="5" t="s">
        <v>9</v>
      </c>
      <c r="D5" s="6">
        <v>1500</v>
      </c>
      <c r="E5" s="4" t="s">
        <v>10</v>
      </c>
      <c r="F5" s="7" t="s">
        <v>11</v>
      </c>
    </row>
    <row r="6" spans="1:6" ht="32" x14ac:dyDescent="0.35">
      <c r="A6" s="4">
        <v>2</v>
      </c>
      <c r="B6" s="5" t="s">
        <v>8</v>
      </c>
      <c r="C6" s="5" t="s">
        <v>12</v>
      </c>
      <c r="D6" s="6">
        <v>500</v>
      </c>
      <c r="E6" s="4" t="s">
        <v>10</v>
      </c>
      <c r="F6" s="7" t="s">
        <v>13</v>
      </c>
    </row>
    <row r="7" spans="1:6" ht="32" x14ac:dyDescent="0.35">
      <c r="A7" s="4">
        <v>3</v>
      </c>
      <c r="B7" s="5" t="s">
        <v>8</v>
      </c>
      <c r="C7" s="5" t="s">
        <v>14</v>
      </c>
      <c r="D7" s="6">
        <v>1500</v>
      </c>
      <c r="E7" s="4" t="s">
        <v>10</v>
      </c>
      <c r="F7" s="7" t="s">
        <v>15</v>
      </c>
    </row>
    <row r="8" spans="1:6" ht="32" x14ac:dyDescent="0.35">
      <c r="A8" s="4">
        <v>4</v>
      </c>
      <c r="B8" s="5" t="s">
        <v>8</v>
      </c>
      <c r="C8" s="5" t="s">
        <v>16</v>
      </c>
      <c r="D8" s="6">
        <v>300</v>
      </c>
      <c r="E8" s="4" t="s">
        <v>10</v>
      </c>
      <c r="F8" s="7" t="s">
        <v>17</v>
      </c>
    </row>
    <row r="9" spans="1:6" ht="21" customHeight="1" x14ac:dyDescent="0.35">
      <c r="A9" s="4">
        <v>5</v>
      </c>
      <c r="B9" s="5" t="s">
        <v>8</v>
      </c>
      <c r="C9" s="5" t="s">
        <v>18</v>
      </c>
      <c r="D9" s="6">
        <v>200</v>
      </c>
      <c r="E9" s="4" t="s">
        <v>10</v>
      </c>
      <c r="F9" s="7" t="s">
        <v>19</v>
      </c>
    </row>
    <row r="10" spans="1:6" ht="32" x14ac:dyDescent="0.35">
      <c r="A10" s="4">
        <v>6</v>
      </c>
      <c r="B10" s="5" t="s">
        <v>8</v>
      </c>
      <c r="C10" s="5" t="s">
        <v>20</v>
      </c>
      <c r="D10" s="6">
        <v>50</v>
      </c>
      <c r="E10" s="4" t="s">
        <v>10</v>
      </c>
      <c r="F10" s="7" t="s">
        <v>21</v>
      </c>
    </row>
    <row r="11" spans="1:6" ht="21" customHeight="1" x14ac:dyDescent="0.35">
      <c r="A11" s="4">
        <v>7</v>
      </c>
      <c r="B11" s="5" t="s">
        <v>22</v>
      </c>
      <c r="C11" s="5" t="s">
        <v>23</v>
      </c>
      <c r="D11" s="6">
        <v>2.5</v>
      </c>
      <c r="E11" s="4" t="s">
        <v>24</v>
      </c>
      <c r="F11" s="7" t="s">
        <v>25</v>
      </c>
    </row>
    <row r="12" spans="1:6" ht="21" customHeight="1" x14ac:dyDescent="0.35">
      <c r="A12" s="4">
        <v>8</v>
      </c>
      <c r="B12" s="5" t="s">
        <v>22</v>
      </c>
      <c r="C12" s="5" t="s">
        <v>26</v>
      </c>
      <c r="D12" s="6">
        <v>15</v>
      </c>
      <c r="E12" s="4" t="s">
        <v>27</v>
      </c>
      <c r="F12" s="7" t="s">
        <v>28</v>
      </c>
    </row>
    <row r="13" spans="1:6" ht="21" customHeight="1" x14ac:dyDescent="0.35">
      <c r="A13" s="4">
        <v>9</v>
      </c>
      <c r="B13" s="5" t="s">
        <v>22</v>
      </c>
      <c r="C13" s="5" t="s">
        <v>29</v>
      </c>
      <c r="D13" s="6">
        <v>90</v>
      </c>
      <c r="E13" s="4" t="s">
        <v>30</v>
      </c>
      <c r="F13" s="7" t="s">
        <v>31</v>
      </c>
    </row>
    <row r="14" spans="1:6" ht="21" customHeight="1" x14ac:dyDescent="0.35">
      <c r="A14" s="4">
        <v>10</v>
      </c>
      <c r="B14" s="5" t="s">
        <v>22</v>
      </c>
      <c r="C14" s="5" t="s">
        <v>32</v>
      </c>
      <c r="D14" s="6">
        <v>200</v>
      </c>
      <c r="E14" s="4" t="s">
        <v>30</v>
      </c>
      <c r="F14" s="7" t="s">
        <v>33</v>
      </c>
    </row>
    <row r="15" spans="1:6" ht="21" customHeight="1" x14ac:dyDescent="0.35">
      <c r="A15" s="4">
        <v>11</v>
      </c>
      <c r="B15" s="5" t="s">
        <v>22</v>
      </c>
      <c r="C15" s="5" t="s">
        <v>34</v>
      </c>
      <c r="D15" s="6">
        <v>250</v>
      </c>
      <c r="E15" s="4" t="s">
        <v>30</v>
      </c>
      <c r="F15" s="7" t="s">
        <v>35</v>
      </c>
    </row>
    <row r="16" spans="1:6" ht="21" customHeight="1" x14ac:dyDescent="0.35">
      <c r="A16" s="4">
        <v>12</v>
      </c>
      <c r="B16" s="5" t="s">
        <v>36</v>
      </c>
      <c r="C16" s="5" t="s">
        <v>37</v>
      </c>
      <c r="D16" s="6">
        <v>75</v>
      </c>
      <c r="E16" s="4" t="s">
        <v>38</v>
      </c>
      <c r="F16" s="7" t="s">
        <v>39</v>
      </c>
    </row>
    <row r="17" spans="1:6" ht="21" customHeight="1" x14ac:dyDescent="0.35">
      <c r="A17" s="4">
        <v>13</v>
      </c>
      <c r="B17" s="5" t="s">
        <v>36</v>
      </c>
      <c r="C17" s="5" t="s">
        <v>40</v>
      </c>
      <c r="D17" s="6">
        <v>1</v>
      </c>
      <c r="E17" s="4" t="s">
        <v>24</v>
      </c>
      <c r="F17" s="7" t="s">
        <v>41</v>
      </c>
    </row>
    <row r="18" spans="1:6" ht="21" customHeight="1" x14ac:dyDescent="0.35">
      <c r="A18" s="4">
        <v>14</v>
      </c>
      <c r="B18" s="5" t="s">
        <v>36</v>
      </c>
      <c r="C18" s="5" t="s">
        <v>42</v>
      </c>
      <c r="D18" s="6">
        <v>0.4</v>
      </c>
      <c r="E18" s="4" t="s">
        <v>24</v>
      </c>
      <c r="F18" s="7" t="s">
        <v>43</v>
      </c>
    </row>
    <row r="19" spans="1:6" ht="21" customHeight="1" x14ac:dyDescent="0.35">
      <c r="A19" s="4">
        <v>15</v>
      </c>
      <c r="B19" s="5" t="s">
        <v>36</v>
      </c>
      <c r="C19" s="5" t="s">
        <v>44</v>
      </c>
      <c r="D19" s="6">
        <v>1</v>
      </c>
      <c r="E19" s="4" t="s">
        <v>24</v>
      </c>
      <c r="F19" s="7" t="s">
        <v>45</v>
      </c>
    </row>
    <row r="20" spans="1:6" ht="21" customHeight="1" x14ac:dyDescent="0.35">
      <c r="A20" s="4">
        <v>16</v>
      </c>
      <c r="B20" s="5" t="s">
        <v>36</v>
      </c>
      <c r="C20" s="5" t="s">
        <v>46</v>
      </c>
      <c r="D20" s="6">
        <v>0.6</v>
      </c>
      <c r="E20" s="4" t="s">
        <v>24</v>
      </c>
      <c r="F20" s="7" t="s">
        <v>47</v>
      </c>
    </row>
    <row r="21" spans="1:6" ht="21" customHeight="1" x14ac:dyDescent="0.35">
      <c r="A21" s="4">
        <v>17</v>
      </c>
      <c r="B21" s="5" t="s">
        <v>36</v>
      </c>
      <c r="C21" s="5" t="s">
        <v>48</v>
      </c>
      <c r="D21" s="8">
        <v>120</v>
      </c>
      <c r="E21" s="4" t="s">
        <v>30</v>
      </c>
      <c r="F21" s="7" t="s">
        <v>49</v>
      </c>
    </row>
    <row r="22" spans="1:6" ht="21" customHeight="1" x14ac:dyDescent="0.35">
      <c r="A22" s="4">
        <v>18</v>
      </c>
      <c r="B22" s="5" t="s">
        <v>36</v>
      </c>
      <c r="C22" s="5" t="s">
        <v>50</v>
      </c>
      <c r="D22" s="6">
        <v>1.6</v>
      </c>
      <c r="E22" s="4" t="s">
        <v>24</v>
      </c>
      <c r="F22" s="7" t="s">
        <v>51</v>
      </c>
    </row>
    <row r="23" spans="1:6" ht="21" customHeight="1" x14ac:dyDescent="0.35">
      <c r="A23" s="4">
        <v>19</v>
      </c>
      <c r="B23" s="5" t="s">
        <v>52</v>
      </c>
      <c r="C23" s="5" t="s">
        <v>53</v>
      </c>
      <c r="D23" s="6">
        <v>30</v>
      </c>
      <c r="E23" s="4" t="s">
        <v>38</v>
      </c>
      <c r="F23" s="7" t="s">
        <v>54</v>
      </c>
    </row>
    <row r="24" spans="1:6" ht="21" customHeight="1" x14ac:dyDescent="0.35">
      <c r="A24" s="4">
        <v>20</v>
      </c>
      <c r="B24" s="5" t="s">
        <v>52</v>
      </c>
      <c r="C24" s="5" t="s">
        <v>55</v>
      </c>
      <c r="D24" s="6">
        <v>500</v>
      </c>
      <c r="E24" s="4" t="s">
        <v>30</v>
      </c>
      <c r="F24" s="7" t="s">
        <v>56</v>
      </c>
    </row>
    <row r="25" spans="1:6" ht="21" customHeight="1" x14ac:dyDescent="0.35">
      <c r="A25" s="4">
        <v>21</v>
      </c>
      <c r="B25" s="5" t="s">
        <v>52</v>
      </c>
      <c r="C25" s="5" t="s">
        <v>57</v>
      </c>
      <c r="D25" s="6">
        <v>2.2799999999999998</v>
      </c>
      <c r="E25" s="4" t="s">
        <v>38</v>
      </c>
      <c r="F25" s="7" t="s">
        <v>58</v>
      </c>
    </row>
    <row r="26" spans="1:6" ht="21" customHeight="1" x14ac:dyDescent="0.35">
      <c r="A26" s="4">
        <v>22</v>
      </c>
      <c r="B26" s="5" t="s">
        <v>52</v>
      </c>
      <c r="C26" s="5" t="s">
        <v>59</v>
      </c>
      <c r="D26" s="6">
        <v>18</v>
      </c>
      <c r="E26" s="4" t="s">
        <v>60</v>
      </c>
      <c r="F26" s="7" t="s">
        <v>61</v>
      </c>
    </row>
    <row r="27" spans="1:6" ht="21" customHeight="1" x14ac:dyDescent="0.35">
      <c r="A27" s="4">
        <v>23</v>
      </c>
      <c r="B27" s="5" t="s">
        <v>52</v>
      </c>
      <c r="C27" s="5" t="s">
        <v>62</v>
      </c>
      <c r="D27" s="6">
        <v>55</v>
      </c>
      <c r="E27" s="4" t="s">
        <v>60</v>
      </c>
      <c r="F27" s="7" t="s">
        <v>63</v>
      </c>
    </row>
    <row r="29" spans="1:6" ht="24" customHeight="1" x14ac:dyDescent="0.45">
      <c r="A29" s="26" t="s">
        <v>64</v>
      </c>
      <c r="B29" s="27"/>
      <c r="C29" s="27"/>
      <c r="D29" s="27"/>
      <c r="E29" s="27"/>
      <c r="F29" s="27"/>
    </row>
    <row r="30" spans="1:6" ht="20" customHeight="1" x14ac:dyDescent="0.35">
      <c r="A30" s="4" t="s">
        <v>65</v>
      </c>
      <c r="B30" s="5" t="s">
        <v>66</v>
      </c>
      <c r="C30" s="5" t="s">
        <v>67</v>
      </c>
      <c r="D30" s="9">
        <v>7850</v>
      </c>
      <c r="E30" s="4" t="s">
        <v>68</v>
      </c>
      <c r="F30" s="7" t="s">
        <v>69</v>
      </c>
    </row>
    <row r="31" spans="1:6" ht="20" customHeight="1" x14ac:dyDescent="0.35">
      <c r="A31" s="4" t="s">
        <v>65</v>
      </c>
      <c r="B31" s="5" t="s">
        <v>66</v>
      </c>
      <c r="C31" s="5" t="s">
        <v>70</v>
      </c>
      <c r="D31" s="10">
        <v>0.05</v>
      </c>
      <c r="E31" s="4" t="s">
        <v>71</v>
      </c>
      <c r="F31" s="7" t="s">
        <v>72</v>
      </c>
    </row>
    <row r="32" spans="1:6" ht="20" customHeight="1" x14ac:dyDescent="0.35">
      <c r="A32" s="4" t="s">
        <v>65</v>
      </c>
      <c r="B32" s="5" t="s">
        <v>66</v>
      </c>
      <c r="C32" s="5" t="s">
        <v>73</v>
      </c>
      <c r="D32" s="9">
        <v>40</v>
      </c>
      <c r="E32" s="4" t="s">
        <v>74</v>
      </c>
      <c r="F32" s="7" t="s">
        <v>75</v>
      </c>
    </row>
    <row r="33" spans="1:6" ht="20" customHeight="1" x14ac:dyDescent="0.35">
      <c r="A33" s="4" t="s">
        <v>65</v>
      </c>
      <c r="B33" s="5" t="s">
        <v>66</v>
      </c>
      <c r="C33" s="5" t="s">
        <v>76</v>
      </c>
      <c r="D33" s="10">
        <v>0.12</v>
      </c>
      <c r="E33" s="4" t="s">
        <v>71</v>
      </c>
      <c r="F33" s="7" t="s">
        <v>77</v>
      </c>
    </row>
    <row r="34" spans="1:6" ht="20" customHeight="1" x14ac:dyDescent="0.35">
      <c r="A34" s="4" t="s">
        <v>65</v>
      </c>
      <c r="B34" s="5" t="s">
        <v>66</v>
      </c>
      <c r="C34" s="5" t="s">
        <v>78</v>
      </c>
      <c r="D34" s="10">
        <v>1.2</v>
      </c>
      <c r="E34" s="4" t="s">
        <v>79</v>
      </c>
      <c r="F34" s="7" t="s">
        <v>80</v>
      </c>
    </row>
    <row r="35" spans="1:6" ht="20" customHeight="1" x14ac:dyDescent="0.35">
      <c r="A35" s="4" t="s">
        <v>65</v>
      </c>
      <c r="B35" s="5" t="s">
        <v>66</v>
      </c>
      <c r="C35" s="5" t="s">
        <v>81</v>
      </c>
      <c r="D35" s="10">
        <v>0.8</v>
      </c>
      <c r="E35" s="4" t="s">
        <v>71</v>
      </c>
      <c r="F35" s="7" t="s">
        <v>82</v>
      </c>
    </row>
    <row r="36" spans="1:6" ht="20" customHeight="1" x14ac:dyDescent="0.35">
      <c r="A36" s="4" t="s">
        <v>65</v>
      </c>
      <c r="B36" s="5" t="s">
        <v>66</v>
      </c>
      <c r="C36" s="5" t="s">
        <v>83</v>
      </c>
      <c r="D36" s="10">
        <v>1</v>
      </c>
      <c r="E36" s="4" t="s">
        <v>71</v>
      </c>
      <c r="F36" s="7" t="s">
        <v>84</v>
      </c>
    </row>
  </sheetData>
  <mergeCells count="1"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topLeftCell="A25" workbookViewId="0">
      <selection activeCell="G35" sqref="G35"/>
    </sheetView>
  </sheetViews>
  <sheetFormatPr defaultRowHeight="14.5" x14ac:dyDescent="0.35"/>
  <cols>
    <col min="1" max="1" width="18" customWidth="1"/>
    <col min="2" max="2" width="16" customWidth="1"/>
    <col min="3" max="5" width="14" customWidth="1"/>
    <col min="6" max="6" width="18" customWidth="1"/>
    <col min="7" max="7" width="25" customWidth="1"/>
  </cols>
  <sheetData>
    <row r="1" spans="1:7" ht="22.5" x14ac:dyDescent="0.6">
      <c r="A1" s="1" t="s">
        <v>85</v>
      </c>
    </row>
    <row r="2" spans="1:7" ht="16" x14ac:dyDescent="0.45">
      <c r="A2" s="2" t="s">
        <v>86</v>
      </c>
    </row>
    <row r="4" spans="1:7" ht="16.5" x14ac:dyDescent="0.45">
      <c r="A4" s="26" t="s">
        <v>87</v>
      </c>
      <c r="B4" s="27"/>
      <c r="C4" s="27"/>
      <c r="D4" s="27"/>
      <c r="E4" s="27"/>
      <c r="F4" s="27"/>
    </row>
    <row r="5" spans="1:7" ht="16" x14ac:dyDescent="0.35">
      <c r="A5" s="3" t="s">
        <v>88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</row>
    <row r="6" spans="1:7" ht="19" customHeight="1" x14ac:dyDescent="0.35">
      <c r="A6" s="4" t="s">
        <v>94</v>
      </c>
      <c r="B6" s="4">
        <v>8</v>
      </c>
      <c r="C6" s="11">
        <f>ROUND(PI()*(B6/1000)^2/4*'1_Τιμές_Εταιρείας'!$D$30, 3)</f>
        <v>0.39500000000000002</v>
      </c>
      <c r="D6" s="10">
        <f>'1_Τιμές_Εταιρείας'!$D$11</f>
        <v>2.5</v>
      </c>
      <c r="E6" s="10">
        <f t="shared" ref="E6:E13" si="0">ROUND(C6*D6, 2)</f>
        <v>0.99</v>
      </c>
      <c r="F6" s="5" t="s">
        <v>95</v>
      </c>
    </row>
    <row r="7" spans="1:7" ht="19" customHeight="1" x14ac:dyDescent="0.35">
      <c r="A7" s="4" t="s">
        <v>96</v>
      </c>
      <c r="B7" s="4">
        <v>10</v>
      </c>
      <c r="C7" s="11">
        <f>ROUND(PI()*(B7/1000)^2/4*'1_Τιμές_Εταιρείας'!$D$30, 3)</f>
        <v>0.61699999999999999</v>
      </c>
      <c r="D7" s="10">
        <f>'1_Τιμές_Εταιρείας'!$D$11</f>
        <v>2.5</v>
      </c>
      <c r="E7" s="10">
        <f t="shared" si="0"/>
        <v>1.54</v>
      </c>
      <c r="F7" s="5" t="s">
        <v>97</v>
      </c>
    </row>
    <row r="8" spans="1:7" ht="19" customHeight="1" x14ac:dyDescent="0.35">
      <c r="A8" s="4" t="s">
        <v>98</v>
      </c>
      <c r="B8" s="4">
        <v>12</v>
      </c>
      <c r="C8" s="11">
        <f>ROUND(PI()*(B8/1000)^2/4*'1_Τιμές_Εταιρείας'!$D$30, 3)</f>
        <v>0.88800000000000001</v>
      </c>
      <c r="D8" s="10">
        <f>'1_Τιμές_Εταιρείας'!$D$11</f>
        <v>2.5</v>
      </c>
      <c r="E8" s="10">
        <f t="shared" si="0"/>
        <v>2.2200000000000002</v>
      </c>
      <c r="F8" s="5" t="s">
        <v>99</v>
      </c>
    </row>
    <row r="9" spans="1:7" ht="19" customHeight="1" x14ac:dyDescent="0.35">
      <c r="A9" s="4" t="s">
        <v>100</v>
      </c>
      <c r="B9" s="4">
        <v>14</v>
      </c>
      <c r="C9" s="11">
        <f>ROUND(PI()*(B9/1000)^2/4*'1_Τιμές_Εταιρείας'!$D$30, 3)</f>
        <v>1.208</v>
      </c>
      <c r="D9" s="10">
        <f>'1_Τιμές_Εταιρείας'!$D$11</f>
        <v>2.5</v>
      </c>
      <c r="E9" s="10">
        <f t="shared" si="0"/>
        <v>3.02</v>
      </c>
      <c r="F9" s="5" t="s">
        <v>101</v>
      </c>
    </row>
    <row r="10" spans="1:7" ht="19" customHeight="1" x14ac:dyDescent="0.35">
      <c r="A10" s="4" t="s">
        <v>102</v>
      </c>
      <c r="B10" s="4">
        <v>16</v>
      </c>
      <c r="C10" s="11">
        <f>ROUND(PI()*(B10/1000)^2/4*'1_Τιμές_Εταιρείας'!$D$30, 3)</f>
        <v>1.5780000000000001</v>
      </c>
      <c r="D10" s="10">
        <f>'1_Τιμές_Εταιρείας'!$D$11</f>
        <v>2.5</v>
      </c>
      <c r="E10" s="10">
        <f t="shared" si="0"/>
        <v>3.95</v>
      </c>
      <c r="F10" s="5" t="s">
        <v>103</v>
      </c>
    </row>
    <row r="11" spans="1:7" ht="19" customHeight="1" x14ac:dyDescent="0.35">
      <c r="A11" s="4" t="s">
        <v>104</v>
      </c>
      <c r="B11" s="4">
        <v>20</v>
      </c>
      <c r="C11" s="11">
        <f>ROUND(PI()*(B11/1000)^2/4*'1_Τιμές_Εταιρείας'!$D$30, 3)</f>
        <v>2.4660000000000002</v>
      </c>
      <c r="D11" s="10">
        <f>'1_Τιμές_Εταιρείας'!$D$11</f>
        <v>2.5</v>
      </c>
      <c r="E11" s="10">
        <f t="shared" si="0"/>
        <v>6.17</v>
      </c>
      <c r="F11" s="5" t="s">
        <v>105</v>
      </c>
    </row>
    <row r="12" spans="1:7" ht="19" customHeight="1" x14ac:dyDescent="0.35">
      <c r="A12" s="4" t="s">
        <v>106</v>
      </c>
      <c r="B12" s="4">
        <v>25</v>
      </c>
      <c r="C12" s="11">
        <f>ROUND(PI()*(B12/1000)^2/4*'1_Τιμές_Εταιρείας'!$D$30, 3)</f>
        <v>3.8530000000000002</v>
      </c>
      <c r="D12" s="10">
        <f>'1_Τιμές_Εταιρείας'!$D$11</f>
        <v>2.5</v>
      </c>
      <c r="E12" s="10">
        <f t="shared" si="0"/>
        <v>9.6300000000000008</v>
      </c>
      <c r="F12" s="5" t="s">
        <v>107</v>
      </c>
    </row>
    <row r="13" spans="1:7" ht="19" customHeight="1" x14ac:dyDescent="0.35">
      <c r="A13" s="4" t="s">
        <v>108</v>
      </c>
      <c r="B13" s="4">
        <v>32</v>
      </c>
      <c r="C13" s="11">
        <f>ROUND(PI()*(B13/1000)^2/4*'1_Τιμές_Εταιρείας'!$D$30, 3)</f>
        <v>6.3129999999999997</v>
      </c>
      <c r="D13" s="10">
        <f>'1_Τιμές_Εταιρείας'!$D$11</f>
        <v>2.5</v>
      </c>
      <c r="E13" s="10">
        <f t="shared" si="0"/>
        <v>15.78</v>
      </c>
      <c r="F13" s="5" t="s">
        <v>109</v>
      </c>
    </row>
    <row r="15" spans="1:7" ht="16.5" x14ac:dyDescent="0.45">
      <c r="A15" s="26" t="s">
        <v>110</v>
      </c>
      <c r="B15" s="27"/>
      <c r="C15" s="27"/>
      <c r="D15" s="27"/>
      <c r="E15" s="27"/>
      <c r="F15" s="27"/>
      <c r="G15" s="27"/>
    </row>
    <row r="16" spans="1:7" ht="16" x14ac:dyDescent="0.35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116</v>
      </c>
      <c r="G16" s="3" t="s">
        <v>117</v>
      </c>
    </row>
    <row r="17" spans="1:7" ht="19" customHeight="1" x14ac:dyDescent="0.35">
      <c r="A17" s="4" t="s">
        <v>118</v>
      </c>
      <c r="B17" s="4">
        <v>133</v>
      </c>
      <c r="C17" s="4">
        <v>140</v>
      </c>
      <c r="D17" s="4">
        <v>5.5</v>
      </c>
      <c r="E17" s="4">
        <v>8.5</v>
      </c>
      <c r="F17" s="12">
        <v>24.7</v>
      </c>
      <c r="G17" s="13">
        <f>ROUND(F17*('1_Τιμές_Εταιρείας'!$D$17+'1_Τιμές_Εταιρείας'!$D$18), 2)</f>
        <v>34.58</v>
      </c>
    </row>
    <row r="18" spans="1:7" ht="19" customHeight="1" x14ac:dyDescent="0.35">
      <c r="A18" s="4" t="s">
        <v>119</v>
      </c>
      <c r="B18" s="4">
        <v>152</v>
      </c>
      <c r="C18" s="4">
        <v>160</v>
      </c>
      <c r="D18" s="4">
        <v>6</v>
      </c>
      <c r="E18" s="4">
        <v>9</v>
      </c>
      <c r="F18" s="12">
        <v>30.4</v>
      </c>
      <c r="G18" s="13">
        <f>ROUND(F18*('1_Τιμές_Εταιρείας'!$D$17+'1_Τιμές_Εταιρείας'!$D$18), 2)</f>
        <v>42.56</v>
      </c>
    </row>
    <row r="19" spans="1:7" ht="19" customHeight="1" x14ac:dyDescent="0.35">
      <c r="A19" s="4" t="s">
        <v>120</v>
      </c>
      <c r="B19" s="4">
        <v>171</v>
      </c>
      <c r="C19" s="4">
        <v>180</v>
      </c>
      <c r="D19" s="4">
        <v>6</v>
      </c>
      <c r="E19" s="4">
        <v>9.5</v>
      </c>
      <c r="F19" s="12">
        <v>35.5</v>
      </c>
      <c r="G19" s="13">
        <f>ROUND(F19*('1_Τιμές_Εταιρείας'!$D$17+'1_Τιμές_Εταιρείας'!$D$18), 2)</f>
        <v>49.7</v>
      </c>
    </row>
    <row r="20" spans="1:7" ht="19" customHeight="1" x14ac:dyDescent="0.35">
      <c r="A20" s="4" t="s">
        <v>121</v>
      </c>
      <c r="B20" s="4">
        <v>190</v>
      </c>
      <c r="C20" s="4">
        <v>200</v>
      </c>
      <c r="D20" s="4">
        <v>6.5</v>
      </c>
      <c r="E20" s="4">
        <v>10</v>
      </c>
      <c r="F20" s="12">
        <v>42.3</v>
      </c>
      <c r="G20" s="13">
        <f>ROUND(F20*('1_Τιμές_Εταιρείας'!$D$17+'1_Τιμές_Εταιρείας'!$D$18), 2)</f>
        <v>59.22</v>
      </c>
    </row>
    <row r="21" spans="1:7" ht="19" customHeight="1" x14ac:dyDescent="0.35">
      <c r="A21" s="4" t="s">
        <v>122</v>
      </c>
      <c r="B21" s="4">
        <v>210</v>
      </c>
      <c r="C21" s="4">
        <v>220</v>
      </c>
      <c r="D21" s="4">
        <v>7</v>
      </c>
      <c r="E21" s="4">
        <v>11</v>
      </c>
      <c r="F21" s="12">
        <v>50.5</v>
      </c>
      <c r="G21" s="13">
        <f>ROUND(F21*('1_Τιμές_Εταιρείας'!$D$17+'1_Τιμές_Εταιρείας'!$D$18), 2)</f>
        <v>70.7</v>
      </c>
    </row>
    <row r="22" spans="1:7" ht="19" customHeight="1" x14ac:dyDescent="0.35">
      <c r="A22" s="4" t="s">
        <v>123</v>
      </c>
      <c r="B22" s="4">
        <v>230</v>
      </c>
      <c r="C22" s="4">
        <v>240</v>
      </c>
      <c r="D22" s="4">
        <v>7.5</v>
      </c>
      <c r="E22" s="4">
        <v>12</v>
      </c>
      <c r="F22" s="12">
        <v>60.3</v>
      </c>
      <c r="G22" s="13">
        <f>ROUND(F22*('1_Τιμές_Εταιρείας'!$D$17+'1_Τιμές_Εταιρείας'!$D$18), 2)</f>
        <v>84.42</v>
      </c>
    </row>
    <row r="23" spans="1:7" ht="19" customHeight="1" x14ac:dyDescent="0.35">
      <c r="A23" s="4" t="s">
        <v>124</v>
      </c>
      <c r="B23" s="4">
        <v>250</v>
      </c>
      <c r="C23" s="4">
        <v>260</v>
      </c>
      <c r="D23" s="4">
        <v>7.5</v>
      </c>
      <c r="E23" s="4">
        <v>12.5</v>
      </c>
      <c r="F23" s="12">
        <v>68.2</v>
      </c>
      <c r="G23" s="13">
        <f>ROUND(F23*('1_Τιμές_Εταιρείας'!$D$17+'1_Τιμές_Εταιρείας'!$D$18), 2)</f>
        <v>95.48</v>
      </c>
    </row>
    <row r="24" spans="1:7" ht="19" customHeight="1" x14ac:dyDescent="0.35">
      <c r="A24" s="4" t="s">
        <v>125</v>
      </c>
      <c r="B24" s="4">
        <v>270</v>
      </c>
      <c r="C24" s="4">
        <v>280</v>
      </c>
      <c r="D24" s="4">
        <v>8</v>
      </c>
      <c r="E24" s="4">
        <v>13</v>
      </c>
      <c r="F24" s="12">
        <v>76.400000000000006</v>
      </c>
      <c r="G24" s="13">
        <f>ROUND(F24*('1_Τιμές_Εταιρείας'!$D$17+'1_Τιμές_Εταιρείας'!$D$18), 2)</f>
        <v>106.96</v>
      </c>
    </row>
    <row r="25" spans="1:7" ht="19" customHeight="1" x14ac:dyDescent="0.35">
      <c r="A25" s="4" t="s">
        <v>126</v>
      </c>
      <c r="B25" s="4">
        <v>290</v>
      </c>
      <c r="C25" s="4">
        <v>300</v>
      </c>
      <c r="D25" s="4">
        <v>8.5</v>
      </c>
      <c r="E25" s="4">
        <v>14</v>
      </c>
      <c r="F25" s="12">
        <v>88.3</v>
      </c>
      <c r="G25" s="13">
        <f>ROUND(F25*('1_Τιμές_Εταιρείας'!$D$17+'1_Τιμές_Εταιρείας'!$D$18), 2)</f>
        <v>123.62</v>
      </c>
    </row>
    <row r="26" spans="1:7" ht="19" customHeight="1" x14ac:dyDescent="0.35">
      <c r="A26" s="4" t="s">
        <v>127</v>
      </c>
      <c r="B26" s="4">
        <v>310</v>
      </c>
      <c r="C26" s="4">
        <v>300</v>
      </c>
      <c r="D26" s="4">
        <v>9</v>
      </c>
      <c r="E26" s="4">
        <v>15.5</v>
      </c>
      <c r="F26" s="12">
        <v>97.6</v>
      </c>
      <c r="G26" s="13">
        <f>ROUND(F26*('1_Τιμές_Εταιρείας'!$D$17+'1_Τιμές_Εταιρείας'!$D$18), 2)</f>
        <v>136.63999999999999</v>
      </c>
    </row>
    <row r="27" spans="1:7" ht="19" customHeight="1" x14ac:dyDescent="0.35">
      <c r="A27" s="4" t="s">
        <v>128</v>
      </c>
      <c r="B27" s="4">
        <v>330</v>
      </c>
      <c r="C27" s="4">
        <v>300</v>
      </c>
      <c r="D27" s="4">
        <v>9.5</v>
      </c>
      <c r="E27" s="4">
        <v>16.5</v>
      </c>
      <c r="F27" s="12">
        <v>105</v>
      </c>
      <c r="G27" s="13">
        <f>ROUND(F27*('1_Τιμές_Εταιρείας'!$D$17+'1_Τιμές_Εταιρείας'!$D$18), 2)</f>
        <v>147</v>
      </c>
    </row>
    <row r="28" spans="1:7" ht="19" customHeight="1" x14ac:dyDescent="0.35">
      <c r="A28" s="4" t="s">
        <v>129</v>
      </c>
      <c r="B28" s="4">
        <v>350</v>
      </c>
      <c r="C28" s="4">
        <v>300</v>
      </c>
      <c r="D28" s="4">
        <v>10</v>
      </c>
      <c r="E28" s="4">
        <v>17.5</v>
      </c>
      <c r="F28" s="12">
        <v>112</v>
      </c>
      <c r="G28" s="13">
        <f>ROUND(F28*('1_Τιμές_Εταιρείας'!$D$17+'1_Τιμές_Εταιρείας'!$D$18), 2)</f>
        <v>156.80000000000001</v>
      </c>
    </row>
    <row r="29" spans="1:7" ht="19" customHeight="1" x14ac:dyDescent="0.35">
      <c r="A29" s="4" t="s">
        <v>130</v>
      </c>
      <c r="B29" s="4">
        <v>390</v>
      </c>
      <c r="C29" s="4">
        <v>300</v>
      </c>
      <c r="D29" s="4">
        <v>11</v>
      </c>
      <c r="E29" s="4">
        <v>19</v>
      </c>
      <c r="F29" s="12">
        <v>125</v>
      </c>
      <c r="G29" s="13">
        <f>ROUND(F29*('1_Τιμές_Εταιρείας'!$D$17+'1_Τιμές_Εταιρείας'!$D$18), 2)</f>
        <v>175</v>
      </c>
    </row>
    <row r="30" spans="1:7" ht="19" customHeight="1" x14ac:dyDescent="0.35">
      <c r="A30" s="4" t="s">
        <v>131</v>
      </c>
      <c r="B30" s="4">
        <v>440</v>
      </c>
      <c r="C30" s="4">
        <v>300</v>
      </c>
      <c r="D30" s="4">
        <v>11.5</v>
      </c>
      <c r="E30" s="4">
        <v>21</v>
      </c>
      <c r="F30" s="12">
        <v>140</v>
      </c>
      <c r="G30" s="13">
        <f>ROUND(F30*('1_Τιμές_Εταιρείας'!$D$17+'1_Τιμές_Εταιρείας'!$D$18), 2)</f>
        <v>196</v>
      </c>
    </row>
    <row r="31" spans="1:7" ht="19" customHeight="1" x14ac:dyDescent="0.35">
      <c r="A31" s="4" t="s">
        <v>132</v>
      </c>
      <c r="B31" s="4">
        <v>490</v>
      </c>
      <c r="C31" s="4">
        <v>300</v>
      </c>
      <c r="D31" s="4">
        <v>12</v>
      </c>
      <c r="E31" s="4">
        <v>23</v>
      </c>
      <c r="F31" s="12">
        <v>155</v>
      </c>
      <c r="G31" s="13">
        <f>ROUND(F31*('1_Τιμές_Εταιρείας'!$D$17+'1_Τιμές_Εταιρείας'!$D$18), 2)</f>
        <v>217</v>
      </c>
    </row>
    <row r="33" spans="1:7" ht="16.5" x14ac:dyDescent="0.45">
      <c r="A33" s="26" t="s">
        <v>133</v>
      </c>
      <c r="B33" s="27"/>
      <c r="C33" s="27"/>
      <c r="D33" s="27"/>
      <c r="E33" s="27"/>
      <c r="F33" s="27"/>
      <c r="G33" s="27"/>
    </row>
    <row r="34" spans="1:7" ht="16" x14ac:dyDescent="0.35">
      <c r="A34" s="3" t="s">
        <v>111</v>
      </c>
      <c r="B34" s="3" t="s">
        <v>112</v>
      </c>
      <c r="C34" s="3" t="s">
        <v>113</v>
      </c>
      <c r="D34" s="3" t="s">
        <v>114</v>
      </c>
      <c r="E34" s="3" t="s">
        <v>115</v>
      </c>
      <c r="F34" s="3" t="s">
        <v>116</v>
      </c>
      <c r="G34" s="3" t="s">
        <v>117</v>
      </c>
    </row>
    <row r="35" spans="1:7" ht="19" customHeight="1" x14ac:dyDescent="0.35">
      <c r="A35" s="4" t="s">
        <v>134</v>
      </c>
      <c r="B35" s="4">
        <v>140</v>
      </c>
      <c r="C35" s="4">
        <v>140</v>
      </c>
      <c r="D35" s="4">
        <v>7</v>
      </c>
      <c r="E35" s="4">
        <v>12</v>
      </c>
      <c r="F35" s="12">
        <v>33.700000000000003</v>
      </c>
      <c r="G35" s="13">
        <f>ROUND(F35*('1_Τιμές_Εταιρείας'!$D$17+'1_Τιμές_Εταιρείας'!$D$18), 2)</f>
        <v>47.18</v>
      </c>
    </row>
    <row r="36" spans="1:7" ht="19" customHeight="1" x14ac:dyDescent="0.35">
      <c r="A36" s="4" t="s">
        <v>135</v>
      </c>
      <c r="B36" s="4">
        <v>160</v>
      </c>
      <c r="C36" s="4">
        <v>160</v>
      </c>
      <c r="D36" s="4">
        <v>8</v>
      </c>
      <c r="E36" s="4">
        <v>13</v>
      </c>
      <c r="F36" s="12">
        <v>42.6</v>
      </c>
      <c r="G36" s="13">
        <f>ROUND(F36*('1_Τιμές_Εταιρείας'!$D$17+'1_Τιμές_Εταιρείας'!$D$18), 2)</f>
        <v>59.64</v>
      </c>
    </row>
    <row r="37" spans="1:7" ht="19" customHeight="1" x14ac:dyDescent="0.35">
      <c r="A37" s="4" t="s">
        <v>136</v>
      </c>
      <c r="B37" s="4">
        <v>180</v>
      </c>
      <c r="C37" s="4">
        <v>180</v>
      </c>
      <c r="D37" s="4">
        <v>8.5</v>
      </c>
      <c r="E37" s="4">
        <v>14</v>
      </c>
      <c r="F37" s="12">
        <v>51.2</v>
      </c>
      <c r="G37" s="13">
        <f>ROUND(F37*('1_Τιμές_Εταιρείας'!$D$17+'1_Τιμές_Εταιρείας'!$D$18), 2)</f>
        <v>71.680000000000007</v>
      </c>
    </row>
    <row r="38" spans="1:7" ht="19" customHeight="1" x14ac:dyDescent="0.35">
      <c r="A38" s="4" t="s">
        <v>137</v>
      </c>
      <c r="B38" s="4">
        <v>200</v>
      </c>
      <c r="C38" s="4">
        <v>200</v>
      </c>
      <c r="D38" s="4">
        <v>9</v>
      </c>
      <c r="E38" s="4">
        <v>15</v>
      </c>
      <c r="F38" s="12">
        <v>61.3</v>
      </c>
      <c r="G38" s="13">
        <f>ROUND(F38*('1_Τιμές_Εταιρείας'!$D$17+'1_Τιμές_Εταιρείας'!$D$18), 2)</f>
        <v>85.82</v>
      </c>
    </row>
    <row r="39" spans="1:7" ht="19" customHeight="1" x14ac:dyDescent="0.35">
      <c r="A39" s="4" t="s">
        <v>138</v>
      </c>
      <c r="B39" s="4">
        <v>220</v>
      </c>
      <c r="C39" s="4">
        <v>220</v>
      </c>
      <c r="D39" s="4">
        <v>9.5</v>
      </c>
      <c r="E39" s="4">
        <v>16</v>
      </c>
      <c r="F39" s="12">
        <v>71.5</v>
      </c>
      <c r="G39" s="13">
        <f>ROUND(F39*('1_Τιμές_Εταιρείας'!$D$17+'1_Τιμές_Εταιρείας'!$D$18), 2)</f>
        <v>100.1</v>
      </c>
    </row>
    <row r="40" spans="1:7" ht="19" customHeight="1" x14ac:dyDescent="0.35">
      <c r="A40" s="4" t="s">
        <v>139</v>
      </c>
      <c r="B40" s="4">
        <v>240</v>
      </c>
      <c r="C40" s="4">
        <v>240</v>
      </c>
      <c r="D40" s="4">
        <v>10</v>
      </c>
      <c r="E40" s="4">
        <v>17</v>
      </c>
      <c r="F40" s="12">
        <v>83.2</v>
      </c>
      <c r="G40" s="13">
        <f>ROUND(F40*('1_Τιμές_Εταιρείας'!$D$17+'1_Τιμές_Εταιρείας'!$D$18), 2)</f>
        <v>116.48</v>
      </c>
    </row>
    <row r="41" spans="1:7" ht="19" customHeight="1" x14ac:dyDescent="0.35">
      <c r="A41" s="4" t="s">
        <v>140</v>
      </c>
      <c r="B41" s="4">
        <v>260</v>
      </c>
      <c r="C41" s="4">
        <v>260</v>
      </c>
      <c r="D41" s="4">
        <v>10</v>
      </c>
      <c r="E41" s="4">
        <v>17.5</v>
      </c>
      <c r="F41" s="12">
        <v>93</v>
      </c>
      <c r="G41" s="13">
        <f>ROUND(F41*('1_Τιμές_Εταιρείας'!$D$17+'1_Τιμές_Εταιρείας'!$D$18), 2)</f>
        <v>130.19999999999999</v>
      </c>
    </row>
    <row r="42" spans="1:7" ht="19" customHeight="1" x14ac:dyDescent="0.35">
      <c r="A42" s="4" t="s">
        <v>141</v>
      </c>
      <c r="B42" s="4">
        <v>280</v>
      </c>
      <c r="C42" s="4">
        <v>280</v>
      </c>
      <c r="D42" s="4">
        <v>10.5</v>
      </c>
      <c r="E42" s="4">
        <v>18</v>
      </c>
      <c r="F42" s="12">
        <v>103</v>
      </c>
      <c r="G42" s="13">
        <f>ROUND(F42*('1_Τιμές_Εταιρείας'!$D$17+'1_Τιμές_Εταιρείας'!$D$18), 2)</f>
        <v>144.19999999999999</v>
      </c>
    </row>
    <row r="43" spans="1:7" ht="19" customHeight="1" x14ac:dyDescent="0.35">
      <c r="A43" s="4" t="s">
        <v>142</v>
      </c>
      <c r="B43" s="4">
        <v>300</v>
      </c>
      <c r="C43" s="4">
        <v>300</v>
      </c>
      <c r="D43" s="4">
        <v>11</v>
      </c>
      <c r="E43" s="4">
        <v>19</v>
      </c>
      <c r="F43" s="12">
        <v>117</v>
      </c>
      <c r="G43" s="13">
        <f>ROUND(F43*('1_Τιμές_Εταιρείας'!$D$17+'1_Τιμές_Εταιρείας'!$D$18), 2)</f>
        <v>163.80000000000001</v>
      </c>
    </row>
    <row r="44" spans="1:7" ht="19" customHeight="1" x14ac:dyDescent="0.35">
      <c r="A44" s="4" t="s">
        <v>143</v>
      </c>
      <c r="B44" s="4">
        <v>320</v>
      </c>
      <c r="C44" s="4">
        <v>300</v>
      </c>
      <c r="D44" s="4">
        <v>11.5</v>
      </c>
      <c r="E44" s="4">
        <v>20.5</v>
      </c>
      <c r="F44" s="12">
        <v>127</v>
      </c>
      <c r="G44" s="13">
        <f>ROUND(F44*('1_Τιμές_Εταιρείας'!$D$17+'1_Τιμές_Εταιρείας'!$D$18), 2)</f>
        <v>177.8</v>
      </c>
    </row>
    <row r="45" spans="1:7" ht="19" customHeight="1" x14ac:dyDescent="0.35">
      <c r="A45" s="4" t="s">
        <v>144</v>
      </c>
      <c r="B45" s="4">
        <v>340</v>
      </c>
      <c r="C45" s="4">
        <v>300</v>
      </c>
      <c r="D45" s="4">
        <v>12</v>
      </c>
      <c r="E45" s="4">
        <v>21.5</v>
      </c>
      <c r="F45" s="12">
        <v>134</v>
      </c>
      <c r="G45" s="13">
        <f>ROUND(F45*('1_Τιμές_Εταιρείας'!$D$17+'1_Τιμές_Εταιρείας'!$D$18), 2)</f>
        <v>187.6</v>
      </c>
    </row>
    <row r="46" spans="1:7" ht="19" customHeight="1" x14ac:dyDescent="0.35">
      <c r="A46" s="4" t="s">
        <v>145</v>
      </c>
      <c r="B46" s="4">
        <v>360</v>
      </c>
      <c r="C46" s="4">
        <v>300</v>
      </c>
      <c r="D46" s="4">
        <v>12.5</v>
      </c>
      <c r="E46" s="4">
        <v>22.5</v>
      </c>
      <c r="F46" s="12">
        <v>142</v>
      </c>
      <c r="G46" s="13">
        <f>ROUND(F46*('1_Τιμές_Εταιρείας'!$D$17+'1_Τιμές_Εταιρείας'!$D$18), 2)</f>
        <v>198.8</v>
      </c>
    </row>
    <row r="47" spans="1:7" ht="19" customHeight="1" x14ac:dyDescent="0.35">
      <c r="A47" s="4" t="s">
        <v>146</v>
      </c>
      <c r="B47" s="4">
        <v>400</v>
      </c>
      <c r="C47" s="4">
        <v>300</v>
      </c>
      <c r="D47" s="4">
        <v>13.5</v>
      </c>
      <c r="E47" s="4">
        <v>24</v>
      </c>
      <c r="F47" s="12">
        <v>155</v>
      </c>
      <c r="G47" s="13">
        <f>ROUND(F47*('1_Τιμές_Εταιρείας'!$D$17+'1_Τιμές_Εταιρείας'!$D$18), 2)</f>
        <v>217</v>
      </c>
    </row>
    <row r="48" spans="1:7" ht="19" customHeight="1" x14ac:dyDescent="0.35">
      <c r="A48" s="4" t="s">
        <v>147</v>
      </c>
      <c r="B48" s="4">
        <v>450</v>
      </c>
      <c r="C48" s="4">
        <v>300</v>
      </c>
      <c r="D48" s="4">
        <v>14</v>
      </c>
      <c r="E48" s="4">
        <v>26</v>
      </c>
      <c r="F48" s="12">
        <v>171</v>
      </c>
      <c r="G48" s="13">
        <f>ROUND(F48*('1_Τιμές_Εταιρείας'!$D$17+'1_Τιμές_Εταιρείας'!$D$18), 2)</f>
        <v>239.4</v>
      </c>
    </row>
    <row r="49" spans="1:7" ht="19" customHeight="1" x14ac:dyDescent="0.35">
      <c r="A49" s="4" t="s">
        <v>148</v>
      </c>
      <c r="B49" s="4">
        <v>500</v>
      </c>
      <c r="C49" s="4">
        <v>300</v>
      </c>
      <c r="D49" s="4">
        <v>14.5</v>
      </c>
      <c r="E49" s="4">
        <v>28</v>
      </c>
      <c r="F49" s="12">
        <v>187</v>
      </c>
      <c r="G49" s="13">
        <f>ROUND(F49*('1_Τιμές_Εταιρείας'!$D$17+'1_Τιμές_Εταιρείας'!$D$18), 2)</f>
        <v>261.8</v>
      </c>
    </row>
    <row r="51" spans="1:7" ht="16.5" x14ac:dyDescent="0.45">
      <c r="A51" s="26" t="s">
        <v>149</v>
      </c>
      <c r="B51" s="27"/>
      <c r="C51" s="27"/>
      <c r="D51" s="27"/>
      <c r="E51" s="27"/>
      <c r="F51" s="27"/>
      <c r="G51" s="27"/>
    </row>
    <row r="52" spans="1:7" ht="16" x14ac:dyDescent="0.35">
      <c r="A52" s="3" t="s">
        <v>111</v>
      </c>
      <c r="B52" s="3" t="s">
        <v>112</v>
      </c>
      <c r="C52" s="3" t="s">
        <v>113</v>
      </c>
      <c r="D52" s="3" t="s">
        <v>114</v>
      </c>
      <c r="E52" s="3" t="s">
        <v>115</v>
      </c>
      <c r="F52" s="3" t="s">
        <v>116</v>
      </c>
      <c r="G52" s="3" t="s">
        <v>117</v>
      </c>
    </row>
    <row r="53" spans="1:7" ht="19" customHeight="1" x14ac:dyDescent="0.35">
      <c r="A53" s="4" t="s">
        <v>150</v>
      </c>
      <c r="B53" s="4">
        <v>140</v>
      </c>
      <c r="C53" s="4">
        <v>60</v>
      </c>
      <c r="D53" s="4">
        <v>7</v>
      </c>
      <c r="E53" s="4">
        <v>10</v>
      </c>
      <c r="F53" s="12">
        <v>16</v>
      </c>
      <c r="G53" s="13">
        <f>ROUND(F53*('1_Τιμές_Εταιρείας'!$D$17+'1_Τιμές_Εταιρείας'!$D$18), 2)</f>
        <v>22.4</v>
      </c>
    </row>
    <row r="54" spans="1:7" ht="19" customHeight="1" x14ac:dyDescent="0.35">
      <c r="A54" s="4" t="s">
        <v>151</v>
      </c>
      <c r="B54" s="4">
        <v>160</v>
      </c>
      <c r="C54" s="4">
        <v>65</v>
      </c>
      <c r="D54" s="4">
        <v>7.5</v>
      </c>
      <c r="E54" s="4">
        <v>10.5</v>
      </c>
      <c r="F54" s="12">
        <v>18.8</v>
      </c>
      <c r="G54" s="13">
        <f>ROUND(F54*('1_Τιμές_Εταιρείας'!$D$17+'1_Τιμές_Εταιρείας'!$D$18), 2)</f>
        <v>26.32</v>
      </c>
    </row>
    <row r="55" spans="1:7" ht="19" customHeight="1" x14ac:dyDescent="0.35">
      <c r="A55" s="4" t="s">
        <v>152</v>
      </c>
      <c r="B55" s="4">
        <v>180</v>
      </c>
      <c r="C55" s="4">
        <v>70</v>
      </c>
      <c r="D55" s="4">
        <v>8</v>
      </c>
      <c r="E55" s="4">
        <v>11</v>
      </c>
      <c r="F55" s="12">
        <v>22</v>
      </c>
      <c r="G55" s="13">
        <f>ROUND(F55*('1_Τιμές_Εταιρείας'!$D$17+'1_Τιμές_Εταιρείας'!$D$18), 2)</f>
        <v>30.8</v>
      </c>
    </row>
    <row r="56" spans="1:7" ht="19" customHeight="1" x14ac:dyDescent="0.35">
      <c r="A56" s="4" t="s">
        <v>153</v>
      </c>
      <c r="B56" s="4">
        <v>200</v>
      </c>
      <c r="C56" s="4">
        <v>75</v>
      </c>
      <c r="D56" s="4">
        <v>8.5</v>
      </c>
      <c r="E56" s="4">
        <v>11.5</v>
      </c>
      <c r="F56" s="12">
        <v>25.3</v>
      </c>
      <c r="G56" s="13">
        <f>ROUND(F56*('1_Τιμές_Εταιρείας'!$D$17+'1_Τιμές_Εταιρείας'!$D$18), 2)</f>
        <v>35.42</v>
      </c>
    </row>
    <row r="57" spans="1:7" ht="19" customHeight="1" x14ac:dyDescent="0.35">
      <c r="A57" s="4" t="s">
        <v>154</v>
      </c>
      <c r="B57" s="4">
        <v>220</v>
      </c>
      <c r="C57" s="4">
        <v>80</v>
      </c>
      <c r="D57" s="4">
        <v>9</v>
      </c>
      <c r="E57" s="4">
        <v>12.5</v>
      </c>
      <c r="F57" s="12">
        <v>29.4</v>
      </c>
      <c r="G57" s="13">
        <f>ROUND(F57*('1_Τιμές_Εταιρείας'!$D$17+'1_Τιμές_Εταιρείας'!$D$18), 2)</f>
        <v>41.16</v>
      </c>
    </row>
    <row r="58" spans="1:7" ht="19" customHeight="1" x14ac:dyDescent="0.35">
      <c r="A58" s="4" t="s">
        <v>155</v>
      </c>
      <c r="B58" s="4">
        <v>240</v>
      </c>
      <c r="C58" s="4">
        <v>85</v>
      </c>
      <c r="D58" s="4">
        <v>9.5</v>
      </c>
      <c r="E58" s="4">
        <v>13</v>
      </c>
      <c r="F58" s="12">
        <v>33.200000000000003</v>
      </c>
      <c r="G58" s="13">
        <f>ROUND(F58*('1_Τιμές_Εταιρείας'!$D$17+'1_Τιμές_Εταιρείας'!$D$18), 2)</f>
        <v>46.48</v>
      </c>
    </row>
    <row r="59" spans="1:7" ht="19" customHeight="1" x14ac:dyDescent="0.35">
      <c r="A59" s="4" t="s">
        <v>156</v>
      </c>
      <c r="B59" s="4">
        <v>260</v>
      </c>
      <c r="C59" s="4">
        <v>90</v>
      </c>
      <c r="D59" s="4">
        <v>10</v>
      </c>
      <c r="E59" s="4">
        <v>14</v>
      </c>
      <c r="F59" s="12">
        <v>37.9</v>
      </c>
      <c r="G59" s="13">
        <f>ROUND(F59*('1_Τιμές_Εταιρείας'!$D$17+'1_Τιμές_Εταιρείας'!$D$18), 2)</f>
        <v>53.06</v>
      </c>
    </row>
    <row r="60" spans="1:7" ht="19" customHeight="1" x14ac:dyDescent="0.35">
      <c r="A60" s="4" t="s">
        <v>157</v>
      </c>
      <c r="B60" s="4">
        <v>280</v>
      </c>
      <c r="C60" s="4">
        <v>95</v>
      </c>
      <c r="D60" s="4">
        <v>10</v>
      </c>
      <c r="E60" s="4">
        <v>15</v>
      </c>
      <c r="F60" s="12">
        <v>41.8</v>
      </c>
      <c r="G60" s="13">
        <f>ROUND(F60*('1_Τιμές_Εταιρείας'!$D$17+'1_Τιμές_Εταιρείας'!$D$18), 2)</f>
        <v>58.52</v>
      </c>
    </row>
    <row r="61" spans="1:7" ht="19" customHeight="1" x14ac:dyDescent="0.35">
      <c r="A61" s="4" t="s">
        <v>158</v>
      </c>
      <c r="B61" s="4">
        <v>300</v>
      </c>
      <c r="C61" s="4">
        <v>100</v>
      </c>
      <c r="D61" s="4">
        <v>10</v>
      </c>
      <c r="E61" s="4">
        <v>16</v>
      </c>
      <c r="F61" s="12">
        <v>46.2</v>
      </c>
      <c r="G61" s="13">
        <f>ROUND(F61*('1_Τιμές_Εταιρείας'!$D$17+'1_Τιμές_Εταιρείας'!$D$18), 2)</f>
        <v>64.680000000000007</v>
      </c>
    </row>
    <row r="63" spans="1:7" ht="16.5" x14ac:dyDescent="0.45">
      <c r="A63" s="26" t="s">
        <v>159</v>
      </c>
      <c r="B63" s="27"/>
      <c r="C63" s="27"/>
      <c r="D63" s="27"/>
      <c r="E63" s="27"/>
      <c r="F63" s="27"/>
      <c r="G63" s="27"/>
    </row>
    <row r="64" spans="1:7" ht="16" x14ac:dyDescent="0.35">
      <c r="A64" s="3" t="s">
        <v>160</v>
      </c>
      <c r="B64" s="3" t="s">
        <v>161</v>
      </c>
      <c r="C64" s="3" t="s">
        <v>113</v>
      </c>
      <c r="D64" s="3" t="s">
        <v>162</v>
      </c>
      <c r="E64" s="3" t="s">
        <v>65</v>
      </c>
      <c r="F64" s="3" t="s">
        <v>116</v>
      </c>
      <c r="G64" s="3" t="s">
        <v>163</v>
      </c>
    </row>
    <row r="65" spans="1:7" ht="19" customHeight="1" x14ac:dyDescent="0.35">
      <c r="A65" s="4" t="s">
        <v>164</v>
      </c>
      <c r="B65" s="4">
        <v>50</v>
      </c>
      <c r="C65" s="4">
        <v>50</v>
      </c>
      <c r="D65" s="4">
        <v>5</v>
      </c>
      <c r="E65" s="4" t="s">
        <v>65</v>
      </c>
      <c r="F65" s="10">
        <v>3.77</v>
      </c>
      <c r="G65" s="13">
        <f>ROUND(F65*'1_Τιμές_Εταιρείας'!$D$22, 2)</f>
        <v>6.03</v>
      </c>
    </row>
    <row r="66" spans="1:7" ht="19" customHeight="1" x14ac:dyDescent="0.35">
      <c r="A66" s="4" t="s">
        <v>165</v>
      </c>
      <c r="B66" s="4">
        <v>60</v>
      </c>
      <c r="C66" s="4">
        <v>60</v>
      </c>
      <c r="D66" s="4">
        <v>6</v>
      </c>
      <c r="E66" s="4" t="s">
        <v>65</v>
      </c>
      <c r="F66" s="10">
        <v>5.42</v>
      </c>
      <c r="G66" s="13">
        <f>ROUND(F66*'1_Τιμές_Εταιρείας'!$D$22, 2)</f>
        <v>8.67</v>
      </c>
    </row>
    <row r="67" spans="1:7" ht="19" customHeight="1" x14ac:dyDescent="0.35">
      <c r="A67" s="4" t="s">
        <v>166</v>
      </c>
      <c r="B67" s="4">
        <v>70</v>
      </c>
      <c r="C67" s="4">
        <v>70</v>
      </c>
      <c r="D67" s="4">
        <v>7</v>
      </c>
      <c r="E67" s="4" t="s">
        <v>65</v>
      </c>
      <c r="F67" s="10">
        <v>7.38</v>
      </c>
      <c r="G67" s="13">
        <f>ROUND(F67*'1_Τιμές_Εταιρείας'!$D$22, 2)</f>
        <v>11.81</v>
      </c>
    </row>
    <row r="68" spans="1:7" ht="19" customHeight="1" x14ac:dyDescent="0.35">
      <c r="A68" s="4" t="s">
        <v>167</v>
      </c>
      <c r="B68" s="4">
        <v>80</v>
      </c>
      <c r="C68" s="4">
        <v>80</v>
      </c>
      <c r="D68" s="4">
        <v>8</v>
      </c>
      <c r="E68" s="4" t="s">
        <v>65</v>
      </c>
      <c r="F68" s="10">
        <v>9.6300000000000008</v>
      </c>
      <c r="G68" s="13">
        <f>ROUND(F68*'1_Τιμές_Εταιρείας'!$D$22, 2)</f>
        <v>15.41</v>
      </c>
    </row>
    <row r="69" spans="1:7" ht="19" customHeight="1" x14ac:dyDescent="0.35">
      <c r="A69" s="4" t="s">
        <v>168</v>
      </c>
      <c r="B69" s="4">
        <v>90</v>
      </c>
      <c r="C69" s="4">
        <v>90</v>
      </c>
      <c r="D69" s="4">
        <v>9</v>
      </c>
      <c r="E69" s="4" t="s">
        <v>65</v>
      </c>
      <c r="F69" s="10">
        <v>12.2</v>
      </c>
      <c r="G69" s="13">
        <f>ROUND(F69*'1_Τιμές_Εταιρείας'!$D$22, 2)</f>
        <v>19.52</v>
      </c>
    </row>
    <row r="70" spans="1:7" ht="19" customHeight="1" x14ac:dyDescent="0.35">
      <c r="A70" s="4" t="s">
        <v>169</v>
      </c>
      <c r="B70" s="4">
        <v>100</v>
      </c>
      <c r="C70" s="4">
        <v>100</v>
      </c>
      <c r="D70" s="4">
        <v>10</v>
      </c>
      <c r="E70" s="4" t="s">
        <v>65</v>
      </c>
      <c r="F70" s="10">
        <v>15</v>
      </c>
      <c r="G70" s="13">
        <f>ROUND(F70*'1_Τιμές_Εταιρείας'!$D$22, 2)</f>
        <v>24</v>
      </c>
    </row>
  </sheetData>
  <mergeCells count="5">
    <mergeCell ref="A63:G63"/>
    <mergeCell ref="A15:G15"/>
    <mergeCell ref="A4:F4"/>
    <mergeCell ref="A33:G33"/>
    <mergeCell ref="A51:G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workbookViewId="0">
      <selection activeCell="B7" sqref="B7"/>
    </sheetView>
  </sheetViews>
  <sheetFormatPr defaultRowHeight="14.5" x14ac:dyDescent="0.35"/>
  <cols>
    <col min="1" max="1" width="42" customWidth="1"/>
    <col min="2" max="2" width="20" customWidth="1"/>
    <col min="3" max="3" width="16" customWidth="1"/>
    <col min="4" max="4" width="38" customWidth="1"/>
    <col min="5" max="5" width="24" customWidth="1"/>
    <col min="6" max="6" width="45" customWidth="1"/>
  </cols>
  <sheetData>
    <row r="1" spans="1:6" ht="22.5" x14ac:dyDescent="0.6">
      <c r="A1" s="1" t="s">
        <v>170</v>
      </c>
    </row>
    <row r="2" spans="1:6" ht="16" x14ac:dyDescent="0.45">
      <c r="A2" s="2" t="s">
        <v>171</v>
      </c>
    </row>
    <row r="4" spans="1:6" ht="16.5" x14ac:dyDescent="0.45">
      <c r="A4" s="26" t="s">
        <v>172</v>
      </c>
      <c r="B4" s="27"/>
      <c r="C4" s="27"/>
      <c r="D4" s="27"/>
      <c r="E4" s="27"/>
      <c r="F4" s="27"/>
    </row>
    <row r="5" spans="1:6" ht="16" x14ac:dyDescent="0.35">
      <c r="A5" s="3" t="s">
        <v>173</v>
      </c>
      <c r="B5" s="3" t="s">
        <v>174</v>
      </c>
      <c r="C5" s="3" t="s">
        <v>6</v>
      </c>
      <c r="D5" s="3" t="s">
        <v>175</v>
      </c>
      <c r="E5" s="3" t="s">
        <v>176</v>
      </c>
      <c r="F5" s="3" t="s">
        <v>177</v>
      </c>
    </row>
    <row r="6" spans="1:6" ht="20" customHeight="1" x14ac:dyDescent="0.35">
      <c r="A6" s="5" t="s">
        <v>178</v>
      </c>
      <c r="B6" s="14">
        <v>40</v>
      </c>
      <c r="C6" s="4" t="s">
        <v>74</v>
      </c>
      <c r="D6" s="5" t="s">
        <v>179</v>
      </c>
      <c r="E6" s="15" t="s">
        <v>65</v>
      </c>
      <c r="F6" s="7" t="s">
        <v>180</v>
      </c>
    </row>
    <row r="7" spans="1:6" ht="20" customHeight="1" x14ac:dyDescent="0.35">
      <c r="A7" s="5" t="s">
        <v>181</v>
      </c>
      <c r="B7" s="16">
        <f>MAX(0, ROUNDUP((B6-'1_Τιμές_Εταιρείας'!$D$31)/'1_Τιμές_Εταιρείας'!$D$31, 0))</f>
        <v>799</v>
      </c>
      <c r="C7" s="4" t="s">
        <v>182</v>
      </c>
      <c r="D7" s="5" t="s">
        <v>183</v>
      </c>
      <c r="E7" s="15">
        <f>B7</f>
        <v>799</v>
      </c>
      <c r="F7" s="7" t="s">
        <v>184</v>
      </c>
    </row>
    <row r="8" spans="1:6" ht="20" customHeight="1" x14ac:dyDescent="0.35">
      <c r="A8" s="5" t="s">
        <v>185</v>
      </c>
      <c r="B8" s="16">
        <f>'1_Τιμές_Εταιρείας'!$D$5 + IF(B6&gt;80, '1_Τιμές_Εταιρείας'!$D$7, IF(B6&gt;40, '1_Τιμές_Εταιρείας'!$D$6, 0))</f>
        <v>1500</v>
      </c>
      <c r="C8" s="4" t="s">
        <v>10</v>
      </c>
      <c r="D8" s="5" t="s">
        <v>186</v>
      </c>
      <c r="E8" s="15">
        <f>B8</f>
        <v>1500</v>
      </c>
      <c r="F8" s="7" t="s">
        <v>187</v>
      </c>
    </row>
    <row r="9" spans="1:6" ht="20" customHeight="1" x14ac:dyDescent="0.35">
      <c r="A9" s="5" t="s">
        <v>188</v>
      </c>
      <c r="B9" s="16">
        <f>'1_Τιμές_Εταιρείας'!$D$8 + B7*'1_Τιμές_Εταιρείας'!$D$10</f>
        <v>40250</v>
      </c>
      <c r="C9" s="4" t="s">
        <v>10</v>
      </c>
      <c r="D9" s="5" t="s">
        <v>189</v>
      </c>
      <c r="E9" s="15">
        <f>B9</f>
        <v>40250</v>
      </c>
      <c r="F9" s="7" t="s">
        <v>190</v>
      </c>
    </row>
    <row r="10" spans="1:6" ht="20" customHeight="1" x14ac:dyDescent="0.35">
      <c r="A10" s="5" t="s">
        <v>191</v>
      </c>
      <c r="B10" s="16">
        <f>'1_Τιμές_Εταιρείας'!$D$9 + B7*'1_Τιμές_Εταιρείας'!$D$10</f>
        <v>40150</v>
      </c>
      <c r="C10" s="4" t="s">
        <v>10</v>
      </c>
      <c r="D10" s="5" t="s">
        <v>192</v>
      </c>
      <c r="E10" s="15">
        <f>B10</f>
        <v>40150</v>
      </c>
      <c r="F10" s="7" t="s">
        <v>193</v>
      </c>
    </row>
    <row r="12" spans="1:6" ht="16.5" x14ac:dyDescent="0.45">
      <c r="A12" s="26" t="s">
        <v>194</v>
      </c>
      <c r="B12" s="27"/>
      <c r="C12" s="27"/>
      <c r="D12" s="27"/>
      <c r="E12" s="27"/>
      <c r="F12" s="27"/>
    </row>
    <row r="13" spans="1:6" ht="16" x14ac:dyDescent="0.35">
      <c r="A13" s="3" t="s">
        <v>195</v>
      </c>
      <c r="B13" s="3" t="s">
        <v>196</v>
      </c>
      <c r="C13" s="3" t="s">
        <v>197</v>
      </c>
      <c r="D13" s="3" t="s">
        <v>198</v>
      </c>
      <c r="E13" s="3" t="s">
        <v>199</v>
      </c>
      <c r="F13" s="3" t="s">
        <v>200</v>
      </c>
    </row>
    <row r="14" spans="1:6" ht="20" customHeight="1" x14ac:dyDescent="0.35">
      <c r="A14" s="5" t="s">
        <v>201</v>
      </c>
      <c r="B14" s="17">
        <v>10</v>
      </c>
      <c r="C14" s="17">
        <v>150</v>
      </c>
      <c r="D14" s="10">
        <f>ROUND(1000/C14, 2)</f>
        <v>6.67</v>
      </c>
      <c r="E14" s="11">
        <f>ROUND(D14*VLOOKUP(B14, '2_Βάρη_Διατομών_Χάλυβα'!$B$6:$C$13, 2, FALSE), 3)</f>
        <v>4.1150000000000002</v>
      </c>
      <c r="F14" s="5" t="s">
        <v>202</v>
      </c>
    </row>
    <row r="15" spans="1:6" ht="20" customHeight="1" x14ac:dyDescent="0.35">
      <c r="A15" s="5" t="s">
        <v>203</v>
      </c>
      <c r="B15" s="17">
        <v>10</v>
      </c>
      <c r="C15" s="17">
        <v>150</v>
      </c>
      <c r="D15" s="10">
        <f>ROUND(1000/C15, 2)</f>
        <v>6.67</v>
      </c>
      <c r="E15" s="11">
        <f>ROUND(D15*VLOOKUP(B15, '2_Βάρη_Διατομών_Χάλυβα'!$B$6:$C$13, 2, FALSE), 3)</f>
        <v>4.1150000000000002</v>
      </c>
      <c r="F15" s="5" t="s">
        <v>202</v>
      </c>
    </row>
    <row r="16" spans="1:6" ht="20" customHeight="1" x14ac:dyDescent="0.35">
      <c r="A16" s="18" t="s">
        <v>204</v>
      </c>
      <c r="B16" s="19" t="s">
        <v>65</v>
      </c>
      <c r="C16" s="19" t="s">
        <v>65</v>
      </c>
      <c r="D16" s="20">
        <f>D14+D15</f>
        <v>13.34</v>
      </c>
      <c r="E16" s="21">
        <f>E14+E15</f>
        <v>8.23</v>
      </c>
      <c r="F16" s="18" t="s">
        <v>205</v>
      </c>
    </row>
    <row r="17" spans="1:6" ht="20" customHeight="1" x14ac:dyDescent="0.35">
      <c r="A17" s="5" t="s">
        <v>206</v>
      </c>
      <c r="B17" s="13">
        <f>ROUND(E16*'1_Τιμές_Εταιρείας'!$D$11, 2)</f>
        <v>20.58</v>
      </c>
      <c r="C17" s="4" t="s">
        <v>27</v>
      </c>
      <c r="D17" s="5" t="s">
        <v>207</v>
      </c>
      <c r="E17" s="13">
        <f>B17</f>
        <v>20.58</v>
      </c>
      <c r="F17" s="4" t="s">
        <v>65</v>
      </c>
    </row>
    <row r="18" spans="1:6" ht="20" customHeight="1" x14ac:dyDescent="0.35">
      <c r="A18" s="5" t="s">
        <v>208</v>
      </c>
      <c r="B18" s="13">
        <f>'1_Τιμές_Εταιρείας'!$D$12</f>
        <v>15</v>
      </c>
      <c r="C18" s="4" t="s">
        <v>27</v>
      </c>
      <c r="D18" s="5" t="s">
        <v>209</v>
      </c>
      <c r="E18" s="13">
        <f>B18</f>
        <v>15</v>
      </c>
      <c r="F18" s="4" t="s">
        <v>65</v>
      </c>
    </row>
    <row r="19" spans="1:6" ht="20" customHeight="1" x14ac:dyDescent="0.35">
      <c r="A19" s="18" t="s">
        <v>210</v>
      </c>
      <c r="B19" s="22">
        <f>B17+B18</f>
        <v>35.58</v>
      </c>
      <c r="C19" s="19" t="s">
        <v>27</v>
      </c>
      <c r="D19" s="18" t="s">
        <v>211</v>
      </c>
      <c r="E19" s="22">
        <f>B19</f>
        <v>35.58</v>
      </c>
      <c r="F19" s="19" t="s">
        <v>65</v>
      </c>
    </row>
    <row r="21" spans="1:6" ht="16.5" x14ac:dyDescent="0.45">
      <c r="A21" s="26" t="s">
        <v>212</v>
      </c>
      <c r="B21" s="27"/>
      <c r="C21" s="27"/>
      <c r="D21" s="27"/>
      <c r="E21" s="27"/>
      <c r="F21" s="27"/>
    </row>
    <row r="22" spans="1:6" ht="16" x14ac:dyDescent="0.35">
      <c r="A22" s="3" t="s">
        <v>213</v>
      </c>
      <c r="B22" s="3" t="s">
        <v>174</v>
      </c>
      <c r="C22" s="3" t="s">
        <v>6</v>
      </c>
      <c r="D22" s="3" t="s">
        <v>175</v>
      </c>
      <c r="E22" s="3" t="s">
        <v>214</v>
      </c>
      <c r="F22" s="3" t="s">
        <v>177</v>
      </c>
    </row>
    <row r="23" spans="1:6" ht="20" customHeight="1" x14ac:dyDescent="0.35">
      <c r="A23" s="5" t="s">
        <v>215</v>
      </c>
      <c r="B23" s="17">
        <v>8</v>
      </c>
      <c r="C23" s="4" t="s">
        <v>71</v>
      </c>
      <c r="D23" s="5" t="s">
        <v>216</v>
      </c>
      <c r="E23" s="13" t="s">
        <v>65</v>
      </c>
      <c r="F23" s="7" t="s">
        <v>217</v>
      </c>
    </row>
    <row r="24" spans="1:6" ht="20" customHeight="1" x14ac:dyDescent="0.35">
      <c r="A24" s="5" t="s">
        <v>218</v>
      </c>
      <c r="B24" s="17">
        <v>4</v>
      </c>
      <c r="C24" s="4" t="s">
        <v>71</v>
      </c>
      <c r="D24" s="5" t="s">
        <v>216</v>
      </c>
      <c r="E24" s="13" t="s">
        <v>65</v>
      </c>
      <c r="F24" s="7" t="s">
        <v>219</v>
      </c>
    </row>
    <row r="25" spans="1:6" ht="20" customHeight="1" x14ac:dyDescent="0.35">
      <c r="A25" s="5" t="s">
        <v>220</v>
      </c>
      <c r="B25" s="4">
        <f>B23+B24</f>
        <v>12</v>
      </c>
      <c r="C25" s="4" t="s">
        <v>71</v>
      </c>
      <c r="D25" s="5" t="s">
        <v>221</v>
      </c>
      <c r="E25" s="13" t="s">
        <v>65</v>
      </c>
      <c r="F25" s="7" t="s">
        <v>222</v>
      </c>
    </row>
    <row r="26" spans="1:6" ht="20" customHeight="1" x14ac:dyDescent="0.35">
      <c r="A26" s="5" t="s">
        <v>223</v>
      </c>
      <c r="B26" s="17">
        <v>0.8</v>
      </c>
      <c r="C26" s="4" t="s">
        <v>71</v>
      </c>
      <c r="D26" s="5" t="s">
        <v>224</v>
      </c>
      <c r="E26" s="13" t="s">
        <v>65</v>
      </c>
      <c r="F26" s="7" t="s">
        <v>225</v>
      </c>
    </row>
    <row r="27" spans="1:6" ht="20" customHeight="1" x14ac:dyDescent="0.35">
      <c r="A27" s="5" t="s">
        <v>226</v>
      </c>
      <c r="B27" s="4">
        <f>ROUND(B25*'1_Τιμές_Εταιρείας'!$D$16, 2)</f>
        <v>900</v>
      </c>
      <c r="C27" s="4" t="s">
        <v>227</v>
      </c>
      <c r="D27" s="5" t="s">
        <v>228</v>
      </c>
      <c r="E27" s="13">
        <f>B27</f>
        <v>900</v>
      </c>
      <c r="F27" s="7" t="s">
        <v>229</v>
      </c>
    </row>
    <row r="28" spans="1:6" ht="20" customHeight="1" x14ac:dyDescent="0.35">
      <c r="A28" s="5" t="s">
        <v>230</v>
      </c>
      <c r="B28" s="17">
        <v>83.2</v>
      </c>
      <c r="C28" s="4" t="s">
        <v>231</v>
      </c>
      <c r="D28" s="5" t="s">
        <v>232</v>
      </c>
      <c r="E28" s="13" t="s">
        <v>65</v>
      </c>
      <c r="F28" s="7" t="s">
        <v>233</v>
      </c>
    </row>
    <row r="29" spans="1:6" ht="20" customHeight="1" x14ac:dyDescent="0.35">
      <c r="A29" s="5" t="s">
        <v>234</v>
      </c>
      <c r="B29" s="4">
        <f>ROUND(B25*B28*('1_Τιμές_Εταιρείας'!$D$17+'1_Τιμές_Εταιρείας'!$D$18), 2)</f>
        <v>1397.76</v>
      </c>
      <c r="C29" s="4" t="s">
        <v>227</v>
      </c>
      <c r="D29" s="5" t="s">
        <v>235</v>
      </c>
      <c r="E29" s="13">
        <f>B29</f>
        <v>1397.76</v>
      </c>
      <c r="F29" s="7" t="s">
        <v>236</v>
      </c>
    </row>
    <row r="30" spans="1:6" ht="20" customHeight="1" x14ac:dyDescent="0.35">
      <c r="A30" s="5" t="s">
        <v>237</v>
      </c>
      <c r="B30" s="4">
        <v>47.1</v>
      </c>
      <c r="C30" s="4" t="s">
        <v>227</v>
      </c>
      <c r="D30" s="5" t="s">
        <v>238</v>
      </c>
      <c r="E30" s="13">
        <f>B30</f>
        <v>47.1</v>
      </c>
      <c r="F30" s="7" t="s">
        <v>239</v>
      </c>
    </row>
    <row r="31" spans="1:6" ht="20" customHeight="1" x14ac:dyDescent="0.35">
      <c r="A31" s="5" t="s">
        <v>240</v>
      </c>
      <c r="B31" s="4">
        <f>ROUND(PI()*((B26/2)^2)*B24*'1_Τιμές_Εταιρείας'!$D$21, 2)</f>
        <v>241.27</v>
      </c>
      <c r="C31" s="4" t="s">
        <v>227</v>
      </c>
      <c r="D31" s="5" t="s">
        <v>241</v>
      </c>
      <c r="E31" s="13">
        <f>B31</f>
        <v>241.27</v>
      </c>
      <c r="F31" s="7" t="s">
        <v>242</v>
      </c>
    </row>
    <row r="32" spans="1:6" ht="20" customHeight="1" x14ac:dyDescent="0.35">
      <c r="A32" s="18" t="s">
        <v>243</v>
      </c>
      <c r="B32" s="19">
        <f>E27+E29+E30+E31</f>
        <v>2586.13</v>
      </c>
      <c r="C32" s="19" t="s">
        <v>227</v>
      </c>
      <c r="D32" s="18" t="s">
        <v>244</v>
      </c>
      <c r="E32" s="22">
        <f>B32</f>
        <v>2586.13</v>
      </c>
      <c r="F32" s="23" t="s">
        <v>245</v>
      </c>
    </row>
    <row r="34" spans="1:6" ht="16.5" x14ac:dyDescent="0.45">
      <c r="A34" s="26" t="s">
        <v>246</v>
      </c>
      <c r="B34" s="27"/>
      <c r="C34" s="27"/>
      <c r="D34" s="27"/>
      <c r="E34" s="27"/>
      <c r="F34" s="27"/>
    </row>
    <row r="35" spans="1:6" ht="16" x14ac:dyDescent="0.35">
      <c r="A35" s="3" t="s">
        <v>247</v>
      </c>
      <c r="B35" s="3" t="s">
        <v>174</v>
      </c>
      <c r="C35" s="3" t="s">
        <v>6</v>
      </c>
      <c r="D35" s="3" t="s">
        <v>175</v>
      </c>
      <c r="E35" s="3" t="s">
        <v>248</v>
      </c>
      <c r="F35" s="3" t="s">
        <v>177</v>
      </c>
    </row>
    <row r="36" spans="1:6" ht="20" customHeight="1" x14ac:dyDescent="0.35">
      <c r="A36" s="5" t="s">
        <v>249</v>
      </c>
      <c r="B36" s="17">
        <v>14</v>
      </c>
      <c r="C36" s="4" t="s">
        <v>71</v>
      </c>
      <c r="D36" s="5" t="s">
        <v>216</v>
      </c>
      <c r="E36" s="13" t="s">
        <v>65</v>
      </c>
      <c r="F36" s="7" t="s">
        <v>250</v>
      </c>
    </row>
    <row r="37" spans="1:6" ht="20" customHeight="1" x14ac:dyDescent="0.35">
      <c r="A37" s="5" t="s">
        <v>251</v>
      </c>
      <c r="B37" s="17">
        <v>4</v>
      </c>
      <c r="C37" s="4" t="s">
        <v>252</v>
      </c>
      <c r="D37" s="5" t="s">
        <v>216</v>
      </c>
      <c r="E37" s="13" t="s">
        <v>65</v>
      </c>
      <c r="F37" s="7" t="s">
        <v>253</v>
      </c>
    </row>
    <row r="38" spans="1:6" ht="20" customHeight="1" x14ac:dyDescent="0.35">
      <c r="A38" s="5" t="s">
        <v>254</v>
      </c>
      <c r="B38" s="4">
        <f>ROUND(B36*'1_Τιμές_Εταιρείας'!$D$23, 2)</f>
        <v>420</v>
      </c>
      <c r="C38" s="4" t="s">
        <v>255</v>
      </c>
      <c r="D38" s="5" t="s">
        <v>256</v>
      </c>
      <c r="E38" s="13">
        <f t="shared" ref="E38:E43" si="0">B38</f>
        <v>420</v>
      </c>
      <c r="F38" s="7" t="s">
        <v>257</v>
      </c>
    </row>
    <row r="39" spans="1:6" ht="20" customHeight="1" x14ac:dyDescent="0.35">
      <c r="A39" s="5" t="s">
        <v>258</v>
      </c>
      <c r="B39" s="4">
        <f>ROUND(B36*PI()*(( '1_Τιμές_Εταιρείας'!$D$32 /2)^2)* '1_Τιμές_Εταιρείας'!$D$33 * '1_Τιμές_Εταιρείας'!$D$24, 2)</f>
        <v>1055575.1299999999</v>
      </c>
      <c r="C39" s="4" t="s">
        <v>255</v>
      </c>
      <c r="D39" s="5" t="s">
        <v>259</v>
      </c>
      <c r="E39" s="13">
        <f t="shared" si="0"/>
        <v>1055575.1299999999</v>
      </c>
      <c r="F39" s="7" t="s">
        <v>260</v>
      </c>
    </row>
    <row r="40" spans="1:6" ht="20" customHeight="1" x14ac:dyDescent="0.35">
      <c r="A40" s="5" t="s">
        <v>261</v>
      </c>
      <c r="B40" s="4">
        <f>ROUND((B36+ '1_Τιμές_Εταιρείας'!$D$35)*B37* '1_Τιμές_Εταιρείας'!$D$25, 2)</f>
        <v>134.97999999999999</v>
      </c>
      <c r="C40" s="4" t="s">
        <v>255</v>
      </c>
      <c r="D40" s="5" t="s">
        <v>262</v>
      </c>
      <c r="E40" s="13">
        <f t="shared" si="0"/>
        <v>134.97999999999999</v>
      </c>
      <c r="F40" s="7" t="s">
        <v>263</v>
      </c>
    </row>
    <row r="41" spans="1:6" ht="20" customHeight="1" x14ac:dyDescent="0.35">
      <c r="A41" s="5" t="s">
        <v>264</v>
      </c>
      <c r="B41" s="4">
        <f>'1_Τιμές_Εταιρείας'!$D$26</f>
        <v>18</v>
      </c>
      <c r="C41" s="4" t="s">
        <v>255</v>
      </c>
      <c r="D41" s="5" t="s">
        <v>265</v>
      </c>
      <c r="E41" s="13">
        <f t="shared" si="0"/>
        <v>18</v>
      </c>
      <c r="F41" s="7" t="s">
        <v>266</v>
      </c>
    </row>
    <row r="42" spans="1:6" ht="20" customHeight="1" x14ac:dyDescent="0.35">
      <c r="A42" s="5" t="s">
        <v>267</v>
      </c>
      <c r="B42" s="4">
        <f>'1_Τιμές_Εταιρείας'!$D$27</f>
        <v>55</v>
      </c>
      <c r="C42" s="4" t="s">
        <v>255</v>
      </c>
      <c r="D42" s="5" t="s">
        <v>268</v>
      </c>
      <c r="E42" s="13">
        <f t="shared" si="0"/>
        <v>55</v>
      </c>
      <c r="F42" s="7" t="s">
        <v>269</v>
      </c>
    </row>
    <row r="43" spans="1:6" ht="20" customHeight="1" x14ac:dyDescent="0.35">
      <c r="A43" s="18" t="s">
        <v>270</v>
      </c>
      <c r="B43" s="19">
        <f>E38+E39+E40+E41+E42</f>
        <v>1056203.1099999999</v>
      </c>
      <c r="C43" s="19" t="s">
        <v>255</v>
      </c>
      <c r="D43" s="18" t="s">
        <v>271</v>
      </c>
      <c r="E43" s="22">
        <f t="shared" si="0"/>
        <v>1056203.1099999999</v>
      </c>
      <c r="F43" s="23" t="s">
        <v>272</v>
      </c>
    </row>
  </sheetData>
  <mergeCells count="4">
    <mergeCell ref="A21:F21"/>
    <mergeCell ref="A34:F34"/>
    <mergeCell ref="A12:F1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5" x14ac:dyDescent="0.35"/>
  <cols>
    <col min="1" max="1" width="30" customWidth="1"/>
    <col min="2" max="2" width="95" customWidth="1"/>
  </cols>
  <sheetData>
    <row r="1" spans="1:2" ht="22.5" x14ac:dyDescent="0.6">
      <c r="A1" s="1" t="s">
        <v>273</v>
      </c>
    </row>
    <row r="2" spans="1:2" ht="16" x14ac:dyDescent="0.45">
      <c r="A2" s="2" t="s">
        <v>274</v>
      </c>
    </row>
    <row r="4" spans="1:2" ht="26" customHeight="1" x14ac:dyDescent="0.35">
      <c r="A4" s="3" t="s">
        <v>275</v>
      </c>
      <c r="B4" s="3" t="s">
        <v>276</v>
      </c>
    </row>
    <row r="5" spans="1:2" ht="45" customHeight="1" x14ac:dyDescent="0.35">
      <c r="A5" s="24" t="s">
        <v>277</v>
      </c>
      <c r="B5" s="25" t="s">
        <v>278</v>
      </c>
    </row>
    <row r="6" spans="1:2" ht="45" customHeight="1" x14ac:dyDescent="0.35">
      <c r="A6" s="24" t="s">
        <v>279</v>
      </c>
      <c r="B6" s="25" t="s">
        <v>280</v>
      </c>
    </row>
    <row r="7" spans="1:2" ht="45" customHeight="1" x14ac:dyDescent="0.35">
      <c r="A7" s="24" t="s">
        <v>281</v>
      </c>
      <c r="B7" s="25" t="s">
        <v>282</v>
      </c>
    </row>
    <row r="8" spans="1:2" ht="60" customHeight="1" x14ac:dyDescent="0.35">
      <c r="A8" s="24" t="s">
        <v>283</v>
      </c>
      <c r="B8" s="25" t="s">
        <v>284</v>
      </c>
    </row>
    <row r="9" spans="1:2" ht="60" customHeight="1" x14ac:dyDescent="0.35">
      <c r="A9" s="24" t="s">
        <v>285</v>
      </c>
      <c r="B9" s="25" t="s">
        <v>286</v>
      </c>
    </row>
    <row r="10" spans="1:2" ht="60" customHeight="1" x14ac:dyDescent="0.35">
      <c r="A10" s="24" t="s">
        <v>287</v>
      </c>
      <c r="B10" s="25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1_Τιμές_Εταιρείας</vt:lpstr>
      <vt:lpstr>2_Βάρη_Διατομών_Χάλυβα</vt:lpstr>
      <vt:lpstr>3_Υπολογιστές_Έργων_&amp;_Math</vt:lpstr>
      <vt:lpstr>4_Κανόνες_&amp;_Πολιτική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2026-10-13T12:24:02Z</dcterms:created>
  <dcterms:modified xsi:type="dcterms:W3CDTF">2026-10-13T12:59:23Z</dcterms:modified>
</cp:coreProperties>
</file>