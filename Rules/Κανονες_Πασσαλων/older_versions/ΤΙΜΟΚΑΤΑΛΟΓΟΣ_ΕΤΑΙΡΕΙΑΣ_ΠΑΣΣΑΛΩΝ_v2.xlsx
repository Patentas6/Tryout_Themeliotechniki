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Τιμές_Εταιρείας" sheetId="1" state="visible" r:id="rId1"/>
    <sheet xmlns:r="http://schemas.openxmlformats.org/officeDocument/2006/relationships" name="2_Βάρη_Διατομών_Χάλυβα" sheetId="2" state="visible" r:id="rId2"/>
    <sheet xmlns:r="http://schemas.openxmlformats.org/officeDocument/2006/relationships" name="3_Υπολογιστές_Έργων_&amp;_Math" sheetId="3" state="visible" r:id="rId3"/>
    <sheet xmlns:r="http://schemas.openxmlformats.org/officeDocument/2006/relationships" name="4_Κανόνες_&amp;_Πολιτική" sheetId="4" state="visible" r:id="rId4"/>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 &quot;€&quot;"/>
  </numFmts>
  <fonts count="8">
    <font>
      <name val="Calibri"/>
      <family val="2"/>
      <color theme="1"/>
      <sz val="11"/>
      <scheme val="minor"/>
    </font>
    <font>
      <name val="Calibri"/>
      <b val="1"/>
      <color rgb="001F4E78"/>
      <sz val="11"/>
    </font>
    <font>
      <name val="Calibri"/>
      <i val="1"/>
      <color rgb="00595959"/>
      <sz val="9.5"/>
    </font>
    <font>
      <name val="Calibri"/>
      <b val="1"/>
      <color rgb="00FFFFFF"/>
      <sz val="10"/>
    </font>
    <font>
      <name val="Calibri"/>
      <b val="1"/>
      <color rgb="00000000"/>
      <sz val="10"/>
    </font>
    <font>
      <name val="Calibri"/>
      <color rgb="00595959"/>
      <sz val="9"/>
    </font>
    <font>
      <name val="Calibri"/>
      <color rgb="00000000"/>
      <sz val="10"/>
    </font>
    <font>
      <name val="Calibri"/>
      <b val="1"/>
      <color rgb="00991B1B"/>
      <sz val="10"/>
    </font>
  </fonts>
  <fills count="7">
    <fill>
      <patternFill/>
    </fill>
    <fill>
      <patternFill patternType="gray125"/>
    </fill>
    <fill>
      <patternFill patternType="solid">
        <fgColor rgb="002F5597"/>
        <bgColor rgb="002F5597"/>
      </patternFill>
    </fill>
    <fill>
      <patternFill patternType="solid">
        <fgColor rgb="00FFF2CC"/>
        <bgColor rgb="00FFF2CC"/>
      </patternFill>
    </fill>
    <fill>
      <patternFill patternType="solid">
        <fgColor rgb="001F4E78"/>
        <bgColor rgb="001F4E78"/>
      </patternFill>
    </fill>
    <fill>
      <patternFill patternType="solid">
        <fgColor rgb="00DDEBF7"/>
        <bgColor rgb="00DDEBF7"/>
      </patternFill>
    </fill>
    <fill>
      <patternFill patternType="solid">
        <fgColor rgb="00FEE2E2"/>
        <bgColor rgb="00FEE2E2"/>
      </patternFill>
    </fill>
  </fills>
  <borders count="4">
    <border>
      <left/>
      <right/>
      <top/>
      <bottom/>
      <diagonal/>
    </border>
    <border>
      <left style="thin">
        <color rgb="00D9D9D9"/>
      </left>
      <right style="thin">
        <color rgb="00D9D9D9"/>
      </right>
      <top style="thin">
        <color rgb="00D9D9D9"/>
      </top>
      <bottom style="thin">
        <color rgb="00D9D9D9"/>
      </bottom>
    </border>
    <border>
      <left style="thin">
        <color rgb="00B2A100"/>
      </left>
      <right style="thin">
        <color rgb="00B2A100"/>
      </right>
      <top style="thin">
        <color rgb="00B2A100"/>
      </top>
      <bottom style="thin">
        <color rgb="00B2A100"/>
      </bottom>
    </border>
    <border>
      <left style="thin">
        <color rgb="00DC2626"/>
      </left>
      <right style="thin">
        <color rgb="00DC2626"/>
      </right>
      <top style="thin">
        <color rgb="00DC2626"/>
      </top>
      <bottom style="thin">
        <color rgb="00DC2626"/>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3" fillId="2" borderId="1" applyAlignment="1" pivotButton="0" quotePrefix="0" xfId="0">
      <alignment horizontal="right" vertical="center"/>
    </xf>
    <xf numFmtId="0" fontId="0" fillId="0" borderId="1" applyAlignment="1" pivotButton="0" quotePrefix="0" xfId="0">
      <alignment horizontal="center" vertical="center"/>
    </xf>
    <xf numFmtId="0" fontId="4" fillId="0" borderId="1" applyAlignment="1" pivotButton="0" quotePrefix="0" xfId="0">
      <alignment horizontal="left" vertical="center"/>
    </xf>
    <xf numFmtId="0" fontId="0" fillId="0" borderId="1" applyAlignment="1" pivotButton="0" quotePrefix="0" xfId="0">
      <alignment horizontal="left" vertical="center"/>
    </xf>
    <xf numFmtId="4" fontId="4" fillId="3" borderId="2" applyAlignment="1" pivotButton="0" quotePrefix="0" xfId="0">
      <alignment horizontal="right" vertical="center"/>
    </xf>
    <xf numFmtId="0" fontId="5" fillId="0" borderId="1" applyAlignment="1" pivotButton="0" quotePrefix="0" xfId="0">
      <alignment horizontal="left" vertical="center"/>
    </xf>
    <xf numFmtId="0" fontId="3" fillId="4" borderId="0" applyAlignment="1" pivotButton="0" quotePrefix="0" xfId="0">
      <alignment horizontal="left" vertical="center"/>
    </xf>
    <xf numFmtId="3" fontId="4" fillId="0" borderId="1" applyAlignment="1" pivotButton="0" quotePrefix="0" xfId="0">
      <alignment horizontal="right" vertical="center"/>
    </xf>
    <xf numFmtId="164" fontId="4" fillId="0" borderId="1" applyAlignment="1" pivotButton="0" quotePrefix="0" xfId="0">
      <alignment horizontal="right" vertical="center"/>
    </xf>
    <xf numFmtId="2" fontId="4" fillId="0" borderId="1" applyAlignment="1" pivotButton="0" quotePrefix="0" xfId="0">
      <alignment horizontal="right" vertical="center"/>
    </xf>
    <xf numFmtId="0" fontId="4" fillId="0" borderId="1" applyAlignment="1" pivotButton="0" quotePrefix="0" xfId="0">
      <alignment horizontal="center" vertical="center"/>
    </xf>
    <xf numFmtId="0" fontId="6" fillId="0" borderId="1" applyAlignment="1" pivotButton="0" quotePrefix="0" xfId="0">
      <alignment horizontal="center" vertical="center"/>
    </xf>
    <xf numFmtId="165" fontId="0" fillId="0" borderId="1" applyAlignment="1" pivotButton="0" quotePrefix="0" xfId="0">
      <alignment horizontal="right" vertical="center"/>
    </xf>
    <xf numFmtId="166" fontId="4" fillId="0" borderId="1" applyAlignment="1" pivotButton="0" quotePrefix="0" xfId="0">
      <alignment horizontal="right" vertical="center"/>
    </xf>
    <xf numFmtId="0" fontId="3" fillId="2" borderId="0" applyAlignment="1" pivotButton="0" quotePrefix="0" xfId="0">
      <alignment horizontal="left" vertical="center"/>
    </xf>
    <xf numFmtId="0" fontId="5" fillId="0" borderId="0" applyAlignment="1" pivotButton="0" quotePrefix="0" xfId="0">
      <alignment horizontal="left" vertical="center"/>
    </xf>
    <xf numFmtId="0" fontId="6" fillId="0" borderId="1" applyAlignment="1" pivotButton="0" quotePrefix="0" xfId="0">
      <alignment horizontal="left" vertical="center"/>
    </xf>
    <xf numFmtId="3" fontId="4" fillId="5" borderId="1" applyAlignment="1" pivotButton="0" quotePrefix="0" xfId="0">
      <alignment horizontal="right" vertical="center"/>
    </xf>
    <xf numFmtId="1" fontId="4" fillId="0" borderId="1" applyAlignment="1" pivotButton="0" quotePrefix="0" xfId="0">
      <alignment horizontal="right" vertical="center"/>
    </xf>
    <xf numFmtId="0" fontId="4" fillId="0" borderId="1" applyAlignment="1" pivotButton="0" quotePrefix="0" xfId="0">
      <alignment horizontal="right" vertical="center"/>
    </xf>
    <xf numFmtId="167" fontId="4" fillId="0" borderId="1" applyAlignment="1" pivotButton="0" quotePrefix="0" xfId="0">
      <alignment horizontal="right" vertical="center"/>
    </xf>
    <xf numFmtId="2" fontId="4" fillId="5" borderId="1" applyAlignment="1" pivotButton="0" quotePrefix="0" xfId="0">
      <alignment horizontal="right" vertical="center"/>
    </xf>
    <xf numFmtId="2" fontId="4" fillId="0" borderId="1" applyAlignment="1" pivotButton="0" quotePrefix="0" xfId="0">
      <alignment horizontal="center" vertical="center"/>
    </xf>
    <xf numFmtId="4" fontId="4" fillId="0" borderId="1" applyAlignment="1" pivotButton="0" quotePrefix="0" xfId="0">
      <alignment horizontal="right" vertical="center"/>
    </xf>
    <xf numFmtId="2" fontId="7" fillId="6" borderId="3" applyAlignment="1" pivotButton="0" quotePrefix="0" xfId="0">
      <alignment horizontal="right" vertical="center"/>
    </xf>
    <xf numFmtId="0" fontId="6" fillId="0" borderId="1" applyAlignment="1" pivotButton="0" quotePrefix="0" xfId="0">
      <alignment horizontal="left" vertical="center" wrapText="1"/>
    </xf>
    <xf numFmtId="0" fontId="7" fillId="6" borderId="3" applyAlignment="1" pivotButton="0" quotePrefix="0" xfId="0">
      <alignment horizontal="left" vertical="center"/>
    </xf>
    <xf numFmtId="0" fontId="7" fillId="6" borderId="3" applyAlignment="1" pivotButton="0" quotePrefix="0" xfId="0">
      <alignment horizontal="left" vertical="center" wrapText="1"/>
    </xf>
    <xf numFmtId="0" fontId="4" fillId="3" borderId="1" applyAlignment="1" pivotButton="0" quotePrefix="0" xfId="0">
      <alignment horizontal="left" vertical="center"/>
    </xf>
    <xf numFmtId="0" fontId="4"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showGridLines="1" workbookViewId="0">
      <selection activeCell="A1" sqref="A1"/>
    </sheetView>
  </sheetViews>
  <sheetFormatPr baseColWidth="8" defaultRowHeight="15"/>
  <cols>
    <col width="8" customWidth="1" min="1" max="1"/>
    <col width="22" customWidth="1" min="2" max="2"/>
    <col width="54" customWidth="1" min="3" max="3"/>
    <col width="22" customWidth="1" min="4" max="4"/>
    <col width="14" customWidth="1" min="5" max="5"/>
    <col width="62" customWidth="1" min="6" max="6"/>
  </cols>
  <sheetData>
    <row r="1">
      <c r="A1" s="1" t="inlineStr">
        <is>
          <t>ΚΕΝΤΡΙΚΟΣ ΤΙΜΟΚΑΤΑΛΟΓΟΣ ΕΤΑΙΡΕΙΑΣ ΠΑΣΣΑΛΩΝ — ΕΔΡΑ: ΑΓΙΟΣ ΣΥΛΑΣ, ΛΕΜΕΣΟΣ</t>
        </is>
      </c>
    </row>
    <row r="2">
      <c r="A2" s="2" t="inlineStr">
        <is>
          <t>ΚΙΤΡΙΝΟ = Τιμές μονάδας που αλλάζουν με την αγορά  |  ΛΕΥΚΟ = Φυσικές σταθερές &amp; τύποι (δεν αγγίζονται)</t>
        </is>
      </c>
    </row>
    <row r="4" ht="28" customHeight="1">
      <c r="A4" s="3" t="inlineStr">
        <is>
          <t>Α/Α</t>
        </is>
      </c>
      <c r="B4" s="4" t="inlineStr">
        <is>
          <t>Πυλώνας Κόστους</t>
        </is>
      </c>
      <c r="C4" s="4" t="inlineStr">
        <is>
          <t>Είδος Υλικού / Εργασίας</t>
        </is>
      </c>
      <c r="D4" s="5" t="inlineStr">
        <is>
          <t>Τιμή Μονάδας (€)
[ΚΙΤΡΙΝΟ = ΑΛΛΑΖΕΙ]</t>
        </is>
      </c>
      <c r="E4" s="3" t="inlineStr">
        <is>
          <t>Μονάδα</t>
        </is>
      </c>
      <c r="F4" s="4" t="inlineStr">
        <is>
          <t>Κανόνας &amp; Χρήση στην Κοστολόγηση</t>
        </is>
      </c>
    </row>
    <row r="5">
      <c r="A5" s="6" t="inlineStr">
        <is>
          <t>1</t>
        </is>
      </c>
      <c r="B5" s="7" t="inlineStr">
        <is>
          <t>1. Μετακινήσεις</t>
        </is>
      </c>
      <c r="C5" s="8" t="inlineStr">
        <is>
          <t>Μετακίνηση &amp; Εγκατάσταση Γεωτρύπανου — Βασική τιμή (Ζώνη 1: 0–50 km)</t>
        </is>
      </c>
      <c r="D5" s="9" t="n">
        <v>500</v>
      </c>
      <c r="E5" s="6" t="inlineStr">
        <is>
          <t>€/μετακίνηση</t>
        </is>
      </c>
      <c r="F5" s="10" t="inlineStr">
        <is>
          <t>Βάση: Άγιος Συλάς. Εφάπαξ ποσό ανά εργοτάξιο, επιμερίζεται ισόποσα ανά πάσσαλο</t>
        </is>
      </c>
    </row>
    <row r="6">
      <c r="A6" s="6" t="inlineStr">
        <is>
          <t>2</t>
        </is>
      </c>
      <c r="B6" s="7" t="inlineStr">
        <is>
          <t>1. Μετακινήσεις</t>
        </is>
      </c>
      <c r="C6" s="8" t="inlineStr">
        <is>
          <t>Επιβάρυνση ανά επιπλέον 50 km (έξω από τα 50 km)</t>
        </is>
      </c>
      <c r="D6" s="9" t="n">
        <v>100</v>
      </c>
      <c r="E6" s="6" t="inlineStr">
        <is>
          <t>€/μετακίνηση</t>
        </is>
      </c>
      <c r="F6" s="10" t="inlineStr">
        <is>
          <t>Υπολογίζεται αυτόματα: +100 € ανά ζώνη 50km πάνω από τη βασική ακτίνα των 50km</t>
        </is>
      </c>
    </row>
    <row r="7">
      <c r="A7" s="6" t="inlineStr">
        <is>
          <t>3</t>
        </is>
      </c>
      <c r="B7" s="7" t="inlineStr">
        <is>
          <t>2. Τρύπημα</t>
        </is>
      </c>
      <c r="C7" s="8" t="inlineStr">
        <is>
          <t>Τρύπημα / Διάτρηση Πασσάλου Ø400mm</t>
        </is>
      </c>
      <c r="D7" s="9" t="n">
        <v>70</v>
      </c>
      <c r="E7" s="6" t="inlineStr">
        <is>
          <t>€/m</t>
        </is>
      </c>
      <c r="F7" s="10" t="inlineStr">
        <is>
          <t>Συνολικά μέτρα διάτρησης Ø400mm</t>
        </is>
      </c>
    </row>
    <row r="8">
      <c r="A8" s="6" t="inlineStr">
        <is>
          <t>4</t>
        </is>
      </c>
      <c r="B8" s="7" t="inlineStr">
        <is>
          <t>2. Τρύπημα</t>
        </is>
      </c>
      <c r="C8" s="8" t="inlineStr">
        <is>
          <t>Τρύπημα / Διάτρηση Πασσάλου Ø500mm</t>
        </is>
      </c>
      <c r="D8" s="9" t="n">
        <v>80</v>
      </c>
      <c r="E8" s="6" t="inlineStr">
        <is>
          <t>€/m</t>
        </is>
      </c>
      <c r="F8" s="10" t="inlineStr">
        <is>
          <t>Συνολικά μέτρα διάτρησης Ø500mm</t>
        </is>
      </c>
    </row>
    <row r="9">
      <c r="A9" s="6" t="inlineStr">
        <is>
          <t>5</t>
        </is>
      </c>
      <c r="B9" s="7" t="inlineStr">
        <is>
          <t>2. Τρύπημα</t>
        </is>
      </c>
      <c r="C9" s="8" t="inlineStr">
        <is>
          <t>Τρύπημα / Διάτρηση Πασσάλου Ø600mm</t>
        </is>
      </c>
      <c r="D9" s="9" t="n">
        <v>90</v>
      </c>
      <c r="E9" s="6" t="inlineStr">
        <is>
          <t>€/m</t>
        </is>
      </c>
      <c r="F9" s="10" t="inlineStr">
        <is>
          <t>Συνολικά μέτρα διάτρησης Ø600mm (Τυπική διάμετρος σχεδίου)</t>
        </is>
      </c>
    </row>
    <row r="10">
      <c r="A10" s="6" t="inlineStr">
        <is>
          <t>6</t>
        </is>
      </c>
      <c r="B10" s="7" t="inlineStr">
        <is>
          <t>2. Τρύπημα</t>
        </is>
      </c>
      <c r="C10" s="8" t="inlineStr">
        <is>
          <t>Τρύπημα / Διάτρηση Πασσάλου Ø700mm</t>
        </is>
      </c>
      <c r="D10" s="9" t="n">
        <v>100</v>
      </c>
      <c r="E10" s="6" t="inlineStr">
        <is>
          <t>€/m</t>
        </is>
      </c>
      <c r="F10" s="10" t="inlineStr">
        <is>
          <t>Συνολικά μέτρα διάτρησης Ø700mm</t>
        </is>
      </c>
    </row>
    <row r="11">
      <c r="A11" s="6" t="inlineStr">
        <is>
          <t>7</t>
        </is>
      </c>
      <c r="B11" s="7" t="inlineStr">
        <is>
          <t>2. Τρύπημα</t>
        </is>
      </c>
      <c r="C11" s="8" t="inlineStr">
        <is>
          <t>Τρύπημα / Διάτρηση Πασσάλου Ø800mm</t>
        </is>
      </c>
      <c r="D11" s="9" t="n">
        <v>115</v>
      </c>
      <c r="E11" s="6" t="inlineStr">
        <is>
          <t>€/m</t>
        </is>
      </c>
      <c r="F11" s="10" t="inlineStr">
        <is>
          <t>Συνολικά μέτρα διάτρησης Ø800mm</t>
        </is>
      </c>
    </row>
    <row r="12">
      <c r="A12" s="6" t="inlineStr">
        <is>
          <t>8</t>
        </is>
      </c>
      <c r="B12" s="7" t="inlineStr">
        <is>
          <t>2. Τρύπημα</t>
        </is>
      </c>
      <c r="C12" s="8" t="inlineStr">
        <is>
          <t>Τρύπημα / Διάτρηση Πασσάλου Ø900mm</t>
        </is>
      </c>
      <c r="D12" s="9" t="n">
        <v>130</v>
      </c>
      <c r="E12" s="6" t="inlineStr">
        <is>
          <t>€/m</t>
        </is>
      </c>
      <c r="F12" s="10" t="inlineStr">
        <is>
          <t>Συνολικά μέτρα διάτρησης Ø900mm</t>
        </is>
      </c>
    </row>
    <row r="13">
      <c r="A13" s="6" t="inlineStr">
        <is>
          <t>9</t>
        </is>
      </c>
      <c r="B13" s="7" t="inlineStr">
        <is>
          <t>2. Τρύπημα</t>
        </is>
      </c>
      <c r="C13" s="8" t="inlineStr">
        <is>
          <t>Τρύπημα / Διάτρηση Πασσάλου Ø1000mm</t>
        </is>
      </c>
      <c r="D13" s="9" t="n">
        <v>150</v>
      </c>
      <c r="E13" s="6" t="inlineStr">
        <is>
          <t>€/m</t>
        </is>
      </c>
      <c r="F13" s="10" t="inlineStr">
        <is>
          <t>Συνολικά μέτρα διάτρησης Ø1000mm</t>
        </is>
      </c>
    </row>
    <row r="14">
      <c r="A14" s="6" t="inlineStr">
        <is>
          <t>10</t>
        </is>
      </c>
      <c r="B14" s="7" t="inlineStr">
        <is>
          <t>2. Τρύπημα</t>
        </is>
      </c>
      <c r="C14" s="8" t="inlineStr">
        <is>
          <t>Τρύπημα / Διάτρηση Πασσάλου Ø1200mm</t>
        </is>
      </c>
      <c r="D14" s="9" t="n">
        <v>190</v>
      </c>
      <c r="E14" s="6" t="inlineStr">
        <is>
          <t>€/m</t>
        </is>
      </c>
      <c r="F14" s="10" t="inlineStr">
        <is>
          <t>Συνολικά μέτρα διάτρησης Ø1200mm</t>
        </is>
      </c>
    </row>
    <row r="15">
      <c r="A15" s="6" t="inlineStr">
        <is>
          <t>11</t>
        </is>
      </c>
      <c r="B15" s="7" t="inlineStr">
        <is>
          <t>2. Τρύπημα</t>
        </is>
      </c>
      <c r="C15" s="8" t="inlineStr">
        <is>
          <t>Προσαύξηση διάτρησης σε σκληρό βράχο / ειδικές συνθήκες</t>
        </is>
      </c>
      <c r="D15" s="9" t="n">
        <v>25</v>
      </c>
      <c r="E15" s="6" t="inlineStr">
        <is>
          <t>€/m</t>
        </is>
      </c>
      <c r="F15" s="10" t="inlineStr">
        <is>
          <t>Εφαρμόζεται επιπλέον ανά μέτρο όταν ζητείται διάτρηση σε σκληρό πέτρωμα</t>
        </is>
      </c>
    </row>
    <row r="16">
      <c r="A16" s="6" t="inlineStr">
        <is>
          <t>12</t>
        </is>
      </c>
      <c r="B16" s="7" t="inlineStr">
        <is>
          <t>3. Σκυροδέτηση</t>
        </is>
      </c>
      <c r="C16" s="8" t="inlineStr">
        <is>
          <t>Σκυρόδεμα C25/30 — Αγορά κουγκριού</t>
        </is>
      </c>
      <c r="D16" s="9" t="n">
        <v>105</v>
      </c>
      <c r="E16" s="6" t="inlineStr">
        <is>
          <t>€/m³</t>
        </is>
      </c>
      <c r="F16" s="10" t="inlineStr">
        <is>
          <t>Όγκος = π × D²/4 × L × (1 + 10% απώλεια)</t>
        </is>
      </c>
    </row>
    <row r="17">
      <c r="A17" s="6" t="inlineStr">
        <is>
          <t>13</t>
        </is>
      </c>
      <c r="B17" s="7" t="inlineStr">
        <is>
          <t>3. Σκυροδέτηση</t>
        </is>
      </c>
      <c r="C17" s="8" t="inlineStr">
        <is>
          <t>Σκυρόδεμα C30/37 — Αγορά κουγκριού</t>
        </is>
      </c>
      <c r="D17" s="9" t="n">
        <v>115</v>
      </c>
      <c r="E17" s="6" t="inlineStr">
        <is>
          <t>€/m³</t>
        </is>
      </c>
      <c r="F17" s="10" t="inlineStr">
        <is>
          <t>Όγκος = π × D²/4 × L × (1 + 10% απώλεια)</t>
        </is>
      </c>
    </row>
    <row r="18">
      <c r="A18" s="6" t="inlineStr">
        <is>
          <t>14</t>
        </is>
      </c>
      <c r="B18" s="7" t="inlineStr">
        <is>
          <t>3. Σκυροδέτηση</t>
        </is>
      </c>
      <c r="C18" s="8" t="inlineStr">
        <is>
          <t>Άντληση / Τοποθέτηση Σκυροδέματος (Πρέσα)</t>
        </is>
      </c>
      <c r="D18" s="9" t="n">
        <v>15</v>
      </c>
      <c r="E18" s="6" t="inlineStr">
        <is>
          <t>€/m³</t>
        </is>
      </c>
      <c r="F18" s="10" t="inlineStr">
        <is>
          <t>Ενιαία τιμή άντλησης ανά κυβικό (εάν δεν συμπεριλαμβάνεται στην τιμή αγοράς)</t>
        </is>
      </c>
    </row>
    <row r="19">
      <c r="A19" s="6" t="inlineStr">
        <is>
          <t>15</t>
        </is>
      </c>
      <c r="B19" s="7" t="inlineStr">
        <is>
          <t>4. Χάλυβας</t>
        </is>
      </c>
      <c r="C19" s="8" t="inlineStr">
        <is>
          <t>Σίδηρος κάθετων ράβδων κλωβού (Αγορά + Κατασκευή + Τοποθέτηση)</t>
        </is>
      </c>
      <c r="D19" s="9" t="n">
        <v>1.1</v>
      </c>
      <c r="E19" s="6" t="inlineStr">
        <is>
          <t>€/kg</t>
        </is>
      </c>
      <c r="F19" s="10" t="inlineStr">
        <is>
          <t>Ενιαία τιμή ανά κιλό (Μήκος ράβδου με starter/γωνίες/μάτιση × kg/m × 1,10 €)</t>
        </is>
      </c>
    </row>
    <row r="20">
      <c r="A20" s="6" t="inlineStr">
        <is>
          <t>16</t>
        </is>
      </c>
      <c r="B20" s="7" t="inlineStr">
        <is>
          <t>4. Χάλυβας</t>
        </is>
      </c>
      <c r="C20" s="8" t="inlineStr">
        <is>
          <t>Σίδηρος σούστας (σπείρα Y10) — Αγορά + Τοποθέτηση</t>
        </is>
      </c>
      <c r="D20" s="9" t="n">
        <v>1.1</v>
      </c>
      <c r="E20" s="6" t="inlineStr">
        <is>
          <t>€/kg</t>
        </is>
      </c>
      <c r="F20" s="10" t="inlineStr">
        <is>
          <t>Ενιαία τιμή ανά κιλό (Αριθμός σπειρών × Περίμετρος × kg/m × 1,10 €)</t>
        </is>
      </c>
    </row>
    <row r="21">
      <c r="A21" s="6" t="inlineStr">
        <is>
          <t>17</t>
        </is>
      </c>
      <c r="B21" s="7" t="inlineStr">
        <is>
          <t>4. Χάλυβας</t>
        </is>
      </c>
      <c r="C21" s="8" t="inlineStr">
        <is>
          <t>Πλαστικοί Αποστάτες Κλωβού (Cover Spacers / Wheels)</t>
        </is>
      </c>
      <c r="D21" s="9" t="n">
        <v>1.5</v>
      </c>
      <c r="E21" s="6" t="inlineStr">
        <is>
          <t>€/τεμ.</t>
        </is>
      </c>
      <c r="F21" s="10" t="inlineStr">
        <is>
          <t>Τροχοειδείς αποστάτες για εξασφάλιση επικάλυψης 7.5cm (3-4 ανά 2m κλωβού)</t>
        </is>
      </c>
    </row>
    <row r="22">
      <c r="A22" s="6" t="inlineStr">
        <is>
          <t>18</t>
        </is>
      </c>
      <c r="B22" s="7" t="inlineStr">
        <is>
          <t>5. Ειδικές Εργασίες</t>
        </is>
      </c>
      <c r="C22" s="8" t="inlineStr">
        <is>
          <t>Sleeves Προστασίας Starter Αναμονών (Debonding)</t>
        </is>
      </c>
      <c r="D22" s="9" t="n">
        <v>3.5</v>
      </c>
      <c r="E22" s="6" t="inlineStr">
        <is>
          <t>€/τεμ.</t>
        </is>
      </c>
      <c r="F22" s="10" t="inlineStr">
        <is>
          <t>Τοποθέτηση αφρωδών/πλαστικών καλυμμάτων στις αναμονές starter όταν το σκυρόδεμα υπερβαίνει το cutoff (Δh &gt; 0)</t>
        </is>
      </c>
    </row>
    <row r="23">
      <c r="A23" s="6" t="inlineStr">
        <is>
          <t>19</t>
        </is>
      </c>
      <c r="B23" s="7" t="inlineStr">
        <is>
          <t>5. Ειδικές Εργασίες</t>
        </is>
      </c>
      <c r="C23" s="8" t="inlineStr">
        <is>
          <t>Κεφαλοκοπή Πασσάλων / Pile Breaking (Σπάσιμο)</t>
        </is>
      </c>
      <c r="D23" s="9" t="n">
        <v>60</v>
      </c>
      <c r="E23" s="6" t="inlineStr">
        <is>
          <t>€/πάσσαλο</t>
        </is>
      </c>
      <c r="F23" s="10" t="inlineStr">
        <is>
          <t>Καθαίρεση υπερυψωμένου σκυροδέματος (+2.00m) μέχρι τη στάθμη Cut-Off Level με υδραυλικό κόφτη</t>
        </is>
      </c>
    </row>
    <row r="25" ht="22" customHeight="1">
      <c r="A25" s="11" t="inlineStr">
        <is>
          <t>Β. ΦΥΣΙΚΕΣ ΣΤΑΘΕΡΕΣ &amp; ΠΑΓΙΟΙ ΚΑΝΟΝΕΣ (ΛΕΥΚΟ — ΔΕΝ ΑΛΛΑΖΟΥΝ ΠΟΤΕ)</t>
        </is>
      </c>
    </row>
    <row r="26">
      <c r="A26" s="6" t="inlineStr">
        <is>
          <t>—</t>
        </is>
      </c>
      <c r="B26" s="7" t="inlineStr">
        <is>
          <t>Σταθερά</t>
        </is>
      </c>
      <c r="C26" s="8" t="inlineStr">
        <is>
          <t>Πυκνότητα χάλυβα (ρ)</t>
        </is>
      </c>
      <c r="D26" s="12" t="n">
        <v>7850</v>
      </c>
      <c r="E26" s="6" t="inlineStr">
        <is>
          <t>kg/m³</t>
        </is>
      </c>
      <c r="F26" s="10" t="inlineStr">
        <is>
          <t>Φυσική σταθερά για υπολογισμό κιλών ράβδων και σούστας</t>
        </is>
      </c>
    </row>
    <row r="27">
      <c r="A27" s="6" t="inlineStr">
        <is>
          <t>—</t>
        </is>
      </c>
      <c r="B27" s="7" t="inlineStr">
        <is>
          <t>Σταθερά</t>
        </is>
      </c>
      <c r="C27" s="8" t="inlineStr">
        <is>
          <t>Πάγια απώλεια / υπερκατανάλωση σκυροδέματος (+10%)</t>
        </is>
      </c>
      <c r="D27" s="13" t="n">
        <v>0.1</v>
      </c>
      <c r="E27" s="6" t="inlineStr">
        <is>
          <t>%</t>
        </is>
      </c>
      <c r="F27" s="10" t="inlineStr">
        <is>
          <t>Προστίθεται υποχρεωτικά στον γεωμετρικό όγκο της μελέτης (V_conc = V_exc × 1.10)</t>
        </is>
      </c>
    </row>
    <row r="28">
      <c r="A28" s="6" t="inlineStr">
        <is>
          <t>—</t>
        </is>
      </c>
      <c r="B28" s="7" t="inlineStr">
        <is>
          <t>Σταθερά</t>
        </is>
      </c>
      <c r="C28" s="8" t="inlineStr">
        <is>
          <t>Βασική ακτίνα απόστασης (Ζώνη 1)</t>
        </is>
      </c>
      <c r="D28" s="12" t="n">
        <v>50</v>
      </c>
      <c r="E28" s="6" t="inlineStr">
        <is>
          <t>km</t>
        </is>
      </c>
      <c r="F28" s="10" t="inlineStr">
        <is>
          <t>Καλύπτει ακτίνα 50 km από Άγιο Συλά, Σπύρου Κυπριανού 32, Λεμεσό</t>
        </is>
      </c>
    </row>
    <row r="29">
      <c r="A29" s="6" t="inlineStr">
        <is>
          <t>—</t>
        </is>
      </c>
      <c r="B29" s="7" t="inlineStr">
        <is>
          <t>Σταθερά</t>
        </is>
      </c>
      <c r="C29" s="8" t="inlineStr">
        <is>
          <t>Μέγιστο εμπορικό μήκος βέργας</t>
        </is>
      </c>
      <c r="D29" s="14" t="n">
        <v>12</v>
      </c>
      <c r="E29" s="6" t="inlineStr">
        <is>
          <t>m</t>
        </is>
      </c>
      <c r="F29" s="10" t="inlineStr">
        <is>
          <t>Βέργες εμπορίου 12 μέτρων (όριο πέραν του οποίου απαιτείται μάτιση)</t>
        </is>
      </c>
    </row>
    <row r="30">
      <c r="A30" s="6" t="inlineStr">
        <is>
          <t>—</t>
        </is>
      </c>
      <c r="B30" s="7" t="inlineStr">
        <is>
          <t>Σταθερά</t>
        </is>
      </c>
      <c r="C30" s="8" t="inlineStr">
        <is>
          <t>Συντελεστής μήκους μάτισης ράβδων (Lapping)</t>
        </is>
      </c>
      <c r="D30" s="12" t="n">
        <v>50</v>
      </c>
      <c r="E30" s="6" t="inlineStr">
        <is>
          <t>× Φ</t>
        </is>
      </c>
      <c r="F30" s="10" t="inlineStr">
        <is>
          <t>Κανόνας επικάλυψης 50 φορές τη διάμετρο της κάθετης ράβδου</t>
        </is>
      </c>
    </row>
    <row r="31">
      <c r="A31" s="6" t="inlineStr">
        <is>
          <t>—</t>
        </is>
      </c>
      <c r="B31" s="7" t="inlineStr">
        <is>
          <t>Σταθερά</t>
        </is>
      </c>
      <c r="C31" s="8" t="inlineStr">
        <is>
          <t>Μέγιστο ύψος υπερκάλυψης σκυροδέματος (+2m)</t>
        </is>
      </c>
      <c r="D31" s="14" t="n">
        <v>2</v>
      </c>
      <c r="E31" s="6" t="inlineStr">
        <is>
          <t>m</t>
        </is>
      </c>
      <c r="F31" s="10" t="inlineStr">
        <is>
          <t>Κανόνας καθαρού σκυροδέματος: έως +2.0m πάνω από το cut-off αν υπάρχει κενή διάτρηση (Δh &gt; 0)</t>
        </is>
      </c>
    </row>
  </sheetData>
  <mergeCells count="3">
    <mergeCell ref="A2:F2"/>
    <mergeCell ref="A1:F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showGridLines="1" workbookViewId="0">
      <selection activeCell="A1" sqref="A1"/>
    </sheetView>
  </sheetViews>
  <sheetFormatPr baseColWidth="8" defaultRowHeight="15"/>
  <cols>
    <col width="14" customWidth="1" min="1" max="1"/>
    <col width="26" customWidth="1" min="2" max="2"/>
    <col width="24" customWidth="1" min="3" max="3"/>
    <col width="28" customWidth="1" min="4" max="4"/>
    <col width="38" customWidth="1" min="5" max="5"/>
  </cols>
  <sheetData>
    <row r="1">
      <c r="A1" s="1" t="inlineStr">
        <is>
          <t>ΠΙΝΑΚΑΣ ΜΟΝΑΔΙΑΙΩΝ ΒΑΡΩΝ ΧΑΛΥΒΑ ΟΠΛΙΣΜΟΥ (B500C) — ρ = 7.850 kg/m³</t>
        </is>
      </c>
    </row>
    <row r="3" ht="26" customHeight="1">
      <c r="A3" s="3" t="inlineStr">
        <is>
          <t>Διατομή (Φ)</t>
        </is>
      </c>
      <c r="B3" s="3" t="inlineStr">
        <is>
          <t>Ονομαστική Διάμετρος (mm)</t>
        </is>
      </c>
      <c r="C3" s="5" t="inlineStr">
        <is>
          <t>Εμβαδόν Διατομής (mm²)</t>
        </is>
      </c>
      <c r="D3" s="5" t="inlineStr">
        <is>
          <t>Μοναδιαίο Βάρος (kg/m)
[Τύπος: π×d²/4 × 7850]</t>
        </is>
      </c>
      <c r="E3" s="4" t="inlineStr">
        <is>
          <t>Τυπική Χρήση σε Πασσάλους</t>
        </is>
      </c>
    </row>
    <row r="4">
      <c r="A4" s="15" t="inlineStr">
        <is>
          <t>Y6</t>
        </is>
      </c>
      <c r="B4" s="16" t="n">
        <v>6</v>
      </c>
      <c r="C4" s="17">
        <f>PI()*(B4^2)/4</f>
        <v/>
      </c>
      <c r="D4" s="18">
        <f>C4/1000000*7850</f>
        <v/>
      </c>
      <c r="E4" s="10" t="inlineStr">
        <is>
          <t>Ελαφριοί συνδετήρες / βοηθητικός</t>
        </is>
      </c>
    </row>
    <row r="5">
      <c r="A5" s="15" t="inlineStr">
        <is>
          <t>Y8</t>
        </is>
      </c>
      <c r="B5" s="16" t="n">
        <v>8</v>
      </c>
      <c r="C5" s="17">
        <f>PI()*(B5^2)/4</f>
        <v/>
      </c>
      <c r="D5" s="18">
        <f>C5/1000000*7850</f>
        <v/>
      </c>
      <c r="E5" s="10" t="inlineStr">
        <is>
          <t>Σούστα μικρών πασσάλων Ø400</t>
        </is>
      </c>
    </row>
    <row r="6">
      <c r="A6" s="15" t="inlineStr">
        <is>
          <t>Y10</t>
        </is>
      </c>
      <c r="B6" s="16" t="n">
        <v>10</v>
      </c>
      <c r="C6" s="17">
        <f>PI()*(B6^2)/4</f>
        <v/>
      </c>
      <c r="D6" s="18">
        <f>C6/1000000*7850</f>
        <v/>
      </c>
      <c r="E6" s="10" t="inlineStr">
        <is>
          <t>Βασική σούστα (σπείρα) πασσάλων Ø600-Ø800</t>
        </is>
      </c>
    </row>
    <row r="7">
      <c r="A7" s="15" t="inlineStr">
        <is>
          <t>Y12</t>
        </is>
      </c>
      <c r="B7" s="16" t="n">
        <v>12</v>
      </c>
      <c r="C7" s="17">
        <f>PI()*(B7^2)/4</f>
        <v/>
      </c>
      <c r="D7" s="18">
        <f>C7/1000000*7850</f>
        <v/>
      </c>
      <c r="E7" s="10" t="inlineStr">
        <is>
          <t>Σούστα βαρέων πασσάλων / ενισχύσεις</t>
        </is>
      </c>
    </row>
    <row r="8">
      <c r="A8" s="15" t="inlineStr">
        <is>
          <t>Y14</t>
        </is>
      </c>
      <c r="B8" s="16" t="n">
        <v>14</v>
      </c>
      <c r="C8" s="17">
        <f>PI()*(B8^2)/4</f>
        <v/>
      </c>
      <c r="D8" s="18">
        <f>C8/1000000*7850</f>
        <v/>
      </c>
      <c r="E8" s="10" t="inlineStr">
        <is>
          <t>Κάθετος οπλισμός μικρών φορτίων</t>
        </is>
      </c>
    </row>
    <row r="9">
      <c r="A9" s="15" t="inlineStr">
        <is>
          <t>Y16</t>
        </is>
      </c>
      <c r="B9" s="16" t="n">
        <v>16</v>
      </c>
      <c r="C9" s="17">
        <f>PI()*(B9^2)/4</f>
        <v/>
      </c>
      <c r="D9" s="18">
        <f>C9/1000000*7850</f>
        <v/>
      </c>
      <c r="E9" s="10" t="inlineStr">
        <is>
          <t>Κάθετος οπλισμός πασσάλων Ø500-Ø600</t>
        </is>
      </c>
    </row>
    <row r="10">
      <c r="A10" s="15" t="inlineStr">
        <is>
          <t>Y20</t>
        </is>
      </c>
      <c r="B10" s="16" t="n">
        <v>20</v>
      </c>
      <c r="C10" s="17">
        <f>PI()*(B10^2)/4</f>
        <v/>
      </c>
      <c r="D10" s="18">
        <f>C10/1000000*7850</f>
        <v/>
      </c>
      <c r="E10" s="10" t="inlineStr">
        <is>
          <t>Κύριος οπλισμός τυπικού σχεδίου (Ø600 12Y20)</t>
        </is>
      </c>
    </row>
    <row r="11">
      <c r="A11" s="15" t="inlineStr">
        <is>
          <t>Y25</t>
        </is>
      </c>
      <c r="B11" s="16" t="n">
        <v>25</v>
      </c>
      <c r="C11" s="17">
        <f>PI()*(B11^2)/4</f>
        <v/>
      </c>
      <c r="D11" s="18">
        <f>C11/1000000*7850</f>
        <v/>
      </c>
      <c r="E11" s="10" t="inlineStr">
        <is>
          <t>Κύριος οπλισμός βαρέων πασσάλων Ø800-Ø1000</t>
        </is>
      </c>
    </row>
    <row r="12">
      <c r="A12" s="15" t="inlineStr">
        <is>
          <t>Y28</t>
        </is>
      </c>
      <c r="B12" s="16" t="n">
        <v>28</v>
      </c>
      <c r="C12" s="17">
        <f>PI()*(B12^2)/4</f>
        <v/>
      </c>
      <c r="D12" s="18">
        <f>C12/1000000*7850</f>
        <v/>
      </c>
      <c r="E12" s="10" t="inlineStr">
        <is>
          <t>Κύριος οπλισμός υψηλών ροπών κάμψης</t>
        </is>
      </c>
    </row>
    <row r="13">
      <c r="A13" s="15" t="inlineStr">
        <is>
          <t>Y32</t>
        </is>
      </c>
      <c r="B13" s="16" t="n">
        <v>32</v>
      </c>
      <c r="C13" s="17">
        <f>PI()*(B13^2)/4</f>
        <v/>
      </c>
      <c r="D13" s="18">
        <f>C13/1000000*7850</f>
        <v/>
      </c>
      <c r="E13" s="10" t="inlineStr">
        <is>
          <t>Ειδικοί πάσσαλοι αντιστήριξης / βαθιές εκσκαφές</t>
        </is>
      </c>
    </row>
    <row r="14">
      <c r="A14" s="15" t="inlineStr">
        <is>
          <t>Y40</t>
        </is>
      </c>
      <c r="B14" s="16" t="n">
        <v>40</v>
      </c>
      <c r="C14" s="17">
        <f>PI()*(B14^2)/4</f>
        <v/>
      </c>
      <c r="D14" s="18">
        <f>C14/1000000*7850</f>
        <v/>
      </c>
      <c r="E14" s="10" t="inlineStr">
        <is>
          <t>Βαριά τεχνικά έργα / γέφυρες</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8"/>
  <sheetViews>
    <sheetView showGridLines="1" workbookViewId="0">
      <selection activeCell="A1" sqref="A1"/>
    </sheetView>
  </sheetViews>
  <sheetFormatPr baseColWidth="8" defaultRowHeight="15"/>
  <cols>
    <col width="38" customWidth="1" min="1" max="1"/>
    <col width="16" customWidth="1" min="2" max="2"/>
    <col width="14" customWidth="1" min="3" max="3"/>
    <col width="38" customWidth="1" min="4" max="4"/>
    <col width="18" customWidth="1" min="5" max="5"/>
    <col width="44" customWidth="1" min="6" max="6"/>
  </cols>
  <sheetData>
    <row r="1">
      <c r="A1" s="1" t="inlineStr">
        <is>
          <t>ΕΡΓΑΛΕΙΑ ΥΠΟΛΟΓΙΣΜΟΥ ΕΡΓΩΝ ΠΑΣΣΑΛΩΝ &amp; ΕΠΕΞΗΓΗΣΗ ΜΑΘΗΜΑΤΙΚΩΝ (SANDBOX)</t>
        </is>
      </c>
    </row>
    <row r="2">
      <c r="A2" s="2" t="inlineStr">
        <is>
          <t>ΓΑΛΑΖΙΑ ΚΕΛΙΑ = Εισαγωγή στοιχείων από τη μελέτη μηχανικού  |  Οι τιμές μονάδας αντλούνται αυτόματα από τον Τιμοκατάλογο (Φύλλο 1)</t>
        </is>
      </c>
    </row>
    <row r="4" ht="22" customHeight="1">
      <c r="A4" s="19" t="inlineStr">
        <is>
          <t>1. ΥΠΟΛΟΓΙΣΤΗΣ ΤΙΜΗΣ ΜΕΤΑΚΙΝΗΣΗΣ ΓΕΩΤΡΥΠΑΝΟΥ ΑΝΑ ΑΠΟΣΤΑΣΗ ΕΡΓΟΤΑΞΙΟΥ</t>
        </is>
      </c>
    </row>
    <row r="5">
      <c r="A5" s="20" t="inlineStr">
        <is>
          <t>Εισάγετε τη χιλιομετρική απόσταση του έργου από την έδρα (Άγιος Συλάς, Σπύρου Κυπριανού 32):</t>
        </is>
      </c>
    </row>
    <row r="6" ht="22" customHeight="1">
      <c r="A6" s="4" t="inlineStr">
        <is>
          <t>Παράμετρος Έργου</t>
        </is>
      </c>
      <c r="B6" s="5" t="inlineStr">
        <is>
          <t>Τιμή / Εισαγωγή</t>
        </is>
      </c>
      <c r="C6" s="3" t="inlineStr">
        <is>
          <t>Μονάδα</t>
        </is>
      </c>
      <c r="D6" s="4" t="inlineStr">
        <is>
          <t>Τύπος Υπολογισμού</t>
        </is>
      </c>
      <c r="E6" s="5" t="inlineStr">
        <is>
          <t>Αποτέλεσμα</t>
        </is>
      </c>
      <c r="F6" s="4" t="inlineStr">
        <is>
          <t>Παρατηρήσεις</t>
        </is>
      </c>
    </row>
    <row r="7">
      <c r="A7" s="21" t="inlineStr">
        <is>
          <t>Οδική Απόσταση Έργου από Άγιο Συλά</t>
        </is>
      </c>
      <c r="B7" s="22" t="n">
        <v>50</v>
      </c>
      <c r="C7" s="6" t="inlineStr">
        <is>
          <t>km</t>
        </is>
      </c>
      <c r="D7" s="10" t="inlineStr">
        <is>
          <t>Εισαγωγή από μελέτη / Google Maps</t>
        </is>
      </c>
      <c r="E7" s="15" t="inlineStr">
        <is>
          <t>—</t>
        </is>
      </c>
      <c r="F7" s="10" t="inlineStr">
        <is>
          <t>Βασική ζώνη έως 50 km</t>
        </is>
      </c>
    </row>
    <row r="8">
      <c r="A8" s="21" t="inlineStr">
        <is>
          <t>Επιπλέον Ζώνες των 50 km</t>
        </is>
      </c>
      <c r="B8" s="23">
        <f>MAX(0, ROUNDUP((B7-50)/50, 0))</f>
        <v/>
      </c>
      <c r="C8" s="6" t="inlineStr">
        <is>
          <t>ζώνες</t>
        </is>
      </c>
      <c r="D8" s="10" t="inlineStr">
        <is>
          <t>MAX(0, ROUNDUP((km − 50)/50, 0))</t>
        </is>
      </c>
      <c r="E8" s="24">
        <f>B8</f>
        <v/>
      </c>
      <c r="F8" s="10" t="inlineStr">
        <is>
          <t>0 = έως 50km, 1 = 51-100km, 2 = 101-150km</t>
        </is>
      </c>
    </row>
    <row r="9">
      <c r="A9" s="7" t="inlineStr">
        <is>
          <t>Τελική Τιμή Μετακίνησης Γεωτρύπανου για το Έργο</t>
        </is>
      </c>
      <c r="B9" s="25">
        <f>'1_Τιμές_Εταιρείας'!D5 + (B8 * '1_Τιμές_Εταιρείας'!D6)</f>
        <v/>
      </c>
      <c r="C9" s="6" t="inlineStr">
        <is>
          <t>€ / μετακίνηση</t>
        </is>
      </c>
      <c r="D9" s="10" t="inlineStr">
        <is>
          <t>Βασική (500 €) + Ζώνες × 100 €</t>
        </is>
      </c>
      <c r="E9" s="25">
        <f>B9</f>
        <v/>
      </c>
      <c r="F9" s="10" t="inlineStr">
        <is>
          <t>Εφάπαξ ποσό μετακίνησης εργοταξίου</t>
        </is>
      </c>
    </row>
    <row r="10">
      <c r="A10" s="21" t="inlineStr">
        <is>
          <t>Αριθμός Πασσάλων Έργου</t>
        </is>
      </c>
      <c r="B10" s="22" t="n">
        <v>8</v>
      </c>
      <c r="C10" s="6" t="inlineStr">
        <is>
          <t>τεμ.</t>
        </is>
      </c>
      <c r="D10" s="10" t="inlineStr">
        <is>
          <t>Εισαγωγή από μελέτη / κάτοψη</t>
        </is>
      </c>
      <c r="E10" s="15" t="inlineStr">
        <is>
          <t>—</t>
        </is>
      </c>
      <c r="F10" s="10" t="inlineStr">
        <is>
          <t>Συνολικός αριθμός πασσάλων</t>
        </is>
      </c>
    </row>
    <row r="11">
      <c r="A11" s="7" t="inlineStr">
        <is>
          <t>Επιμερισμένη Τιμή Μετακίνησης ανά Πάσσαλο</t>
        </is>
      </c>
      <c r="B11" s="25">
        <f>B9 / B10</f>
        <v/>
      </c>
      <c r="C11" s="6" t="inlineStr">
        <is>
          <t>€ / πάσσαλο</t>
        </is>
      </c>
      <c r="D11" s="10" t="inlineStr">
        <is>
          <t>Συνολική Μετακίνηση / Αριθμός Πασσάλων</t>
        </is>
      </c>
      <c r="E11" s="25">
        <f>B11</f>
        <v/>
      </c>
      <c r="F11" s="10" t="inlineStr">
        <is>
          <t>Χρησιμοποιείται στην κοστολόγηση ανά πάσσαλο</t>
        </is>
      </c>
    </row>
    <row r="13" ht="22" customHeight="1">
      <c r="A13" s="19" t="inlineStr">
        <is>
          <t>2. ΥΠΟΛΟΓΙΣΤΗΣ ΤΡΥΠΗΜΑΤΟΣ &amp; ΣΚΥΡΟΔΕΜΑΤΟΣ ΠΑΣΣΑΛΩΝ (GEOMETRY &amp; CONCRETE)</t>
        </is>
      </c>
    </row>
    <row r="14" ht="22" customHeight="1">
      <c r="A14" s="4" t="inlineStr">
        <is>
          <t>Παράμετρος Έργου</t>
        </is>
      </c>
      <c r="B14" s="5" t="inlineStr">
        <is>
          <t>Τιμή / Εισαγωγή</t>
        </is>
      </c>
      <c r="C14" s="3" t="inlineStr">
        <is>
          <t>Μονάδα</t>
        </is>
      </c>
      <c r="D14" s="4" t="inlineStr">
        <is>
          <t>Τύπος Υπολογισμού</t>
        </is>
      </c>
      <c r="E14" s="5" t="inlineStr">
        <is>
          <t>Αποτέλεσμα</t>
        </is>
      </c>
      <c r="F14" s="4" t="inlineStr">
        <is>
          <t>Παρατηρήσεις</t>
        </is>
      </c>
    </row>
    <row r="15">
      <c r="A15" s="21" t="inlineStr">
        <is>
          <t>Διάμετρος Τρύπας Πασσάλου (D)</t>
        </is>
      </c>
      <c r="B15" s="22" t="n">
        <v>600</v>
      </c>
      <c r="C15" s="6" t="inlineStr">
        <is>
          <t>mm</t>
        </is>
      </c>
      <c r="D15" s="10" t="inlineStr">
        <is>
          <t>Εισαγωγή από μελέτη (τομή)</t>
        </is>
      </c>
      <c r="E15" s="15" t="inlineStr">
        <is>
          <t>—</t>
        </is>
      </c>
      <c r="F15" s="10" t="inlineStr">
        <is>
          <t>Διάμετρος γεώτρησης</t>
        </is>
      </c>
    </row>
    <row r="16">
      <c r="A16" s="21" t="inlineStr">
        <is>
          <t>Βάθος Διάτρησης στο Έδαφος (L)</t>
        </is>
      </c>
      <c r="B16" s="26" t="n">
        <v>4</v>
      </c>
      <c r="C16" s="6" t="inlineStr">
        <is>
          <t>m</t>
        </is>
      </c>
      <c r="D16" s="10" t="inlineStr">
        <is>
          <t>Εισαγωγή από μελέτη</t>
        </is>
      </c>
      <c r="E16" s="27" t="inlineStr">
        <is>
          <t>—</t>
        </is>
      </c>
      <c r="F16" s="10" t="inlineStr">
        <is>
          <t>Μήκος πασσάλου στο έδαφος</t>
        </is>
      </c>
    </row>
    <row r="17">
      <c r="A17" s="21" t="inlineStr">
        <is>
          <t>Αριθμός Πασσάλων</t>
        </is>
      </c>
      <c r="B17" s="18">
        <f>B10</f>
        <v/>
      </c>
      <c r="C17" s="6" t="inlineStr">
        <is>
          <t>τεμ.</t>
        </is>
      </c>
      <c r="D17" s="10" t="inlineStr">
        <is>
          <t>Σύνδεση με υπολογιστή 1</t>
        </is>
      </c>
      <c r="E17" s="15" t="inlineStr">
        <is>
          <t>—</t>
        </is>
      </c>
      <c r="F17" s="10" t="inlineStr">
        <is>
          <t>Πλήθος πασσάλων</t>
        </is>
      </c>
    </row>
    <row r="18">
      <c r="A18" s="21" t="inlineStr">
        <is>
          <t>Συνολικά Τρέχοντα Μέτρα Τρυπήματος</t>
        </is>
      </c>
      <c r="B18" s="14">
        <f>B16 * B17</f>
        <v/>
      </c>
      <c r="C18" s="6" t="inlineStr">
        <is>
          <t>m</t>
        </is>
      </c>
      <c r="D18" s="10" t="inlineStr">
        <is>
          <t>Βάθος L × Αριθμός Πασσάλων</t>
        </is>
      </c>
      <c r="E18" s="14">
        <f>B18</f>
        <v/>
      </c>
      <c r="F18" s="10" t="inlineStr">
        <is>
          <t>Σύνολο διάτρησης έργου</t>
        </is>
      </c>
    </row>
    <row r="19">
      <c r="A19" s="21" t="inlineStr">
        <is>
          <t>Κόστος Τρυπήματος ανά Τρέχον Μέτρο</t>
        </is>
      </c>
      <c r="B19" s="25">
        <f>'1_Τιμές_Εταιρείας'!D9</f>
        <v/>
      </c>
      <c r="C19" s="6" t="inlineStr">
        <is>
          <t>€ / m</t>
        </is>
      </c>
      <c r="D19" s="10" t="inlineStr">
        <is>
          <t>Αντλείται από Τιμοκατάλογο (Ø600: 90 €/m)</t>
        </is>
      </c>
      <c r="E19" s="25">
        <f>B19</f>
        <v/>
      </c>
      <c r="F19" s="10" t="inlineStr">
        <is>
          <t>Τιμή μονάδας διάτρησης</t>
        </is>
      </c>
    </row>
    <row r="20">
      <c r="A20" s="7" t="inlineStr">
        <is>
          <t>ΣΥΝΟΛΙΚΟ ΚΟΣΤΟΣ ΤΡΥΠΗΜΑΤΟΣ ΕΡΓΟΥ</t>
        </is>
      </c>
      <c r="B20" s="25">
        <f>B18 * B19</f>
        <v/>
      </c>
      <c r="C20" s="6" t="inlineStr">
        <is>
          <t>€</t>
        </is>
      </c>
      <c r="D20" s="10" t="inlineStr">
        <is>
          <t>Συνολικά μέτρα × Τιμή/m</t>
        </is>
      </c>
      <c r="E20" s="25">
        <f>B20</f>
        <v/>
      </c>
      <c r="F20" s="10" t="inlineStr">
        <is>
          <t>Κόστος γεώτρησης</t>
        </is>
      </c>
    </row>
    <row r="21">
      <c r="A21" s="21" t="inlineStr">
        <is>
          <t>Γεωμετρικός Όγκος Εκσκαφής ανά Πάσσαλο</t>
        </is>
      </c>
      <c r="B21" s="18">
        <f>PI()*((B15/1000)^2)/4 * B16</f>
        <v/>
      </c>
      <c r="C21" s="6" t="inlineStr">
        <is>
          <t>m³</t>
        </is>
      </c>
      <c r="D21" s="10" t="inlineStr">
        <is>
          <t>(π × D² / 4) × L</t>
        </is>
      </c>
      <c r="E21" s="18">
        <f>B21</f>
        <v/>
      </c>
      <c r="F21" s="10" t="inlineStr">
        <is>
          <t>Θεωρητικός όγκος κυλίνδρου</t>
        </is>
      </c>
    </row>
    <row r="22">
      <c r="A22" s="21" t="inlineStr">
        <is>
          <t>Όγκος Σκυροδέματος ανά Πάσσαλο (+10% απώλεια)</t>
        </is>
      </c>
      <c r="B22" s="18">
        <f>B21 * (1 + '1_Τιμές_Εταιρείας'!D27)</f>
        <v/>
      </c>
      <c r="C22" s="6" t="inlineStr">
        <is>
          <t>m³</t>
        </is>
      </c>
      <c r="D22" s="10" t="inlineStr">
        <is>
          <t>V_exc × 1.10 (loss factor)</t>
        </is>
      </c>
      <c r="E22" s="18">
        <f>B22</f>
        <v/>
      </c>
      <c r="F22" s="10" t="inlineStr">
        <is>
          <t>Κουγκρί παραγγελίας ανά πάσσαλο</t>
        </is>
      </c>
    </row>
    <row r="23">
      <c r="A23" s="7" t="inlineStr">
        <is>
          <t>ΣΥΝΟΛΙΚΟ ΚΟΣΤΟΣ ΣΚΥΡΟΔΕΜΑΤΟΣ ΕΡΓΟΥ</t>
        </is>
      </c>
      <c r="B23" s="25">
        <f>B22 * B17 * '1_Τιμές_Εταιρείας'!D17</f>
        <v/>
      </c>
      <c r="C23" s="6" t="inlineStr">
        <is>
          <t>€</t>
        </is>
      </c>
      <c r="D23" s="10" t="inlineStr">
        <is>
          <t>m³ × Πάσσαλοι × 115,00 €/m³</t>
        </is>
      </c>
      <c r="E23" s="25">
        <f>B23</f>
        <v/>
      </c>
      <c r="F23" s="10" t="inlineStr">
        <is>
          <t>Κόστος κουγκριού C30/37</t>
        </is>
      </c>
    </row>
    <row r="25" ht="22" customHeight="1">
      <c r="A25" s="19" t="inlineStr">
        <is>
          <t>3. ΥΠΟΛΟΓΙΣΤΗΣ ΒΑΡΟΥΣ &amp; ΚΟΣΤΟΥΣ ΚΛΩΒΟΥ ΟΠΛΙΣΜΟΥ (REBAR CAGE CALCULATOR)</t>
        </is>
      </c>
    </row>
    <row r="26" ht="22" customHeight="1">
      <c r="A26" s="4" t="inlineStr">
        <is>
          <t>Παράμετρος Έργου</t>
        </is>
      </c>
      <c r="B26" s="5" t="inlineStr">
        <is>
          <t>Τιμή / Εισαγωγή</t>
        </is>
      </c>
      <c r="C26" s="3" t="inlineStr">
        <is>
          <t>Μονάδα</t>
        </is>
      </c>
      <c r="D26" s="4" t="inlineStr">
        <is>
          <t>Τύπος Υπολογισμού</t>
        </is>
      </c>
      <c r="E26" s="5" t="inlineStr">
        <is>
          <t>Αποτέλεσμα</t>
        </is>
      </c>
      <c r="F26" s="4" t="inlineStr">
        <is>
          <t>Παρατηρήσεις</t>
        </is>
      </c>
    </row>
    <row r="27">
      <c r="A27" s="21" t="inlineStr">
        <is>
          <t>Κάθετες Ράβδοι — Πλήθος (Nvert)</t>
        </is>
      </c>
      <c r="B27" s="22" t="n">
        <v>12</v>
      </c>
      <c r="C27" s="6" t="inlineStr">
        <is>
          <t>τεμ.</t>
        </is>
      </c>
      <c r="D27" s="10" t="inlineStr">
        <is>
          <t>Εισαγωγή από σχέδιο</t>
        </is>
      </c>
      <c r="E27" s="15" t="inlineStr">
        <is>
          <t>—</t>
        </is>
      </c>
      <c r="F27" s="10" t="inlineStr">
        <is>
          <t>Περιμετρικές ράβδοι</t>
        </is>
      </c>
    </row>
    <row r="28">
      <c r="A28" s="21" t="inlineStr">
        <is>
          <t>Κάθετες Ράβδοι — Διάμετρος (Yvert)</t>
        </is>
      </c>
      <c r="B28" s="22" t="n">
        <v>20</v>
      </c>
      <c r="C28" s="6" t="inlineStr">
        <is>
          <t>mm</t>
        </is>
      </c>
      <c r="D28" s="10" t="inlineStr">
        <is>
          <t>Εισαγωγή από σχέδιο</t>
        </is>
      </c>
      <c r="E28" s="15" t="inlineStr">
        <is>
          <t>—</t>
        </is>
      </c>
      <c r="F28" s="10" t="inlineStr">
        <is>
          <t>Διάμετρος κυρίως οπλισμού</t>
        </is>
      </c>
    </row>
    <row r="29">
      <c r="A29" s="21" t="inlineStr">
        <is>
          <t>Starter (Αναμονή) + Γωνίες (Πάνω &amp; Πυθμένα)</t>
        </is>
      </c>
      <c r="B29" s="26" t="n">
        <v>1</v>
      </c>
      <c r="C29" s="6" t="inlineStr">
        <is>
          <t>m</t>
        </is>
      </c>
      <c r="D29" s="10" t="inlineStr">
        <is>
          <t>0.50m Starter + 0.50m Top + 0.00m Bot</t>
        </is>
      </c>
      <c r="E29" s="15" t="inlineStr">
        <is>
          <t>—</t>
        </is>
      </c>
      <c r="F29" s="10" t="inlineStr">
        <is>
          <t>Πρόσθετα μήκη κάθετης ράβδου</t>
        </is>
      </c>
    </row>
    <row r="30">
      <c r="A30" s="21" t="inlineStr">
        <is>
          <t>Απαίτηση Μάτισης (αν L_bar &gt; 12m)</t>
        </is>
      </c>
      <c r="B30" s="14">
        <f>IF((B16+B29)&gt;'1_Τιμές_Εταιρείας'!D29, '1_Τιμές_Εταιρείας'!D30*(B28/1000), 0)</f>
        <v/>
      </c>
      <c r="C30" s="6" t="inlineStr">
        <is>
          <t>m</t>
        </is>
      </c>
      <c r="D30" s="10" t="inlineStr">
        <is>
          <t>Κανόνας 50×Φ αν υπερβαίνει τα 12m</t>
        </is>
      </c>
      <c r="E30" s="24">
        <f>B30</f>
        <v/>
      </c>
      <c r="F30" s="10" t="inlineStr">
        <is>
          <t>0 = ενιαία βέργα, 1.00m = μάτιση</t>
        </is>
      </c>
    </row>
    <row r="31">
      <c r="A31" s="21" t="inlineStr">
        <is>
          <t>Τελικό Μήκος Κάθετης Ράβδου (L_bar)</t>
        </is>
      </c>
      <c r="B31" s="14">
        <f>B16 + B29 + B30</f>
        <v/>
      </c>
      <c r="C31" s="6" t="inlineStr">
        <is>
          <t>m</t>
        </is>
      </c>
      <c r="D31" s="10" t="inlineStr">
        <is>
          <t>Βάθος + Αναμονές/Γωνίες + Μάτιση</t>
        </is>
      </c>
      <c r="E31" s="24">
        <f>B31</f>
        <v/>
      </c>
      <c r="F31" s="10" t="inlineStr">
        <is>
          <t>Ανεπτυγμένο μήκος ράβδου</t>
        </is>
      </c>
    </row>
    <row r="32">
      <c r="A32" s="21" t="inlineStr">
        <is>
          <t>Βάρος Κάθετων Ράβδων ανά Πάσσαλο</t>
        </is>
      </c>
      <c r="B32" s="28">
        <f>B27 * B31 * (PI()*((B28/1000)^2)/4 * '1_Τιμές_Εταιρείας'!D26)</f>
        <v/>
      </c>
      <c r="C32" s="6" t="inlineStr">
        <is>
          <t>kg</t>
        </is>
      </c>
      <c r="D32" s="10" t="inlineStr">
        <is>
          <t>N_vert × L_bar × kg/m</t>
        </is>
      </c>
      <c r="E32" s="28">
        <f>B32</f>
        <v/>
      </c>
      <c r="F32" s="10" t="inlineStr">
        <is>
          <t>Κιλά κάθετου οπλισμού</t>
        </is>
      </c>
    </row>
    <row r="33">
      <c r="A33" s="21" t="inlineStr">
        <is>
          <t>Σούστα (Σπείρα) — Διάμετρος Y &amp; Βήμα s</t>
        </is>
      </c>
      <c r="B33" s="22" t="n">
        <v>10</v>
      </c>
      <c r="C33" s="6" t="inlineStr">
        <is>
          <t>mm</t>
        </is>
      </c>
      <c r="D33" s="10" t="inlineStr">
        <is>
          <t>Βήμα s = 150 mm, Cover = 75 mm</t>
        </is>
      </c>
      <c r="E33" s="15" t="inlineStr">
        <is>
          <t>—</t>
        </is>
      </c>
      <c r="F33" s="10" t="inlineStr">
        <is>
          <t>Y10 ανά 15cm</t>
        </is>
      </c>
    </row>
    <row r="34">
      <c r="A34" s="21" t="inlineStr">
        <is>
          <t>Βάρος Σούστας ανά Πάσσαλο</t>
        </is>
      </c>
      <c r="B34" s="28">
        <f>ROUNDUP(B16/0.15, 0) * (PI()*((B15-150)/1000)) * (PI()*((B33/1000)^2)/4 * '1_Τιμές_Εταιρείας'!D26)</f>
        <v/>
      </c>
      <c r="C34" s="6" t="inlineStr">
        <is>
          <t>kg</t>
        </is>
      </c>
      <c r="D34" s="10" t="inlineStr">
        <is>
          <t>Σπείρες × Περίμετρος × kg/m</t>
        </is>
      </c>
      <c r="E34" s="28">
        <f>B34</f>
        <v/>
      </c>
      <c r="F34" s="10" t="inlineStr">
        <is>
          <t>Κιλά σούστας</t>
        </is>
      </c>
    </row>
    <row r="35">
      <c r="A35" s="7" t="inlineStr">
        <is>
          <t>ΣΥΝΟΛΙΚΟ ΒΑΡΟΣ ΧΑΛΥΒΑ ΑΝΑ ΠΑΣΣΑΛΟ</t>
        </is>
      </c>
      <c r="B35" s="28">
        <f>B32 + B34</f>
        <v/>
      </c>
      <c r="C35" s="6" t="inlineStr">
        <is>
          <t>kg</t>
        </is>
      </c>
      <c r="D35" s="10" t="inlineStr">
        <is>
          <t>Κάθετες + Σούστα</t>
        </is>
      </c>
      <c r="E35" s="28">
        <f>B35</f>
        <v/>
      </c>
      <c r="F35" s="10" t="inlineStr">
        <is>
          <t>Συνολικά κιλά ανά πάσσαλο</t>
        </is>
      </c>
    </row>
    <row r="36">
      <c r="A36" s="7" t="inlineStr">
        <is>
          <t>ΣΥΝΟΛΙΚΟ ΚΟΣΤΟΣ ΧΑΛΥΒΑ ΕΡΓΟΥ</t>
        </is>
      </c>
      <c r="B36" s="25">
        <f>B35 * B17 * '1_Τιμές_Εταιρείας'!D19</f>
        <v/>
      </c>
      <c r="C36" s="6" t="inlineStr">
        <is>
          <t>€</t>
        </is>
      </c>
      <c r="D36" s="10" t="inlineStr">
        <is>
          <t>kg/πάσσαλο × Πάσσαλοι × 1,10 €/kg</t>
        </is>
      </c>
      <c r="E36" s="25">
        <f>B36</f>
        <v/>
      </c>
      <c r="F36" s="10" t="inlineStr">
        <is>
          <t>Συνολικό κόστος σιδήρου B500C</t>
        </is>
      </c>
    </row>
    <row r="38" ht="22" customHeight="1">
      <c r="A38" s="19" t="inlineStr">
        <is>
          <t>4. ΥΠΟΛΟΓΙΣΤΗΣ ΥΨΟΜΕΤΡΩΝ, SLEEVES &amp; ΚΕΦΑΛΟΚΟΠΗΣ (ELEVATION, SLEEVES &amp; BREAKING)</t>
        </is>
      </c>
    </row>
    <row r="39" ht="22" customHeight="1">
      <c r="A39" s="4" t="inlineStr">
        <is>
          <t>Παράμετρος Έργου</t>
        </is>
      </c>
      <c r="B39" s="5" t="inlineStr">
        <is>
          <t>Τιμή / Εισαγωγή</t>
        </is>
      </c>
      <c r="C39" s="3" t="inlineStr">
        <is>
          <t>Μονάδα</t>
        </is>
      </c>
      <c r="D39" s="4" t="inlineStr">
        <is>
          <t>Τύπος Υπολογισμού</t>
        </is>
      </c>
      <c r="E39" s="5" t="inlineStr">
        <is>
          <t>Αποτέλεσμα</t>
        </is>
      </c>
      <c r="F39" s="4" t="inlineStr">
        <is>
          <t>Παρατηρήσεις</t>
        </is>
      </c>
    </row>
    <row r="40">
      <c r="A40" s="21" t="inlineStr">
        <is>
          <t>Στάθμη Πλατφόρμας Γεωτρύπανου (WPL)</t>
        </is>
      </c>
      <c r="B40" s="26" t="n">
        <v>0</v>
      </c>
      <c r="C40" s="6" t="inlineStr">
        <is>
          <t>m</t>
        </is>
      </c>
      <c r="D40" s="10" t="inlineStr">
        <is>
          <t>Εισαγωγή από τοπογραφικό σχεδίου</t>
        </is>
      </c>
      <c r="E40" s="27" t="inlineStr">
        <is>
          <t>—</t>
        </is>
      </c>
      <c r="F40" s="10" t="inlineStr">
        <is>
          <t>Στάθμη έναρξης διάτρησης</t>
        </is>
      </c>
    </row>
    <row r="41">
      <c r="A41" s="21" t="inlineStr">
        <is>
          <t>Στάθμη Αποκοπής Πασσάλου (Cut-Off Level)</t>
        </is>
      </c>
      <c r="B41" s="26" t="n">
        <v>0</v>
      </c>
      <c r="C41" s="6" t="inlineStr">
        <is>
          <t>m</t>
        </is>
      </c>
      <c r="D41" s="10" t="inlineStr">
        <is>
          <t>Εισαγωγή από ξυλότυπο θεμελίωσης</t>
        </is>
      </c>
      <c r="E41" s="27" t="inlineStr">
        <is>
          <t>—</t>
        </is>
      </c>
      <c r="F41" s="10" t="inlineStr">
        <is>
          <t>Στάθμη κεφαλής πασσάλου</t>
        </is>
      </c>
    </row>
    <row r="42">
      <c r="A42" s="7" t="inlineStr">
        <is>
          <t>Διαφορά Υψομέτρου Τρυπήματος - Cut-off (Δh)</t>
        </is>
      </c>
      <c r="B42" s="29">
        <f>B40-B41</f>
        <v/>
      </c>
      <c r="C42" s="6" t="inlineStr">
        <is>
          <t>m</t>
        </is>
      </c>
      <c r="D42" s="10" t="inlineStr">
        <is>
          <t>WPL − Cut-off Level (Κενή Διάτρηση)</t>
        </is>
      </c>
      <c r="E42" s="29">
        <f>B42</f>
        <v/>
      </c>
      <c r="F42" s="10" t="inlineStr">
        <is>
          <t>ΚΟΚΚΙΝΟΣ ΣΥΝΑΓΕΡΜΟΣ αν δεν δίνεται!</t>
        </is>
      </c>
    </row>
    <row r="43">
      <c r="A43" s="21" t="inlineStr">
        <is>
          <t>Ύψος Υπερκάλυψης Σκυροδέματος (Overconcreting)</t>
        </is>
      </c>
      <c r="B43" s="14">
        <f>IF(B42&gt;0, MIN('1_Τιμές_Εταιρείας'!D31, B42), 0.0)</f>
        <v/>
      </c>
      <c r="C43" s="6" t="inlineStr">
        <is>
          <t>m</t>
        </is>
      </c>
      <c r="D43" s="10" t="inlineStr">
        <is>
          <t>Έως +2.0m πάνω από cut-off αν Δh &gt; 0</t>
        </is>
      </c>
      <c r="E43" s="14">
        <f>B43</f>
        <v/>
      </c>
      <c r="F43" s="10" t="inlineStr">
        <is>
          <t>Κανόνας υγιούς σκυροδέματος κεφαλής</t>
        </is>
      </c>
    </row>
    <row r="44">
      <c r="A44" s="21" t="inlineStr">
        <is>
          <t>Συνολικό Βάθος Διάτρησης ανά Πάσσαλο (L_drill)</t>
        </is>
      </c>
      <c r="B44" s="14">
        <f>B16 + B42</f>
        <v/>
      </c>
      <c r="C44" s="6" t="inlineStr">
        <is>
          <t>m</t>
        </is>
      </c>
      <c r="D44" s="10" t="inlineStr">
        <is>
          <t>L_pile + Δh</t>
        </is>
      </c>
      <c r="E44" s="14">
        <f>B44</f>
        <v/>
      </c>
      <c r="F44" s="10" t="inlineStr">
        <is>
          <t>Συνολικό μήκος τρυπήματος</t>
        </is>
      </c>
    </row>
    <row r="45">
      <c r="A45" s="21" t="inlineStr">
        <is>
          <t>Sleeves Προστασίας Starter ανά Πάσσαλο</t>
        </is>
      </c>
      <c r="B45" s="12">
        <f>IF(B42&gt;0, B27, 0)</f>
        <v/>
      </c>
      <c r="C45" s="6" t="inlineStr">
        <is>
          <t>τεμ./πάσσαλο</t>
        </is>
      </c>
      <c r="D45" s="10" t="inlineStr">
        <is>
          <t>1 sleeve ανά κάθετη ράβδο αν Δh &gt; 0</t>
        </is>
      </c>
      <c r="E45" s="24">
        <f>B45</f>
        <v/>
      </c>
      <c r="F45" s="10" t="inlineStr">
        <is>
          <t>Προστασία αναμονών από το σκυρόδεμα</t>
        </is>
      </c>
    </row>
    <row r="46">
      <c r="A46" s="7" t="inlineStr">
        <is>
          <t>Κόστος Sleeves ανά Πάσσαλο</t>
        </is>
      </c>
      <c r="B46" s="25">
        <f>B45 * '1_Τιμές_Εταιρείας'!D22</f>
        <v/>
      </c>
      <c r="C46" s="6" t="inlineStr">
        <is>
          <t>€/πάσσαλο</t>
        </is>
      </c>
      <c r="D46" s="10" t="inlineStr">
        <is>
          <t>τεμ. sleeves × 3,50 €/τεμ.</t>
        </is>
      </c>
      <c r="E46" s="25">
        <f>B46</f>
        <v/>
      </c>
      <c r="F46" s="10" t="inlineStr">
        <is>
          <t>Κόστος τοποθέτησης sleeves</t>
        </is>
      </c>
    </row>
    <row r="47">
      <c r="A47" s="21" t="inlineStr">
        <is>
          <t>Κεφαλοκοπή / Pile Breaking ανά Πάσσαλο</t>
        </is>
      </c>
      <c r="B47" s="12">
        <f>IF(B42&gt;0, 1, 0)</f>
        <v/>
      </c>
      <c r="C47" s="6" t="inlineStr">
        <is>
          <t>τεμ./πάσσαλο</t>
        </is>
      </c>
      <c r="D47" s="10" t="inlineStr">
        <is>
          <t>1 σπάσιμο κεφαλής ανά πάσσαλο αν Δh &gt; 0</t>
        </is>
      </c>
      <c r="E47" s="24">
        <f>B47</f>
        <v/>
      </c>
      <c r="F47" s="10" t="inlineStr">
        <is>
          <t>Καθαίρεση overconcreting σκυροδέματος</t>
        </is>
      </c>
    </row>
    <row r="48">
      <c r="A48" s="7" t="inlineStr">
        <is>
          <t>Κόστος Κεφαλοκοπής ανά Πάσσαλο</t>
        </is>
      </c>
      <c r="B48" s="25">
        <f>B47 * '1_Τιμές_Εταιρείας'!D23</f>
        <v/>
      </c>
      <c r="C48" s="6" t="inlineStr">
        <is>
          <t>€/πάσσαλο</t>
        </is>
      </c>
      <c r="D48" s="10" t="inlineStr">
        <is>
          <t>1 τεμ. × 60,00 €/πάσσαλο</t>
        </is>
      </c>
      <c r="E48" s="25">
        <f>B48</f>
        <v/>
      </c>
      <c r="F48" s="10" t="inlineStr">
        <is>
          <t>Κόστος καθαίρεσης υπερύψωσης</t>
        </is>
      </c>
    </row>
  </sheetData>
  <mergeCells count="7">
    <mergeCell ref="A38:F38"/>
    <mergeCell ref="A2:F2"/>
    <mergeCell ref="A13:F13"/>
    <mergeCell ref="A1:F1"/>
    <mergeCell ref="A5:F5"/>
    <mergeCell ref="A4:F4"/>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showGridLines="1" workbookViewId="0">
      <selection activeCell="A1" sqref="A1"/>
    </sheetView>
  </sheetViews>
  <sheetFormatPr baseColWidth="8" defaultRowHeight="15"/>
  <cols>
    <col width="34" customWidth="1" min="1" max="1"/>
    <col width="115" customWidth="1" min="2" max="2"/>
  </cols>
  <sheetData>
    <row r="1">
      <c r="A1" s="1" t="inlineStr">
        <is>
          <t>ΚΑΝΟΝΕΣ ΤΙΜΟΚΑΤΑΛΟΓΟΥ ΠΑΣΣΑΛΩΝ &amp; ΠΟΛΙΤΙΚΗ ΑΠΟΥΣΙΑΣ ΥΛΙΚΟΥ (MISSING MATERIAL POLICY)</t>
        </is>
      </c>
    </row>
    <row r="3" ht="24" customHeight="1">
      <c r="A3" s="4" t="inlineStr">
        <is>
          <t>Θέμα / Πεδίο</t>
        </is>
      </c>
      <c r="B3" s="4" t="inlineStr">
        <is>
          <t>Κανόνας Λειτουργίας &amp; Οδηγία για το AI</t>
        </is>
      </c>
    </row>
    <row r="4">
      <c r="A4" s="7" t="inlineStr">
        <is>
          <t>Κανόνας Χρωματισμού</t>
        </is>
      </c>
      <c r="B4" s="30" t="inlineStr">
        <is>
          <t>• ΚΙΤΡΙΝΟ (#FFF2CC): Τιμές μονάδας που αλλάζουν με τους καιρούς / συνθήκες αγοράς.
• ΛΕΥΚΟ (Χωρίς γέμισμα): Φυσικές σταθερές (7850 kg/m³, π), γεωμετρία και δυναμικοί τύποι.
• ΓΑΛΑΖΙΟ (#DDEBF7): Εισαγωγή στοιχείων ανά έργο στους διαδραστικούς υπολογιστές.
• ΚΟΚΚΙΝΟ (#FEE2E2): Συναγερμός ελλιπών δεδομένων (Missing Elevation / Cut-Off Gap).</t>
        </is>
      </c>
    </row>
    <row r="5">
      <c r="A5" s="7" t="inlineStr">
        <is>
          <t>Κανόνας Μετακινήσεων &amp; Επιμερισμού</t>
        </is>
      </c>
      <c r="B5" s="30" t="inlineStr">
        <is>
          <t>Το ποσό μετακίνησης γεωτρύπανου είναι εφάπαξ ανά εργοτάξιο και επιμερίζεται ισόποσα στο κόστος ανά πάσσαλο:
Τιμή ανά πάσσαλο = Συνολικό Κόστος Μετακίνησης / Αριθμός Πασσάλων Έργου.
Εάν στο έργο δεν χρεώνονται μετακινήσεις, τίθεται 0.00 €.</t>
        </is>
      </c>
    </row>
    <row r="6">
      <c r="A6" s="7" t="inlineStr">
        <is>
          <t>Κανόνας Τρυπήματος (Διάτρησης)</t>
        </is>
      </c>
      <c r="B6" s="30" t="inlineStr">
        <is>
          <t>Το τρύπημα τιμολογείται ΑΠΟΚΛΕΙΣΤΙΚΑ σε τρέχοντα μέτρα (m) βάσει της ονομαστικής διαμέτρου της τρύπας (Ø400, Ø500, Ø600, Ø700, Ø800, Ø900, Ø1000, Ø1200mm).
Εάν υπάρχει διαφορά στάθμης πλατφόρμας έναντι cut-off (Δh &gt; 0), τα τρέχοντα μέτρα ισούνται με το συνολικό βάθος L_drill = L_pile + Δh.
Σε περίπτωση σκληρού βράχου, εφαρμόζεται πρόσθετη χρέωση ανά μέτρο.</t>
        </is>
      </c>
    </row>
    <row r="7">
      <c r="A7" s="7" t="inlineStr">
        <is>
          <t>Κανόνας Σκυροδέματος (Κουγκρί)</t>
        </is>
      </c>
      <c r="B7" s="30" t="inlineStr">
        <is>
          <t>Το σκυρόδεμα τιμολογείται ανά κυβικό μέτρο (m³) έτοιμου σκυροδέματος (C25/30 ή C30/37).
Στον γεωμετρικό όγκο της οπής προστίθεται υποχρεωτικά συντελεστής απώλειας / υπερκατανάλωσης +10% (V_conc = V_exc × 1.10) για κάλυψη κοιλοτήτων και απωλειών εδάφους.</t>
        </is>
      </c>
    </row>
    <row r="8">
      <c r="A8" s="7" t="inlineStr">
        <is>
          <t>Κανόνας Χάλυβα Οπλισμού (Κλωβοί B500C)</t>
        </is>
      </c>
      <c r="B8" s="30" t="inlineStr">
        <is>
          <t>Ο σίδηρος τιμολογείται ΑΠΟΚΛΕΙΣΤΙΚΑ με βάση το βάρος σε ευρώ ανά κιλό (€/kg) ενιαία (1,10 €/kg) τόσο για τις κάθετες ράβδους όσο και για τη σούστα (σπείρα).
Τα κιλά υπολογίζονται από τον ενιαίο πίνακα βαρών (Φύλλο 2).
Εάν το μήκος της κάθετης ράβδου υπερβαίνει τα 12.00 m, υπολογίζεται υποχρεωτικά μάτιση (lapping) μήκους τουλάχιστον 50 φορές τη διάμετρο (50Φ).</t>
        </is>
      </c>
    </row>
    <row r="9">
      <c r="A9" s="7" t="inlineStr">
        <is>
          <t>Κανόνας Στάθμης Cut-off &amp; Υψομετρικής Διαφοράς (Κενή Διάτρηση / Empty Bore)</t>
        </is>
      </c>
      <c r="B9" s="30" t="inlineStr">
        <is>
          <t>Όταν η διάτρηση ξεκινά από στάθμη πλατφόρμας (WPL) υψηλότερη από τη στάθμη αποκοπής (Cut-off Level), υπάρχει υψομετρική διαφορά Δh = WPL − Cut-off.
Σε αυτή την περίπτωση, το τρύπημα αυξάνεται κατά Δh (L_drill = L_pile + Δh), καθιστώντας τον όγκο διάτρησης μεγαλύτερο από τον όγκο σκυροδέτησης.</t>
        </is>
      </c>
    </row>
    <row r="10">
      <c r="A10" s="7" t="inlineStr">
        <is>
          <t>Κανόνας Υπερκάλυψης Σκυροδέματος (+2.00m Overconcreting)</t>
        </is>
      </c>
      <c r="B10" s="30" t="inlineStr">
        <is>
          <t>Για λόγους διατήρησης καθαρού και υγιούς σκυροδέματος στο σώμα του πασσάλου, το σκυρόδεμα υπερβαίνει το Cut-off Level κατά έως +2.00 μέτρα (h_overc = MIN(2.0, Δh)).
Εάν η διαφορά Δh είναι μικρότερη των 2.0 μέτρων, το σκυρόδεμα φτάνει μέχρι τη στάθμη πλατφόρμας.</t>
        </is>
      </c>
    </row>
    <row r="11">
      <c r="A11" s="7" t="inlineStr">
        <is>
          <t>Κανόνας Sleeves Αναμονών Starter (Debonding Sleeves)</t>
        </is>
      </c>
      <c r="B11" s="30" t="inlineStr">
        <is>
          <t>Εφόσον το σκυρόδεμα υπερκαλύψει τα starter bars (αναμονές), τοποθετούνται υποχρεωτικά προστατευτικά sleeves σε κάθε κάθετη ράβδο (N_vert τεμάχια ανά πάσσαλο, 3,50 €/τεμ.).
Τα sleeves αποτρέπουν την πρόσφυση του σκυροδέματος στις αναμονές ώστε να σπάσει η κεφαλή χωρίς να καταστραφεί ο οπλισμός σύνδεσης με το πέδιλο.</t>
        </is>
      </c>
    </row>
    <row r="12">
      <c r="A12" s="7" t="inlineStr">
        <is>
          <t>Κανόνας Κεφαλοκοπής Πασσάλου (Pile Breaking / Cropping)</t>
        </is>
      </c>
      <c r="B12" s="30" t="inlineStr">
        <is>
          <t>Όταν υπάρχει overconcreting (Δh &gt; 0), απαιτείται καθαίρεση και σπάσιμο του υπερυψωμένου σκυροδέματος μέχρι τη στάθμη Cut-Off Level με υδραυλικό κόφτη ή χειροκίνητα εργαλεία.
Χρεώνεται 1 τεμάχιο κεφαλοκοπής ανά πάσσαλο (60,00 €/πάσσαλο).</t>
        </is>
      </c>
    </row>
    <row r="13">
      <c r="A13" s="31" t="inlineStr">
        <is>
          <t>ΚΑΝΟΝΑΣ ΚΟΚΚΙΝΟΥ ΣΥΝΑΓΕΡΜΟΥ (RED ALERT ΣΕ ΕΛΛΕΙΨΗ ΥΨΟΜΕΤΡΩΝ ΣΧΕΔΙΟΥ)</t>
        </is>
      </c>
      <c r="B13" s="32" t="inlineStr">
        <is>
          <t>Πολλές φορές από τα σχέδια δεν φαίνεται η υψομετρική διαφορά τρυπήματος - cut-off:
-&gt; Το AI θέτει προσωρινά Δh = 0.00m, αλλά υποχρεούται να το χρωματίσει με ΚΟΚΚΙΝΟ ΣΥΝΑΓΕΡΜΟ (#FEE2E2 / #991B1B) στο Φύλλο 2 και να εμφανίσει κόκκινο warning banner στην κορυφή του Φύλλου 1.
-&gt; ΑΠΑΓΟΡΕΥΕΤΑΙ ΑΥΣΤΗΡΑ η αποστολή προσφοράς στον πελάτη χωρίς ρητή ειδοποίηση ότι εκκρεμεί επιβεβαίωση της στάθμης εργασίας, ώστε να μην υποτιμηθούν τα μέτρα διάτρησης, τα sleeves και η κεφαλοκοπή!</t>
        </is>
      </c>
    </row>
    <row r="14">
      <c r="A14" s="33" t="inlineStr">
        <is>
          <t>ΚΑΝΟΝΑΣ ΑΠΟΥΣΙΑΣ ΥΛΙΚΟΥ (ΥΠΟΧΡΕΩΤΙΚΟ ΜΗΝΥΜΑ AI)</t>
        </is>
      </c>
      <c r="B14" s="34" t="inlineStr">
        <is>
          <t>Εάν ο μελετητής ζητήσει διάμετρο πασσάλου ή υλικό που ΔΕΝ υπάρχει στον παρόντα τιμοκατάλογο πασσάλων (π.χ. διάμετρος Ø1400mm, ειδική κατηγορία σκυροδέματος C40/50, διατομή εκτός πίνακα Y6–Y40, ανοξείδωτο χάλυβα, ειδικούς αποστάτες):
-&gt; Το σύστημα AI ΑΠΑΓΟΡΕΥΕΤΑΙ ΑΥΣΤΗΡΑ να μαντέψει ή να εφεύρει τιμή!
-&gt; Το σύστημα ΣΤΑΜΑΤΑΕΙ και εμφανίζει στον χρήστη ρητά το μήνυμα:
   «Δεν υπάρχει αυτό το είδος ([Όνομα Είδους]) στον τιμοκατάλογο πασσάλων. Καθοδήγησέ με με τιμή να ξέρω.»
-&gt; Μόνο αφού ο χρήστης δώσει την τιμή, η κοστολόγηση προχωρά.</t>
        </is>
      </c>
    </row>
    <row r="15">
      <c r="A15" s="7" t="inlineStr">
        <is>
          <t>Κανόνας Απόστασης (Έδρα Άγιος Συλάς)</t>
        </is>
      </c>
      <c r="B15" s="30" t="inlineStr">
        <is>
          <t>Αφετηρία: Άγιος Συλάς, Σπύρου Κυπριανού 32, Λεμεσός.
• Ζώνη 1 (0 – 50 km): Βασική τιμή μετακίνησης γεωτρύπανου (500 €).
• Κάθε επιπλέον 50 km (ή μέρος αυτών): +100,00 € ανά μετακίνηση αυτόματα.</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2026-10-14T10:23:48Z</dcterms:created>
  <dcterms:modified xmlns:dcterms="http://purl.org/dc/terms/" xmlns:xsi="http://www.w3.org/2001/XMLSchema-instance" xsi:type="dcterms:W3CDTF">2026-10-14T10:23:48Z</dcterms:modified>
</cp:coreProperties>
</file>