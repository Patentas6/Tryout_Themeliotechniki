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797F3335-49AE-4E1B-BAE4-6AEF95B810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Οικονομική Προσφορά" sheetId="1" r:id="rId1"/>
    <sheet name="Τεχνικοί Υπολογισμοί" sheetId="2" r:id="rId2"/>
  </sheets>
  <definedNames>
    <definedName name="N_b2_breaking_price">'Τεχνικοί Υπολογισμοί'!$E$59</definedName>
    <definedName name="N_b2_breaking_qty">'Τεχνικοί Υπολογισμοί'!$D$59</definedName>
    <definedName name="N_b2_breaking_total">'Τεχνικοί Υπολογισμοί'!$F$59</definedName>
    <definedName name="N_b2_conc_price">'Τεχνικοί Υπολογισμοί'!$E$53</definedName>
    <definedName name="N_b2_conc_qty">'Τεχνικοί Υπολογισμοί'!$D$53</definedName>
    <definedName name="N_b2_conc_total">'Τεχνικοί Υπολογισμοί'!$F$53</definedName>
    <definedName name="N_b2_drill_800_price">'Τεχνικοί Υπολογισμοί'!$E$52</definedName>
    <definedName name="N_b2_drill_800_qty">'Τεχνικοί Υπολογισμοί'!$D$52</definedName>
    <definedName name="N_b2_drill_800_total">'Τεχνικοί Υπολογισμοί'!$F$52</definedName>
    <definedName name="N_b2_grand_total">'Τεχνικοί Υπολογισμοί'!$F$60</definedName>
    <definedName name="N_b2_mob_price">'Τεχνικοί Υπολογισμοί'!$E$51</definedName>
    <definedName name="N_b2_mob_qty">'Τεχνικοί Υπολογισμοί'!$D$51</definedName>
    <definedName name="N_b2_mob_total">'Τεχνικοί Υπολογισμοί'!$F$51</definedName>
    <definedName name="N_b2_sleeve_price">'Τεχνικοί Υπολογισμοί'!$E$58</definedName>
    <definedName name="N_b2_sleeve_qty">'Τεχνικοί Υπολογισμοί'!$D$58</definedName>
    <definedName name="N_b2_sleeve_total">'Τεχνικοί Υπολογισμοί'!$F$58</definedName>
    <definedName name="N_b2_steel_head_price">'Τεχνικοί Υπολογισμοί'!$E$56</definedName>
    <definedName name="N_b2_steel_head_qty">'Τεχνικοί Υπολογισμοί'!$D$56</definedName>
    <definedName name="N_b2_steel_head_total">'Τεχνικοί Υπολογισμοί'!$F$56</definedName>
    <definedName name="N_b2_steel_price">'Τεχνικοί Υπολογισμοί'!$E$57</definedName>
    <definedName name="N_b2_steel_qty">'Τεχνικοί Υπολογισμοί'!$D$57</definedName>
    <definedName name="N_b2_steel_spiral_price">'Τεχνικοί Υπολογισμοί'!$E$55</definedName>
    <definedName name="N_b2_steel_spiral_qty">'Τεχνικοί Υπολογισμοί'!$D$55</definedName>
    <definedName name="N_b2_steel_spiral_total">'Τεχνικοί Υπολογισμοί'!$F$55</definedName>
    <definedName name="N_b2_steel_total">'Τεχνικοί Υπολογισμοί'!$F$57</definedName>
    <definedName name="N_b2_steel_vert_price">'Τεχνικοί Υπολογισμοί'!$E$54</definedName>
    <definedName name="N_b2_steel_vert_qty">'Τεχνικοί Υπολογισμοί'!$D$54</definedName>
    <definedName name="N_b2_steel_vert_total">'Τεχνικοί Υπολογισμοί'!$F$54</definedName>
    <definedName name="N_c_barlen">'Τεχνικοί Υπολογισμοί'!$D$66</definedName>
    <definedName name="N_c_density">'Τεχνικοί Υπολογισμοί'!$D$65</definedName>
    <definedName name="N_c_lap">'Τεχνικοί Υπολογισμοί'!$D$67</definedName>
    <definedName name="N_c_loss">'Τεχνικοί Υπολογισμοί'!$D$64</definedName>
    <definedName name="N_c_overc">'Τεχνικοί Υπολογισμοί'!$D$68</definedName>
    <definedName name="N_c_pi">'Τεχνικοί Υπολογισμοί'!$D$69</definedName>
    <definedName name="N_c_starter_off">'Τεχνικοί Υπολογισμοί'!$D$70</definedName>
    <definedName name="N_c_top_bend">'Τεχνικοί Υπολογισμοί'!$D$71</definedName>
    <definedName name="N_conc_class">'Τεχνικοί Υπολογισμοί'!$D$17</definedName>
    <definedName name="N_cover_mm">'Τεχνικοί Υπολογισμοί'!$D$18</definedName>
    <definedName name="N_dist_km">'Τεχνικοί Υπολογισμοί'!$D$7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Υπολογισμοί'!$D$96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Υπολογισμοί'!$D$81</definedName>
    <definedName name="N_g0_D_mm">'Τεχνικοί Υπολογισμοί'!$D$23</definedName>
    <definedName name="N_g0_dh">'Τεχνικοί Υπολογισμοί'!$D$75</definedName>
    <definedName name="N_g0_end_zone">'Τεχνικοί Υπολογισμοί'!$D$34</definedName>
    <definedName name="N_g0_extra_len">'Τεχνικοί Υπολογισμοί'!$D$39</definedName>
    <definedName name="N_g0_extra_n">'Τεχνικοί Υπολογισμοί'!$D$37</definedName>
    <definedName name="N_g0_extra_y">'Τεχνικοί Υπολογισμοί'!$D$38</definedName>
    <definedName name="N_g0_h_overc">'Τεχνικοί Υπολογισμοί'!$D$76</definedName>
    <definedName name="N_g0_head_links">'Τεχνικοί Υπολογισμοί'!$D$36</definedName>
    <definedName name="N_g0_L_bar">'Τεχνικοί Υπολογισμοί'!$D$85</definedName>
    <definedName name="N_g0_L_base">'Τεχνικοί Υπολογισμοί'!$D$83</definedName>
    <definedName name="N_g0_L_conc">'Τεχνικοί Υπολογισμοί'!$D$79</definedName>
    <definedName name="N_g0_L_drill">'Τεχνικοί Υπολογισμοί'!$D$77</definedName>
    <definedName name="N_g0_L_pile">'Τεχνικοί Υπολογισμοί'!$D$24</definedName>
    <definedName name="N_g0_n_head">'Τεχνικοί Υπολογισμοί'!$D$91</definedName>
    <definedName name="N_g0_n_laps">'Τεχνικοί Υπολογισμοί'!$D$84</definedName>
    <definedName name="N_g0_n_turns">'Τεχνικοί Υπολογισμοί'!$D$88</definedName>
    <definedName name="N_g0_n_vert">'Τεχνικοί Υπολογισμοί'!$D$27</definedName>
    <definedName name="N_g0_P_cage">'Τεχνικοί Υπολογισμοί'!$D$82</definedName>
    <definedName name="N_g0_raft">'Τεχνικοί Υπολογισμοί'!$D$26</definedName>
    <definedName name="N_g0_s_end">'Τεχνικοί Υπολογισμοί'!$D$33</definedName>
    <definedName name="N_g0_s_mid">'Τεχνικοί Υπολογισμοί'!$D$35</definedName>
    <definedName name="N_g0_sleeves">'Τεχνικοί Υπολογισμοί'!$D$95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Υπολογισμοί'!$D$80</definedName>
    <definedName name="N_g0_V_exc">'Τεχνικοί Υπολογισμοί'!$D$78</definedName>
    <definedName name="N_g0_W_extra">'Τεχνικοί Υπολογισμοί'!$D$93</definedName>
    <definedName name="N_g0_W_head">'Τεχνικοί Υπολογισμοί'!$D$92</definedName>
    <definedName name="N_g0_W_spiral">'Τεχνικοί Υπολογισμοί'!$D$90</definedName>
    <definedName name="N_g0_W_total">'Τεχνικοί Υπολογισμοί'!$D$94</definedName>
    <definedName name="N_g0_W_vert">'Τεχνικοί Υπολογισμοί'!$D$87</definedName>
    <definedName name="N_g0_y_spiral">'Τεχνικοί Υπολογισμοί'!$D$32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Υπολογισμοί'!$E$96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Υπολογισμοί'!$E$81</definedName>
    <definedName name="N_g1_D_mm">'Τεχνικοί Υπολογισμοί'!$E$23</definedName>
    <definedName name="N_g1_dh">'Τεχνικοί Υπολογισμοί'!$E$75</definedName>
    <definedName name="N_g1_end_zone">'Τεχνικοί Υπολογισμοί'!$E$34</definedName>
    <definedName name="N_g1_extra_len">'Τεχνικοί Υπολογισμοί'!$E$39</definedName>
    <definedName name="N_g1_extra_n">'Τεχνικοί Υπολογισμοί'!$E$37</definedName>
    <definedName name="N_g1_extra_y">'Τεχνικοί Υπολογισμοί'!$E$38</definedName>
    <definedName name="N_g1_h_overc">'Τεχνικοί Υπολογισμοί'!$E$76</definedName>
    <definedName name="N_g1_head_links">'Τεχνικοί Υπολογισμοί'!$E$36</definedName>
    <definedName name="N_g1_L_bar">'Τεχνικοί Υπολογισμοί'!$E$85</definedName>
    <definedName name="N_g1_L_base">'Τεχνικοί Υπολογισμοί'!$E$83</definedName>
    <definedName name="N_g1_L_conc">'Τεχνικοί Υπολογισμοί'!$E$79</definedName>
    <definedName name="N_g1_L_drill">'Τεχνικοί Υπολογισμοί'!$E$77</definedName>
    <definedName name="N_g1_L_pile">'Τεχνικοί Υπολογισμοί'!$E$24</definedName>
    <definedName name="N_g1_n_head">'Τεχνικοί Υπολογισμοί'!$E$91</definedName>
    <definedName name="N_g1_n_laps">'Τεχνικοί Υπολογισμοί'!$E$84</definedName>
    <definedName name="N_g1_n_turns">'Τεχνικοί Υπολογισμοί'!$E$88</definedName>
    <definedName name="N_g1_n_vert">'Τεχνικοί Υπολογισμοί'!$E$27</definedName>
    <definedName name="N_g1_P_cage">'Τεχνικοί Υπολογισμοί'!$E$82</definedName>
    <definedName name="N_g1_raft">'Τεχνικοί Υπολογισμοί'!$E$26</definedName>
    <definedName name="N_g1_s_end">'Τεχνικοί Υπολογισμοί'!$E$33</definedName>
    <definedName name="N_g1_s_mid">'Τεχνικοί Υπολογισμοί'!$E$35</definedName>
    <definedName name="N_g1_sleeves">'Τεχνικοί Υπολογισμοί'!$E$95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Υπολογισμοί'!$E$80</definedName>
    <definedName name="N_g1_V_exc">'Τεχνικοί Υπολογισμοί'!$E$78</definedName>
    <definedName name="N_g1_W_extra">'Τεχνικοί Υπολογισμοί'!$E$93</definedName>
    <definedName name="N_g1_W_head">'Τεχνικοί Υπολογισμοί'!$E$92</definedName>
    <definedName name="N_g1_W_spiral">'Τεχνικοί Υπολογισμοί'!$E$90</definedName>
    <definedName name="N_g1_W_total">'Τεχνικοί Υπολογισμοί'!$E$94</definedName>
    <definedName name="N_g1_W_vert">'Τεχνικοί Υπολογισμοί'!$E$87</definedName>
    <definedName name="N_g1_y_spiral">'Τεχνικοί Υπολογισμοί'!$E$32</definedName>
    <definedName name="N_g1_y_vert">'Τεχνικοί Υπολογισμοί'!$E$28</definedName>
    <definedName name="N_grand_total">'Οικονομική Προσφορά'!$F$14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mob_base">'Τεχνικοί Υπολογισμοί'!$D$10</definedName>
    <definedName name="N_p_mob_extra">'Τεχνικοί Υπολογισμοί'!$D$11</definedName>
    <definedName name="N_q_breaking">'Τεχνικοί Υπολογισμοί'!$D$47</definedName>
    <definedName name="N_q_breaking_n">'Τεχνικοί Υπολογισμοί'!$E$47</definedName>
    <definedName name="N_q_conc">'Τεχνικοί Υπολογισμοί'!$D$44</definedName>
    <definedName name="N_q_conc_n">'Τεχνικοί Υπολογισμοί'!$E$44</definedName>
    <definedName name="N_q_drill_800">'Τεχνικοί Υπολογισμοί'!$D$43</definedName>
    <definedName name="N_q_drill_800_n">'Τεχνικοί Υπολογισμοί'!$E$43</definedName>
    <definedName name="N_q_sleeve">'Τεχνικοί Υπολογισμοί'!$D$46</definedName>
    <definedName name="N_q_sleeve_n">'Τεχνικοί Υπολογισμοί'!$E$46</definedName>
    <definedName name="N_q_steel">'Τεχνικοί Υπολογισμοί'!$D$45</definedName>
    <definedName name="N_q_steel_n">'Τεχνικοί Υπολογισμοί'!$E$45</definedName>
    <definedName name="N_t_breaking">'Τεχνικοί Υπολογισμοί'!$F$96</definedName>
    <definedName name="N_t_count">'Τεχνικοί Υπολογισμοί'!$F$22</definedName>
    <definedName name="N_t_L_drill">'Τεχνικοί Υπολογισμοί'!$F$77</definedName>
    <definedName name="N_t_sleeves">'Τεχνικοί Υπολογισμοί'!$F$95</definedName>
    <definedName name="N_t_V_conc">'Τεχνικοί Υπολογισμοί'!$F$80</definedName>
    <definedName name="N_t_V_exc">'Τεχνικοί Υπολογισμοί'!$F$78</definedName>
    <definedName name="N_t_W_extra">'Τεχνικοί Υπολογισμοί'!$F$93</definedName>
    <definedName name="N_t_W_head">'Τεχνικοί Υπολογισμοί'!$F$92</definedName>
    <definedName name="N_t_W_spiral">'Τεχνικοί Υπολογισμοί'!$F$90</definedName>
    <definedName name="N_t_W_total">'Τεχνικοί Υπολογισμοί'!$F$94</definedName>
    <definedName name="N_t_W_vert">'Τεχνικοί Υπολογισμοί'!$F$87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1" i="2" l="1"/>
  <c r="D91" i="2"/>
  <c r="E88" i="2"/>
  <c r="D88" i="2"/>
  <c r="E83" i="2"/>
  <c r="D83" i="2"/>
  <c r="E81" i="2"/>
  <c r="D81" i="2"/>
  <c r="E75" i="2"/>
  <c r="E77" i="2" s="1"/>
  <c r="D75" i="2"/>
  <c r="D77" i="2" s="1"/>
  <c r="D69" i="2"/>
  <c r="E43" i="2"/>
  <c r="F22" i="2"/>
  <c r="D13" i="2"/>
  <c r="D9" i="2"/>
  <c r="D12" i="2" s="1"/>
  <c r="D14" i="2" s="1"/>
  <c r="C8" i="1"/>
  <c r="E84" i="2" l="1"/>
  <c r="E85" i="2" s="1"/>
  <c r="D84" i="2"/>
  <c r="D85" i="2" s="1"/>
  <c r="F77" i="2"/>
  <c r="D43" i="2"/>
  <c r="E95" i="2"/>
  <c r="E76" i="2"/>
  <c r="E79" i="2" s="1"/>
  <c r="E96" i="2"/>
  <c r="D96" i="2"/>
  <c r="F96" i="2" s="1"/>
  <c r="D47" i="2" s="1"/>
  <c r="D95" i="2"/>
  <c r="F95" i="2" s="1"/>
  <c r="D46" i="2" s="1"/>
  <c r="D76" i="2"/>
  <c r="D79" i="2" s="1"/>
  <c r="D80" i="2" s="1"/>
  <c r="E89" i="2"/>
  <c r="D89" i="2"/>
  <c r="D93" i="2"/>
  <c r="E93" i="2"/>
  <c r="E86" i="2"/>
  <c r="D86" i="2"/>
  <c r="E82" i="2"/>
  <c r="D82" i="2"/>
  <c r="E80" i="2"/>
  <c r="E78" i="2"/>
  <c r="D78" i="2"/>
  <c r="F78" i="2" s="1"/>
  <c r="E44" i="2"/>
  <c r="E45" i="2"/>
  <c r="D51" i="2"/>
  <c r="E47" i="2"/>
  <c r="E46" i="2"/>
  <c r="E51" i="2"/>
  <c r="E8" i="1"/>
  <c r="F8" i="1" s="1"/>
  <c r="E87" i="2" l="1"/>
  <c r="D87" i="2"/>
  <c r="F93" i="2"/>
  <c r="F80" i="2"/>
  <c r="D44" i="2" s="1"/>
  <c r="F87" i="2"/>
  <c r="D54" i="2" s="1"/>
  <c r="F54" i="2" s="1"/>
  <c r="F43" i="2"/>
  <c r="C9" i="1"/>
  <c r="F9" i="1" s="1"/>
  <c r="G9" i="1" s="1"/>
  <c r="D52" i="2"/>
  <c r="F52" i="2" s="1"/>
  <c r="C13" i="1"/>
  <c r="F13" i="1" s="1"/>
  <c r="G13" i="1" s="1"/>
  <c r="F47" i="2"/>
  <c r="D59" i="2"/>
  <c r="F59" i="2" s="1"/>
  <c r="C12" i="1"/>
  <c r="F12" i="1" s="1"/>
  <c r="G12" i="1" s="1"/>
  <c r="D58" i="2"/>
  <c r="F58" i="2" s="1"/>
  <c r="F46" i="2"/>
  <c r="E90" i="2"/>
  <c r="E92" i="2"/>
  <c r="D90" i="2"/>
  <c r="D92" i="2"/>
  <c r="F51" i="2"/>
  <c r="G8" i="1"/>
  <c r="C10" i="1" l="1"/>
  <c r="F10" i="1" s="1"/>
  <c r="G10" i="1" s="1"/>
  <c r="D53" i="2"/>
  <c r="F53" i="2" s="1"/>
  <c r="F44" i="2"/>
  <c r="E94" i="2"/>
  <c r="F92" i="2"/>
  <c r="D56" i="2" s="1"/>
  <c r="F56" i="2" s="1"/>
  <c r="F90" i="2"/>
  <c r="D55" i="2" s="1"/>
  <c r="F55" i="2" s="1"/>
  <c r="D94" i="2"/>
  <c r="F94" i="2" s="1"/>
  <c r="D45" i="2" s="1"/>
  <c r="C11" i="1" l="1"/>
  <c r="F11" i="1" s="1"/>
  <c r="D57" i="2"/>
  <c r="F57" i="2" s="1"/>
  <c r="F60" i="2" s="1"/>
  <c r="F45" i="2"/>
  <c r="F14" i="1" l="1"/>
  <c r="G14" i="1" s="1"/>
  <c r="G11" i="1"/>
</calcChain>
</file>

<file path=xl/sharedStrings.xml><?xml version="1.0" encoding="utf-8"?>
<sst xmlns="http://schemas.openxmlformats.org/spreadsheetml/2006/main" count="481" uniqueCount="343">
  <si>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</si>
  <si>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(Ζώνη 2: 51–100 km από Άγιο Συλά Λεμεσού)</t>
  </si>
  <si>
    <t>Α/Α</t>
  </si>
  <si>
    <t>Περιγραφή Εργασίας / Υλικού</t>
  </si>
  <si>
    <t>Ποσότητα</t>
  </si>
  <si>
    <t>Μονάδα</t>
  </si>
  <si>
    <t>Τιμή Μονάδας (€)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</si>
  <si>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</si>
  <si>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</si>
  <si>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</si>
  <si>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</si>
  <si>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</si>
  <si>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</si>
  <si>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</si>
  <si>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</si>
  <si>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</si>
  <si>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Σκυροδέτηση πασσάλων C40/50 (με απώλεια 10%)</t>
  </si>
  <si>
    <t>m³</t>
  </si>
  <si>
    <t>4</t>
  </si>
  <si>
    <t>Χάλυβας οπλισμού B500C (κάθετες ράβδοι, σούστα, πρόσθετος οπλισμός)</t>
  </si>
  <si>
    <t>kg</t>
  </si>
  <si>
    <t>5</t>
  </si>
  <si>
    <t>Sleeves προστασίας starter αναμονών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</si>
  <si>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</si>
  <si>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</si>
  <si>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</si>
  <si>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</si>
  <si>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ΠΑΡΑΤΗΡΗΣΕΙΣ:</t>
  </si>
  <si>
    <t>1. Στις τιμές ΔΕΝ περιλαμβάνεται ο Φ.Π.Α.</t>
  </si>
  <si>
    <t>2. Η πηγή κάθε στοιχείου (σχέδιο / μέτρηση / κανονισμός / παραδοχή) αναγράφεται στο Φύλλο «Τεχνικοί Υπολογισμοί», Ενότητα 5.</t>
  </si>
  <si>
    <t>3. Γραμμή 1: προέλευση τιμής — Τιμοκατάλογος (γρ. 5).</t>
  </si>
  <si>
    <t>4. Γραμμή 2: προέλευση τιμής — Τιμοκατάλογος (γρ. 11).</t>
  </si>
  <si>
    <t>5. Γραμμή 3: προέλευση τιμής — Τιμή χρήστη (εκτός τιμοκαταλόγου).</t>
  </si>
  <si>
    <t>6. Γραμμή 4: προέλευση τιμής — Τιμοκατάλογος (γρ. 19).</t>
  </si>
  <si>
    <t>7. Γραμμή 5: προέλευση τιμής — Τιμοκατάλογος (γρ. 22).</t>
  </si>
  <si>
    <t>8. Γραμμή 6: προέλευση τιμής — Τιμοκατάλογος (γρ. 23).</t>
  </si>
  <si>
    <t>9. Η διάτρηση εκτελείται από τη στάθμη πλατφόρμας WPL = +0.00 m: για τους 17 πασσάλους (P1–P6, P8–P18, Cut-Off = -3.475 m, Δh = 3.475 m) το βάθος διάτρησης είναι L_drill = 15.525 + 3.475 = 19.00 m, ενώ για τον πάσσαλο P7 (φρέαρ ανελκυστήρα, Cut-Off = -4.375 m, Δh = 4.375 m) ο σκυροδετημένος πάσσαλος διατηρεί το ίδιο ενεργό μήκος L_pile = 15.525 m και τρυπιέται 0.90 m βαθύτερα (L_drill = 15.525 + 4.375 = 19.90 m). Συνολικά μέτρα διάτρησης: 342.90 m.</t>
  </si>
  <si>
    <t>10. Σκυροδέτηση με υπερκάλυψη +2.00 m (h_overc = min(2.00, Δh) = 2.00 m) πάνω από τη στάθμη Cut-Off για εξασφάλιση υγιούς κεφαλής πασσάλου, προστατευτικά sleeves στις 16 αναμονές Y20 και κεφαλοκοπή (pile breaking στα 150,00 €/τεμ.).</t>
  </si>
  <si>
    <t>11. Παραδοχή: Διόρθωση λάθους μελέτης στον πάσσαλο P7: το ενεργό σκυροδετημένο μήκος (L_pile) παραμένει 15.525 m (όπως στους υπόλοιπους 17 πασσάλους) και προστίθεται στη διάτρηση η υψομετρική διαφορά των 0.90 m (L_drill = 19.90 m αντί 19.00 m).</t>
  </si>
  <si>
    <t>12. Παραδοχή: Τιμή σκυροδέματος C40/50: 125,00 €/m³ κατόπιν οδηγίας χρήστη (εκτός βασικού τιμοκαταλόγου).</t>
  </si>
  <si>
    <t>13. Παραδοχή: Γωνία πάνω (top bend) = 0.00 m και γωνία πυθμένα (bottom bend) = 0.00 m βάσει του σχεδίου S4.2 και οδηγίας χρήστη.</t>
  </si>
  <si>
    <t>14. Παραδοχή: Σπείρες σούστας στο σώμα πασσάλου (κάτω από Cut-Off): ROUNDUP(15.525 / 0.150, 0) + 1 = 105 σπείρες + 7 συνδετήρες starter (πάνω από Cut-Off, χωρίς +1) = 112 τεμ. ανά πάσσαλο.</t>
  </si>
  <si>
    <t>15. Πληρωμή βάσει επιμετρήσεων πραγματικά εκτελεσθέντων μέτρων και κιλών οπλισμού.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</si>
  <si>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</si>
  <si>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v5.1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</si>
  <si>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</si>
  <si>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</si>
  <si>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</si>
  <si>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</si>
  <si>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</si>
  <si>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</t>
  </si>
  <si>
    <t>1.1.1</t>
  </si>
  <si>
    <t>Οδική απόσταση έργου από έδρα (Άγιος Συλάς)</t>
  </si>
  <si>
    <t>km</t>
  </si>
  <si>
    <t>Ζώνη 2 (Λάρνακα, 51–100 km από έδρα Άγιο Συλά Λεμεσού) — οδηγία χρήστη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</si>
  <si>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</si>
  <si>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</si>
  <si>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</si>
  <si>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</si>
  <si>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</si>
  <si>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</si>
  <si>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</si>
  <si>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</si>
  <si>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</si>
  <si>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</si>
  <si>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Τιμοκατάλογος (γρ. 5)</t>
  </si>
  <si>
    <t>1.1.5</t>
  </si>
  <si>
    <t>Μετακίνηση — επιβάρυνση ανά ζώνη 50 km</t>
  </si>
  <si>
    <t>Τιμοκατάλογος (γρ. 6)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</si>
  <si>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</si>
  <si>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</si>
  <si>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</si>
  <si>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</si>
  <si>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</si>
  <si>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</si>
  <si>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</si>
  <si>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</si>
  <si>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Συνολικό ποσό / Πλήθος πασσάλων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</si>
  <si>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</si>
  <si>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</si>
  <si>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</si>
  <si>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</si>
  <si>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</si>
  <si>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</si>
  <si>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</si>
  <si>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</si>
  <si>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</si>
  <si>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</si>
  <si>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</si>
  <si>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</si>
  <si>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</si>
  <si>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</si>
  <si>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</si>
  <si>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</si>
  <si>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</si>
  <si>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</si>
  <si>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</si>
  <si>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</si>
  <si>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</si>
  <si>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</si>
  <si>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</si>
  <si>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</si>
  <si>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</si>
  <si>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διάτρησης D</t>
  </si>
  <si>
    <t>Από Κατάλογο Πασσάλων S4.1 (800 mm) &amp; Λεπτομέρεια Πασσάλων S4.2 (PILE 800mm)</t>
  </si>
  <si>
    <t>1.3.3</t>
  </si>
  <si>
    <t>Μήκος πασσάλου στο έδαφος L_pile</t>
  </si>
  <si>
    <t>Ενεργό μήκος σκυροδέτησης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</si>
  <si>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</si>
  <si>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(Cut-Off) πασσάλου</t>
  </si>
  <si>
    <t>Από Κατάλογο Πασσάλων S4.1: -3475 mm (-3.475 m) για P1–P6, P8–P18 και -4375 mm (-4.375 m, 90 cm βαθύτερα) για P7 (ανελκυστήρας)</t>
  </si>
  <si>
    <t>1.3.5</t>
  </si>
  <si>
    <t>Βάθος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</si>
  <si>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</si>
  <si>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</si>
  <si>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Κάθετες ράβδοι — πλήθος N_vert</t>
  </si>
  <si>
    <t>Από σχέδιο S4.2: «Vertical 16Y20» / «16nos Y20»</t>
  </si>
  <si>
    <t>1.3.7</t>
  </si>
  <si>
    <t>Κάθετες ράβδοι — διάμετρος Φ</t>
  </si>
  <si>
    <t>Από σχέδιο S4.2: Y20 (20 mm)</t>
  </si>
  <si>
    <t>1.3.8</t>
  </si>
  <si>
    <t>Αναμονή / Starter (κενό σχεδίου → πεδιλόπλακα − 0.10)</t>
  </si>
  <si>
    <t>Από σχέδιο S4.2: 100 cm (1.00 m) από Cut-Off Level έως Top of Steel</t>
  </si>
  <si>
    <t>1.3.9</t>
  </si>
  <si>
    <t>Γωνία πάνω (κενό σχεδίου → 0.50)</t>
  </si>
  <si>
    <t>0.00 m — το σχέδιο S4.2 δείχνει ευθύγραμμες αναμονές χωρίς γωνία (επιβεβαίωση χρήστη)</t>
  </si>
  <si>
    <t>1.3.10</t>
  </si>
  <si>
    <t>Γωνία πυθμένα</t>
  </si>
  <si>
    <t>0.00 m — το σχέδιο S4.2 δείχνει ευθύγραμμη απόληξη στον πυθμένα χωρίς γωνία</t>
  </si>
  <si>
    <t>1.3.11</t>
  </si>
  <si>
    <t>Σούστα / συνδετήρες — διάμετρος Φ</t>
  </si>
  <si>
    <t>Από σχέδιο S4.2: «Horizontal Y10/150» / «Y10 @ 150mm c/c»</t>
  </si>
  <si>
    <t>1.3.12</t>
  </si>
  <si>
    <t>Βήμα σούστας στα άκρα (πρώτα &amp; τελευταία μέτρα)</t>
  </si>
  <si>
    <t>150 mm (ενιαίο βήμα σούστας σε όλο το μήκος)</t>
  </si>
  <si>
    <t>1.3.13</t>
  </si>
  <si>
    <t>Μήκος ζώνης άκρου (πάνω &amp; κάτω, έκαστη)</t>
  </si>
  <si>
    <t>0.00 m (δεν υπάρχουν διαφορετικές ζώνες πύκνωσης στο S4.2)</t>
  </si>
  <si>
    <t>1.3.14</t>
  </si>
  <si>
    <t>Βήμα σούστας στο μέσο</t>
  </si>
  <si>
    <t>Από σχέδιο S4.2: 150 mm («Y10 @ 150mm c/c»)</t>
  </si>
  <si>
    <t>1.3.15</t>
  </si>
  <si>
    <t>Συνδετήρες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</si>
  <si>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</si>
  <si>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</si>
  <si>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1.3.16</t>
  </si>
  <si>
    <t>Πρόσθετος οπλισμός (U-bars κ.λπ.) — πλήθος</t>
  </si>
  <si>
    <t>Δεν προβλέπεται πρόσθετος οπλισμός (U-bars κ.λπ.) στο S4.2</t>
  </si>
  <si>
    <t>1.3.17</t>
  </si>
  <si>
    <t>Πρόσθετος οπλισμός — διάμετρος Φ</t>
  </si>
  <si>
    <t>1.3.18</t>
  </si>
  <si>
    <t>Πρόσθετος οπλισμός — μήκος ανά ράβδο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</si>
  <si>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</si>
  <si>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</si>
  <si>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</si>
  <si>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</si>
  <si>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</si>
  <si>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</si>
  <si>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</si>
  <si>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</si>
  <si>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</si>
  <si>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Σκυρόδεμα C40/50 με απώλεια</t>
  </si>
  <si>
    <t>2.3</t>
  </si>
  <si>
    <t>Χάλυβας οπλισμού B500C (κάθετες + σούστα + πρόσθετος)</t>
  </si>
  <si>
    <t>2.4</t>
  </si>
  <si>
    <t>Sleeves προστασίας starter</t>
  </si>
  <si>
    <t>2.5</t>
  </si>
  <si>
    <t>Κεφαλοκοπή πασσάλων</t>
  </si>
  <si>
    <t>2Β. ΣΥΓΚΕΝΤΡΩΤΙΚΟΣ ΠΙΝΑΚΑΣ ΠΡΑΞΕΩΝ, ΠΟΣΟΤΗΤΩΝ &amp; ΤΙΜΩΝ (ΟΛΑ ΜΑΖΕΜΕΝΑ ΣΕ ΕΝΑΝ ΠΙΝΑΚΑ)</t>
  </si>
  <si>
    <t>Πράξη / Εργασία (Εκσκαφή, Σκυρόδεμα, Οπλισμός κ.λπ.)</t>
  </si>
  <si>
    <t>Συνολική Ποσότητα</t>
  </si>
  <si>
    <t>Συνολικό Κόστος (€)</t>
  </si>
  <si>
    <t>Αναλυτικές Πράξεις Ποσότητας &amp; Κόστους (Πώς βγαίνουν οι ποσότητες και οι τιμές)</t>
  </si>
  <si>
    <t>2Β.1</t>
  </si>
  <si>
    <t>Βασική 500.00 € + 1 ζώνη/ες × 100.00 € = 600.00 € ÷ 18 πασσ. = 33.33 €/πασσ. → 18 × 33.33 € = 600.00 €</t>
  </si>
  <si>
    <t>2Β.2</t>
  </si>
  <si>
    <t>Εκσκαφή / Διάτρηση πασσάλων Ø800mm (18 τεμ.)</t>
  </si>
  <si>
    <t>L_drill = L_pile + Δh → 17×(15.525+3.475=19.00m) + 1×(15.525+4.375=19.90m) = 342.90 m × 115.00 €/m = 39,433.50 € (Μέσο: 19.05 m/πασσ., 2,190.75 €/πασσ.)</t>
  </si>
  <si>
    <t>2Β.3</t>
  </si>
  <si>
    <t>Σκυρόδεμα πασσάλων C40/50 (με +10% απώλεια)</t>
  </si>
  <si>
    <t>V_conc = (π·D²/4)·(L_pile+h_overc)·(1+10%) → 17×[π×0.80²/4×(15.525+2=17.525m)×1.10=9.690m³] + 1×[π×0.80²/4×(15.525+2=17.525m)×1.10=9.690m³] = 174.42 m³ × 125.00 €/m³ = 21,802.34 € (9.69 m³/πασσ., 1,211.24 €/πασσ.)</t>
  </si>
  <si>
    <t>2Β.4α</t>
  </si>
  <si>
    <t xml:space="preserve">   ↳ Οπλισμός: Κάθετες ράβδοι κλωβού</t>
  </si>
  <si>
    <t>W_vert = N_vert·L_bar·w → 17×[16Φ20 × L_bar 17.525m (L_base 16.525m + 1 ματ.×1m) × 2.466kg/m = 691.51kg] + 1×[16Φ20 × L_bar 17.525m (L_base 16.525m + 1 ματ.×1m) × 2.466kg/m = 691.51kg] = 12,447.2 kg × 1.10 €/kg = 13,691.87 € (691.51 kg/πασσ.)</t>
  </si>
  <si>
    <t>2Β.4β</t>
  </si>
  <si>
    <t xml:space="preserve">   ↳ Οπλισμός: Σούστα σώματος πασσάλου (κάτω από Cut-Off, με +1)</t>
  </si>
  <si>
    <t>W_spiral = (ROUNDUP(L_pile/s,0)+1)·Π_cage·w → 17×[(ROUNDUP(15.525/0.15,0)+1 = 105 σπείρες) × Π_cage 2.042m × 0.617kg/m (Φ10) = 132.19kg] + 1×[(ROUNDUP(15.525/0.15,0)+1 = 105 σπείρες) × Π_cage 2.042m × 0.617kg/m (Φ10) = 132.19kg] = 2,379.5 kg × 1.10 €/kg = 2,617.44 € (132.19 kg/πασσ.)</t>
  </si>
  <si>
    <t>2Β.4γ</t>
  </si>
  <si>
    <t xml:space="preserve">   ↳ Οπλισμός: Συνδετήρες starter (πάνω από Cut-Off, χωρίς +1)</t>
  </si>
  <si>
    <t>W_head = ROUNDUP(Starter/s,0)·Π_cage·w (χωρίς +1) → 17×[ROUNDUP(1/0.15,0) = 7 τεμ. (χωρίς +1) × Π_cage 2.042m × 0.617kg/m = 8.81kg] + 1×[ROUNDUP(1/0.15,0) = 7 τεμ. (χωρίς +1) × Π_cage 2.042m × 0.617kg/m = 8.81kg] = 158.6 kg × 1.10 €/kg = 174.50 € (8.81 kg/πασσ.)</t>
  </si>
  <si>
    <t>2Β.4</t>
  </si>
  <si>
    <t>Χάλυβας οπλισμού B500C — ΣΥΝΟΛΟ ΚΛΩΒΟΥ (4α + 4β + 4γ)</t>
  </si>
  <si>
    <t>W_total = Κάθετες (12,447.2 kg) + Σούστα (2,379.5 kg) + Starter (158.6 kg) = 14,985.3 kg × 1.10 €/kg = 16,483.81 € (832.52 kg/πασσ., 915.77 €/πασσ.)</t>
  </si>
  <si>
    <t>2Β.5</t>
  </si>
  <si>
    <t>Sleeves (όταν Δh &gt; 0: N_vert ανά πάσσαλο) → 17×16 + 1×16 = 288 τεμ. × 3.50 €/τεμ. = 1,008.00 € (56.00 €/πασσ.)</t>
  </si>
  <si>
    <t>2Β.6</t>
  </si>
  <si>
    <t>Κεφαλοκοπή πασσάλων / Pile Breaking</t>
  </si>
  <si>
    <t>Κεφαλοκοπή (όταν Δh &gt; 0: 1 τεμ./πάσσαλο) → 17×1 + 1×1 = 18 τεμ. × 150.00 €/τεμ. = 2,700.00 € (150.00 €/πασσ.)</t>
  </si>
  <si>
    <t>ΓΕΝΙΚΟ ΣΥΝΟΛΟ ΕΡΓΟΥ (ΑΘΡΟΙΣΜΑ ΚΥΡΙΩΝ ΠΡΑΞΕΩΝ 2Β.1 ΕΩΣ 2Β.6 — ΧΩΡΙΣ Φ.Π.Α.)</t>
  </si>
  <si>
    <t>Σύνολο Προσφοράς = 82,027.65 € | Μέσο Κόστος ανά Πάσσαλο = 4,557.09 € / πάσσαλο (18 πάσσαλοι)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</si>
  <si>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</si>
  <si>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</si>
  <si>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</si>
  <si>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</si>
  <si>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</si>
  <si>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</si>
  <si>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</si>
  <si>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</si>
  <si>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</si>
  <si>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</si>
  <si>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</si>
  <si>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</si>
  <si>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</si>
  <si>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</si>
  <si>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</si>
  <si>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</si>
  <si>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</si>
  <si>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</si>
  <si>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</si>
  <si>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</si>
  <si>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</si>
  <si>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</si>
  <si>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</si>
  <si>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</si>
  <si>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</si>
  <si>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</si>
  <si>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</si>
  <si>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</si>
  <si>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</si>
  <si>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</si>
  <si>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</si>
  <si>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</si>
  <si>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</si>
  <si>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Τύπος</t>
  </si>
  <si>
    <t>Διαφορά στάθμης Δh = WPL − Cut-Off πασσάλου</t>
  </si>
  <si>
    <t>Δh = WPL − Cut-Off (WPL κοινό, Cut-Off ανά πάσσαλο)</t>
  </si>
  <si>
    <t>Ύψος υπερκάλυψης σκυροδέματος</t>
  </si>
  <si>
    <t>h_overc = IF(Δh &gt; 0, MIN(2.00, Δh), 0)</t>
  </si>
  <si>
    <t>Συνολικό βάθος διάτρησης</t>
  </si>
  <si>
    <t>L_drill = L_pile + Δh</t>
  </si>
  <si>
    <t>Γεωμετρικός όγκος διάτρησης</t>
  </si>
  <si>
    <t>V_exc = π·D²/4 · L_drill</t>
  </si>
  <si>
    <t>Ύψος σκυροδέτησης</t>
  </si>
  <si>
    <t>L_conc = L_pile + h_overc</t>
  </si>
  <si>
    <t>Όγκος σκυροδέματος με απώλεια</t>
  </si>
  <si>
    <t>V_conc = π·D²/4 · L_conc · (1 + απώλεια)</t>
  </si>
  <si>
    <t>7</t>
  </si>
  <si>
    <t>Διάμετρος κλωβού</t>
  </si>
  <si>
    <t>D_cage = D − 2·Cover</t>
  </si>
  <si>
    <t>8</t>
  </si>
  <si>
    <t>Περίμετρος κλωβού</t>
  </si>
  <si>
    <t>Π_cage = π · D_cage</t>
  </si>
  <si>
    <t>9</t>
  </si>
  <si>
    <t>Βασικό μήκος κάθετης ράβδου</t>
  </si>
  <si>
    <t>L_base = L_pile + Starter + Γωνία πάνω + Γωνία πυθμένα</t>
  </si>
  <si>
    <t>10</t>
  </si>
  <si>
    <t>Ματίσεις ανά ράβδο</t>
  </si>
  <si>
    <t>Ματίσεις = IF(L_base &gt; 12, INT((L_base − 0.001)/12), 0)</t>
  </si>
  <si>
    <t>11</t>
  </si>
  <si>
    <t>Ανεπτυγμένο μήκος κάθετης ράβδου</t>
  </si>
  <si>
    <t>L_bar = L_base + Ματίσεις · 50Φ</t>
  </si>
  <si>
    <t>12</t>
  </si>
  <si>
    <t>Μοναδιαίο βάρος κάθετης ράβδου</t>
  </si>
  <si>
    <t>kg/m</t>
  </si>
  <si>
    <t>w = π·(Φ/1000)²/4 · ρ</t>
  </si>
  <si>
    <t>13</t>
  </si>
  <si>
    <t>Βάρος κάθετων ράβδων ανά πάσσαλο</t>
  </si>
  <si>
    <t>W_vert = N_vert · L_bar · w</t>
  </si>
  <si>
    <t>14</t>
  </si>
  <si>
    <t>Αριθμός σπειρών σούστας (σώμα πασσάλου κάτω από Cut-Off)</t>
  </si>
  <si>
    <t>N = ROUNDUP(ζώνες άκρων / s_άκρων + μέσο / s_μέσου, 0) + 1 (κάτω από Cut-Off μπαίνει +1)</t>
  </si>
  <si>
    <t>15</t>
  </si>
  <si>
    <t>Μοναδιαίο βάρος σούστας</t>
  </si>
  <si>
    <t>16</t>
  </si>
  <si>
    <t>Βάρος σούστας ανά πάσσαλο</t>
  </si>
  <si>
    <t>W_spiral = N · Π_cage · w</t>
  </si>
  <si>
    <t>17</t>
  </si>
  <si>
    <t>Συνδετήρες starter (κεφαλής)</t>
  </si>
  <si>
    <t>n = ROUNDUP(Starter / βήμα άνω ζώνης) — χωρίς +1. Βήμα = πρώτα μέτρα, αλλιώς βήμα πασσάλου</t>
  </si>
  <si>
    <t>18</t>
  </si>
  <si>
    <t>Βάρος συνδετήρων starter</t>
  </si>
  <si>
    <t>W_head = n_starter · Π_cage · w (ίδια διάμετρος με άνω ζώνη)</t>
  </si>
  <si>
    <t>19</t>
  </si>
  <si>
    <t>Βάρος πρόσθετου οπλισμού (U-bars κ.λπ.)</t>
  </si>
  <si>
    <t>W_extra = n · L · π·(Φ/1000)²/4 · ρ</t>
  </si>
  <si>
    <t>20</t>
  </si>
  <si>
    <t>Συνολικό βάρος χάλυβα ανά πάσσαλο</t>
  </si>
  <si>
    <t>W_total = W_vert + W_spiral + W_head + W_extra</t>
  </si>
  <si>
    <t>21</t>
  </si>
  <si>
    <t>Sleeves starter ανά πάσσαλο</t>
  </si>
  <si>
    <t>Sleeves = IF(Δh &gt; 0, N_vert, 0)</t>
  </si>
  <si>
    <t>22</t>
  </si>
  <si>
    <t>Κεφαλοκοπή ανά πάσσαλο</t>
  </si>
  <si>
    <t>Κεφαλοκοπή = IF(Δh &gt; 0, 1, 0)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</si>
  <si>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</si>
  <si>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</si>
  <si>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</si>
  <si>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</si>
  <si>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 (N)</t>
  </si>
  <si>
    <t>ΣΧΕΔΙΟ</t>
  </si>
  <si>
    <t>18 τεμ. (P1–P18)</t>
  </si>
  <si>
    <t>Φύλλο S4.1 («Χάραξη Πασσάλων» &amp; πίνακας «Κατάλογος Πασσάλων»): 17 τεμ. (P1–P6, P8–P18) + 1 τεμ. (P7)</t>
  </si>
  <si>
    <t>Διάμετρος διάτρησης (D)</t>
  </si>
  <si>
    <t>Ø800 mm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</si>
  <si>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</si>
  <si>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</si>
  <si>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</si>
  <si>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+0.00 m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</si>
  <si>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</si>
  <si>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</si>
  <si>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-3.475 m (17 τεμ.) / -4.375 m (P7)</t>
  </si>
  <si>
    <t>Φύλλο S4.1 (στήλη «CUT OF LEVEL (mm)»: -3475 mm για P1–P6, P8–P18 και -4375 mm για P7 — 90 cm βαθύτερα στον ανελκυστήρα)</t>
  </si>
  <si>
    <t>Ενεργό μήκος πασσάλου (L_pile) &amp; Βάθος διάτρησης (L_drill) — Διόρθωση P7</t>
  </si>
  <si>
    <t>L_pile = 15.525 m (όλοι) | L_drill = 19.00 m (17 τεμ.) &amp; 19.90 m (P7)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</si>
  <si>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(L_drill = 15.525 + 4.375 = 19.90 m)</t>
  </si>
  <si>
    <t>C40/50 MPa</t>
  </si>
  <si>
    <t>Φύλλο S4.2 («Concrete Strength : C40/50 MPa» &amp; πίνακας αναμονών C40/50)</t>
  </si>
  <si>
    <t>Τιμή μονάδας σκυροδέματος C40/50</t>
  </si>
  <si>
    <t>125,00 €/m³</t>
  </si>
  <si>
    <t>Ρητή οδηγία χρήστη (εκτός τιμοκαταλόγου: 125,00 €/m³)</t>
  </si>
  <si>
    <t>75 mm</t>
  </si>
  <si>
    <t>Φύλλο S4.2 («Cover - 75mm»)</t>
  </si>
  <si>
    <t>Κάθετος οπλισμός κλωβού</t>
  </si>
  <si>
    <t>16Y20</t>
  </si>
  <si>
    <t>Φύλλο S4.2 («Vertical 16Y20» &amp; «16nos Y20»)</t>
  </si>
  <si>
    <t>Αναμονή (Starter) &amp; Γωνίες (Top / Bottom bend)</t>
  </si>
  <si>
    <t>Starter = 1.00 m | Γωνίες = 0.00 m</t>
  </si>
  <si>
    <t>Φύλλο S4.2: διάσταση 100 cm από Cut-Off Level έως Top of Steel, ευθύγραμμες ράβδοι χωρίς γωνία πάνω ή κάτω (επιβεβαίωση χρήστη)</t>
  </si>
  <si>
    <t>Σούστα σώματος πασσάλου (κάτω από Cut-Off, με +1)</t>
  </si>
  <si>
    <t>ΚΑΝΟΝΑΣ</t>
  </si>
  <si>
    <t>Y10 @ 150 mm → 105 σπείρες/πάσσαλο</t>
  </si>
  <si>
    <t>Φύλλο S4.2 («Y10 @ 150mm c/c») &amp; Κανόνας εταιρείας RULES_v5 §11.3: ROUNDUP(15.525 / 0.150, 0) + 1 = 104 + 1 = 105 σπείρες</t>
  </si>
  <si>
    <t>Συνδετήρες στο starter (πάνω από Cut-Off, χωρίς +1)</t>
  </si>
  <si>
    <t>7 τεμ. Y10 ανά πάσσαλο</t>
  </si>
  <si>
    <t>Κανόνας εταιρείας RULES_v5 §11.3: ROUNDUP(Starter / βήμα, 0) = ROUNDUP(1.00 / 0.150, 0) = 7 τεμ. (χωρίς +1)</t>
  </si>
  <si>
    <t>Τιμή Κεφαλοκοπής (Pile Breaking)</t>
  </si>
  <si>
    <t>ΤΙΜΟΚΑΤΑΛΟΓΟΣ</t>
  </si>
  <si>
    <t>150,00 €/τεμ.</t>
  </si>
  <si>
    <t>Ενημερωμένος Τιμοκατάλογος Εταιρείας (γρ. 23: 150,00 €/πάσσαλο)</t>
  </si>
  <si>
    <t>Μετακινήσεις γεωτρύπανου (Ζώνη 2 — Λάρνακα)</t>
  </si>
  <si>
    <t>600,00 € (33,33 €/πάσσαλο)</t>
  </si>
  <si>
    <t>Ζώνη 2 (Λάρνακα, 51–100 km από Άγιο Συλά Λεμεσού): 500 € βασική + 100 € (1 επιπλέον ζώνη 50 km) — οδηγία χρήστη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</si>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</sst>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sz val="9"/>
      <color rgb="FF374151"/>
      <name val="Calibri"/>
    </font>
    <font>
      <b/>
      <sz val="10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i/>
      <sz val="9"/>
      <color rgb="FF334155"/>
      <name val="Calibri"/>
    </font>
    <font>
      <b/>
      <sz val="11"/>
      <color rgb="FF92400E"/>
      <name val="Calibri"/>
    </font>
    <font>
      <b/>
      <sz val="10"/>
      <color rgb="FF1E40A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5" fontId="10" fillId="7" borderId="3" xfId="0" applyNumberFormat="1" applyFont="1" applyFill="1" applyBorder="1" applyAlignment="1">
      <alignment horizontal="right" vertical="center"/>
    </xf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8" fillId="5" borderId="2" xfId="0" applyFont="1" applyFill="1" applyBorder="1"/>
    <xf numFmtId="2" fontId="8" fillId="5" borderId="2" xfId="0" applyNumberFormat="1" applyFont="1" applyFill="1" applyBorder="1"/>
    <xf numFmtId="3" fontId="8" fillId="5" borderId="2" xfId="0" applyNumberFormat="1" applyFont="1" applyFill="1" applyBorder="1"/>
    <xf numFmtId="167" fontId="8" fillId="5" borderId="2" xfId="0" applyNumberFormat="1" applyFont="1" applyFill="1" applyBorder="1"/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67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/>
    </xf>
    <xf numFmtId="167" fontId="6" fillId="0" borderId="1" xfId="0" applyNumberFormat="1" applyFont="1" applyBorder="1" applyAlignment="1">
      <alignment horizontal="right" vertical="center"/>
    </xf>
    <xf numFmtId="0" fontId="10" fillId="7" borderId="3" xfId="0" applyFont="1" applyFill="1" applyBorder="1" applyAlignment="1">
      <alignment horizontal="left" vertical="center" wrapText="1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7" borderId="3" xfId="0" applyFont="1" applyFill="1" applyBorder="1" applyAlignment="1">
      <alignment horizontal="right" vertical="center"/>
    </xf>
    <xf numFmtId="0" fontId="0" fillId="7" borderId="3" xfId="0" applyFill="1" applyBorder="1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E10" sqref="E10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5" width="16" customWidth="1"/>
    <col min="6" max="6" width="18" customWidth="1"/>
    <col min="7" max="7" width="20" customWidth="1"/>
  </cols>
  <sheetData>
    <row r="1" spans="1:7" ht="28" customHeight="1" x14ac:dyDescent="0.35">
      <c r="A1" s="44" t="s">
        <v>0</v>
      </c>
      <c r="B1" s="43"/>
      <c r="C1" s="43"/>
      <c r="D1" s="43"/>
      <c r="E1" s="43"/>
      <c r="F1" s="43"/>
      <c r="G1" s="43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Υπολογισμοί'!$D$13</f>
        <v>18</v>
      </c>
      <c r="D8" s="3" t="s">
        <v>11</v>
      </c>
      <c r="E8" s="6">
        <f>'Τεχνικοί Υπολογισμοί'!$D$14</f>
        <v>33.333333333333336</v>
      </c>
      <c r="F8" s="6">
        <f>$C$8*$E$8</f>
        <v>600</v>
      </c>
      <c r="G8" s="6">
        <f>$F$8/'Τεχνικοί Υπολογισμοί'!$D$13</f>
        <v>33.333333333333336</v>
      </c>
    </row>
    <row r="9" spans="1:7" ht="30" customHeight="1" x14ac:dyDescent="0.35">
      <c r="A9" s="3" t="s">
        <v>12</v>
      </c>
      <c r="B9" s="4" t="s">
        <v>13</v>
      </c>
      <c r="C9" s="7">
        <f>'Τεχνικοί Υπολογισμοί'!$D$43</f>
        <v>342.9</v>
      </c>
      <c r="D9" s="3" t="s">
        <v>14</v>
      </c>
      <c r="E9" s="8">
        <v>90</v>
      </c>
      <c r="F9" s="6">
        <f>$C$9*$E$9</f>
        <v>30860.999999999996</v>
      </c>
      <c r="G9" s="6">
        <f>$F$9/'Τεχνικοί Υπολογισμοί'!$D$13</f>
        <v>1714.4999999999998</v>
      </c>
    </row>
    <row r="10" spans="1:7" ht="30" customHeight="1" x14ac:dyDescent="0.35">
      <c r="A10" s="3" t="s">
        <v>15</v>
      </c>
      <c r="B10" s="4" t="s">
        <v>16</v>
      </c>
      <c r="C10" s="7">
        <f>'Τεχνικοί Υπολογισμοί'!$D$44</f>
        <v>174.41871085318246</v>
      </c>
      <c r="D10" s="3" t="s">
        <v>17</v>
      </c>
      <c r="E10" s="8">
        <v>125</v>
      </c>
      <c r="F10" s="6">
        <f>$C$10*$E$10</f>
        <v>21802.338856647806</v>
      </c>
      <c r="G10" s="6">
        <f>$F$10/'Τεχνικοί Υπολογισμοί'!$D$13</f>
        <v>1211.2410475915449</v>
      </c>
    </row>
    <row r="11" spans="1:7" ht="30" customHeight="1" x14ac:dyDescent="0.35">
      <c r="A11" s="3" t="s">
        <v>18</v>
      </c>
      <c r="B11" s="4" t="s">
        <v>19</v>
      </c>
      <c r="C11" s="9">
        <f>'Τεχνικοί Υπολογισμοί'!$D$45</f>
        <v>14985.280141751289</v>
      </c>
      <c r="D11" s="3" t="s">
        <v>20</v>
      </c>
      <c r="E11" s="8">
        <v>1.1000000000000001</v>
      </c>
      <c r="F11" s="6">
        <f>$C$11*$E$11</f>
        <v>16483.808155926421</v>
      </c>
      <c r="G11" s="6">
        <f>$F$11/'Τεχνικοί Υπολογισμοί'!$D$13</f>
        <v>915.76711977369007</v>
      </c>
    </row>
    <row r="12" spans="1:7" ht="30" customHeight="1" x14ac:dyDescent="0.35">
      <c r="A12" s="3" t="s">
        <v>21</v>
      </c>
      <c r="B12" s="4" t="s">
        <v>22</v>
      </c>
      <c r="C12" s="5">
        <f>'Τεχνικοί Υπολογισμοί'!$D$46</f>
        <v>288</v>
      </c>
      <c r="D12" s="3" t="s">
        <v>23</v>
      </c>
      <c r="E12" s="8">
        <v>3.5</v>
      </c>
      <c r="F12" s="6">
        <f>$C$12*$E$12</f>
        <v>1008</v>
      </c>
      <c r="G12" s="6">
        <f>$F$12/'Τεχνικοί Υπολογισμοί'!$D$13</f>
        <v>56</v>
      </c>
    </row>
    <row r="13" spans="1:7" ht="30" customHeight="1" x14ac:dyDescent="0.35">
      <c r="A13" s="3" t="s">
        <v>24</v>
      </c>
      <c r="B13" s="4" t="s">
        <v>25</v>
      </c>
      <c r="C13" s="5">
        <f>'Τεχνικοί Υπολογισμοί'!$D$47</f>
        <v>18</v>
      </c>
      <c r="D13" s="3" t="s">
        <v>23</v>
      </c>
      <c r="E13" s="8">
        <v>150</v>
      </c>
      <c r="F13" s="6">
        <f>$C$13*$E$13</f>
        <v>2700</v>
      </c>
      <c r="G13" s="6">
        <f>$F$13/'Τεχνικοί Υπολογισμοί'!$D$13</f>
        <v>150</v>
      </c>
    </row>
    <row r="14" spans="1:7" ht="26" customHeight="1" x14ac:dyDescent="0.35">
      <c r="A14" s="45" t="s">
        <v>26</v>
      </c>
      <c r="B14" s="46"/>
      <c r="C14" s="46"/>
      <c r="D14" s="46"/>
      <c r="E14" s="46"/>
      <c r="F14" s="10">
        <f>$F$8+$F$9+$F$10+$F$11+$F$12+$F$13</f>
        <v>73455.14701257422</v>
      </c>
      <c r="G14" s="10">
        <f>$F$14/'Τεχνικοί Υπολογισμοί'!$D$13</f>
        <v>4080.8415006985679</v>
      </c>
    </row>
    <row r="16" spans="1:7" x14ac:dyDescent="0.35">
      <c r="A16" s="11" t="s">
        <v>27</v>
      </c>
    </row>
    <row r="17" spans="1:7" ht="15" customHeight="1" x14ac:dyDescent="0.35">
      <c r="A17" s="42" t="s">
        <v>28</v>
      </c>
      <c r="B17" s="43"/>
      <c r="C17" s="43"/>
      <c r="D17" s="43"/>
      <c r="E17" s="43"/>
      <c r="F17" s="43"/>
      <c r="G17" s="43"/>
    </row>
    <row r="18" spans="1:7" ht="28" customHeight="1" x14ac:dyDescent="0.35">
      <c r="A18" s="42" t="s">
        <v>29</v>
      </c>
      <c r="B18" s="43"/>
      <c r="C18" s="43"/>
      <c r="D18" s="43"/>
      <c r="E18" s="43"/>
      <c r="F18" s="43"/>
      <c r="G18" s="43"/>
    </row>
    <row r="19" spans="1:7" ht="15" customHeight="1" x14ac:dyDescent="0.35">
      <c r="A19" s="42" t="s">
        <v>30</v>
      </c>
      <c r="B19" s="43"/>
      <c r="C19" s="43"/>
      <c r="D19" s="43"/>
      <c r="E19" s="43"/>
      <c r="F19" s="43"/>
      <c r="G19" s="43"/>
    </row>
    <row r="20" spans="1:7" ht="15" customHeight="1" x14ac:dyDescent="0.35">
      <c r="A20" s="42" t="s">
        <v>31</v>
      </c>
      <c r="B20" s="43"/>
      <c r="C20" s="43"/>
      <c r="D20" s="43"/>
      <c r="E20" s="43"/>
      <c r="F20" s="43"/>
      <c r="G20" s="43"/>
    </row>
    <row r="21" spans="1:7" ht="15" customHeight="1" x14ac:dyDescent="0.35">
      <c r="A21" s="42" t="s">
        <v>32</v>
      </c>
      <c r="B21" s="43"/>
      <c r="C21" s="43"/>
      <c r="D21" s="43"/>
      <c r="E21" s="43"/>
      <c r="F21" s="43"/>
      <c r="G21" s="43"/>
    </row>
    <row r="22" spans="1:7" ht="15" customHeight="1" x14ac:dyDescent="0.35">
      <c r="A22" s="42" t="s">
        <v>33</v>
      </c>
      <c r="B22" s="43"/>
      <c r="C22" s="43"/>
      <c r="D22" s="43"/>
      <c r="E22" s="43"/>
      <c r="F22" s="43"/>
      <c r="G22" s="43"/>
    </row>
    <row r="23" spans="1:7" ht="15" customHeight="1" x14ac:dyDescent="0.35">
      <c r="A23" s="42" t="s">
        <v>34</v>
      </c>
      <c r="B23" s="43"/>
      <c r="C23" s="43"/>
      <c r="D23" s="43"/>
      <c r="E23" s="43"/>
      <c r="F23" s="43"/>
      <c r="G23" s="43"/>
    </row>
    <row r="24" spans="1:7" ht="15" customHeight="1" x14ac:dyDescent="0.35">
      <c r="A24" s="42" t="s">
        <v>35</v>
      </c>
      <c r="B24" s="43"/>
      <c r="C24" s="43"/>
      <c r="D24" s="43"/>
      <c r="E24" s="43"/>
      <c r="F24" s="43"/>
      <c r="G24" s="43"/>
    </row>
    <row r="25" spans="1:7" ht="28" customHeight="1" x14ac:dyDescent="0.35">
      <c r="A25" s="42" t="s">
        <v>36</v>
      </c>
      <c r="B25" s="43"/>
      <c r="C25" s="43"/>
      <c r="D25" s="43"/>
      <c r="E25" s="43"/>
      <c r="F25" s="43"/>
      <c r="G25" s="43"/>
    </row>
    <row r="26" spans="1:7" ht="28" customHeight="1" x14ac:dyDescent="0.35">
      <c r="A26" s="42" t="s">
        <v>37</v>
      </c>
      <c r="B26" s="43"/>
      <c r="C26" s="43"/>
      <c r="D26" s="43"/>
      <c r="E26" s="43"/>
      <c r="F26" s="43"/>
      <c r="G26" s="43"/>
    </row>
    <row r="27" spans="1:7" ht="28" customHeight="1" x14ac:dyDescent="0.35">
      <c r="A27" s="42" t="s">
        <v>38</v>
      </c>
      <c r="B27" s="43"/>
      <c r="C27" s="43"/>
      <c r="D27" s="43"/>
      <c r="E27" s="43"/>
      <c r="F27" s="43"/>
      <c r="G27" s="43"/>
    </row>
    <row r="28" spans="1:7" ht="15" customHeight="1" x14ac:dyDescent="0.35">
      <c r="A28" s="42" t="s">
        <v>39</v>
      </c>
      <c r="B28" s="43"/>
      <c r="C28" s="43"/>
      <c r="D28" s="43"/>
      <c r="E28" s="43"/>
      <c r="F28" s="43"/>
      <c r="G28" s="43"/>
    </row>
    <row r="29" spans="1:7" ht="28" customHeight="1" x14ac:dyDescent="0.35">
      <c r="A29" s="42" t="s">
        <v>40</v>
      </c>
      <c r="B29" s="43"/>
      <c r="C29" s="43"/>
      <c r="D29" s="43"/>
      <c r="E29" s="43"/>
      <c r="F29" s="43"/>
      <c r="G29" s="43"/>
    </row>
    <row r="30" spans="1:7" ht="28" customHeight="1" x14ac:dyDescent="0.35">
      <c r="A30" s="42" t="s">
        <v>41</v>
      </c>
      <c r="B30" s="43"/>
      <c r="C30" s="43"/>
      <c r="D30" s="43"/>
      <c r="E30" s="43"/>
      <c r="F30" s="43"/>
      <c r="G30" s="43"/>
    </row>
    <row r="31" spans="1:7" ht="15" customHeight="1" x14ac:dyDescent="0.35">
      <c r="A31" s="42" t="s">
        <v>42</v>
      </c>
      <c r="B31" s="43"/>
      <c r="C31" s="43"/>
      <c r="D31" s="43"/>
      <c r="E31" s="43"/>
      <c r="F31" s="43"/>
      <c r="G31" s="43"/>
    </row>
  </sheetData>
  <mergeCells count="17">
    <mergeCell ref="A31:G31"/>
    <mergeCell ref="A21:G21"/>
    <mergeCell ref="A22:G22"/>
    <mergeCell ref="A25:G25"/>
    <mergeCell ref="A20:G20"/>
    <mergeCell ref="A24:G24"/>
    <mergeCell ref="A26:G26"/>
    <mergeCell ref="A30:G30"/>
    <mergeCell ref="A29:G29"/>
    <mergeCell ref="A28:G28"/>
    <mergeCell ref="A23:G23"/>
    <mergeCell ref="A1:G1"/>
    <mergeCell ref="A17:G17"/>
    <mergeCell ref="A18:G18"/>
    <mergeCell ref="A27:G27"/>
    <mergeCell ref="A14:E14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2" customWidth="1"/>
    <col min="3" max="3" width="10" customWidth="1"/>
    <col min="4" max="5" width="16" customWidth="1"/>
    <col min="6" max="6" width="18" customWidth="1"/>
    <col min="7" max="7" width="65" customWidth="1"/>
  </cols>
  <sheetData>
    <row r="1" spans="1:7" ht="28" customHeight="1" x14ac:dyDescent="0.35">
      <c r="A1" s="44" t="s">
        <v>43</v>
      </c>
      <c r="B1" s="43"/>
      <c r="C1" s="43"/>
      <c r="D1" s="43"/>
      <c r="E1" s="43"/>
      <c r="F1" s="43"/>
      <c r="G1" s="43"/>
    </row>
    <row r="2" spans="1:7" x14ac:dyDescent="0.35">
      <c r="A2" s="1" t="s">
        <v>44</v>
      </c>
    </row>
    <row r="4" spans="1:7" x14ac:dyDescent="0.35">
      <c r="A4" s="13" t="s">
        <v>45</v>
      </c>
    </row>
    <row r="5" spans="1:7" ht="30" customHeight="1" x14ac:dyDescent="0.35">
      <c r="A5" s="2" t="s">
        <v>46</v>
      </c>
      <c r="B5" s="2" t="s">
        <v>47</v>
      </c>
      <c r="C5" s="2" t="s">
        <v>5</v>
      </c>
      <c r="D5" s="2" t="s">
        <v>48</v>
      </c>
      <c r="E5" s="2"/>
      <c r="F5" s="2"/>
      <c r="G5" s="2" t="s">
        <v>49</v>
      </c>
    </row>
    <row r="6" spans="1:7" x14ac:dyDescent="0.35">
      <c r="A6" s="13" t="s">
        <v>50</v>
      </c>
    </row>
    <row r="7" spans="1:7" x14ac:dyDescent="0.35">
      <c r="A7" s="3" t="s">
        <v>51</v>
      </c>
      <c r="B7" s="14" t="s">
        <v>52</v>
      </c>
      <c r="C7" s="3" t="s">
        <v>53</v>
      </c>
      <c r="D7" s="15">
        <v>75</v>
      </c>
      <c r="G7" s="12" t="s">
        <v>54</v>
      </c>
    </row>
    <row r="8" spans="1:7" x14ac:dyDescent="0.35">
      <c r="A8" s="3" t="s">
        <v>55</v>
      </c>
      <c r="B8" s="14" t="s">
        <v>56</v>
      </c>
      <c r="C8" s="3" t="s">
        <v>53</v>
      </c>
      <c r="D8" s="15">
        <v>50</v>
      </c>
      <c r="G8" s="12" t="s">
        <v>57</v>
      </c>
    </row>
    <row r="9" spans="1:7" x14ac:dyDescent="0.35">
      <c r="A9" s="3" t="s">
        <v>58</v>
      </c>
      <c r="B9" s="14" t="s">
        <v>59</v>
      </c>
      <c r="C9" s="3" t="s">
        <v>60</v>
      </c>
      <c r="D9" s="16">
        <f>MAX(0,ROUNDUP(ROUND(($D$7-$D$8)/$D$8,9),0))</f>
        <v>1</v>
      </c>
      <c r="G9" s="12" t="s">
        <v>61</v>
      </c>
    </row>
    <row r="10" spans="1:7" x14ac:dyDescent="0.35">
      <c r="A10" s="3" t="s">
        <v>62</v>
      </c>
      <c r="B10" s="14" t="s">
        <v>63</v>
      </c>
      <c r="C10" s="3" t="s">
        <v>64</v>
      </c>
      <c r="D10" s="8">
        <v>500</v>
      </c>
      <c r="G10" s="12" t="s">
        <v>65</v>
      </c>
    </row>
    <row r="11" spans="1:7" x14ac:dyDescent="0.35">
      <c r="A11" s="3" t="s">
        <v>66</v>
      </c>
      <c r="B11" s="14" t="s">
        <v>67</v>
      </c>
      <c r="C11" s="3" t="s">
        <v>64</v>
      </c>
      <c r="D11" s="8">
        <v>100</v>
      </c>
      <c r="G11" s="12" t="s">
        <v>68</v>
      </c>
    </row>
    <row r="12" spans="1:7" x14ac:dyDescent="0.35">
      <c r="A12" s="3" t="s">
        <v>69</v>
      </c>
      <c r="B12" s="14" t="s">
        <v>70</v>
      </c>
      <c r="C12" s="3" t="s">
        <v>64</v>
      </c>
      <c r="D12" s="6">
        <f>$D$10+$D$9*$D$11</f>
        <v>600</v>
      </c>
      <c r="G12" s="12" t="s">
        <v>71</v>
      </c>
    </row>
    <row r="13" spans="1:7" x14ac:dyDescent="0.35">
      <c r="A13" s="3" t="s">
        <v>72</v>
      </c>
      <c r="B13" s="14" t="s">
        <v>73</v>
      </c>
      <c r="C13" s="3" t="s">
        <v>23</v>
      </c>
      <c r="D13" s="5">
        <f>$D$22+$E$22</f>
        <v>18</v>
      </c>
      <c r="G13" s="12" t="s">
        <v>74</v>
      </c>
    </row>
    <row r="14" spans="1:7" x14ac:dyDescent="0.35">
      <c r="A14" s="3" t="s">
        <v>75</v>
      </c>
      <c r="B14" s="14" t="s">
        <v>76</v>
      </c>
      <c r="C14" s="3" t="s">
        <v>64</v>
      </c>
      <c r="D14" s="6">
        <f>$D$12/$D$13</f>
        <v>33.333333333333336</v>
      </c>
      <c r="G14" s="12" t="s">
        <v>77</v>
      </c>
    </row>
    <row r="15" spans="1:7" x14ac:dyDescent="0.35">
      <c r="A15" s="13" t="s">
        <v>78</v>
      </c>
    </row>
    <row r="16" spans="1:7" x14ac:dyDescent="0.35">
      <c r="A16" s="3" t="s">
        <v>79</v>
      </c>
      <c r="B16" s="14" t="s">
        <v>80</v>
      </c>
      <c r="C16" s="3" t="s">
        <v>14</v>
      </c>
      <c r="D16" s="7">
        <v>0</v>
      </c>
      <c r="G16" s="12" t="s">
        <v>81</v>
      </c>
    </row>
    <row r="17" spans="1:7" x14ac:dyDescent="0.35">
      <c r="A17" s="3" t="s">
        <v>82</v>
      </c>
      <c r="B17" s="14" t="s">
        <v>83</v>
      </c>
      <c r="C17" s="3" t="s">
        <v>84</v>
      </c>
      <c r="D17" s="17" t="s">
        <v>85</v>
      </c>
      <c r="G17" s="12" t="s">
        <v>86</v>
      </c>
    </row>
    <row r="18" spans="1:7" x14ac:dyDescent="0.35">
      <c r="A18" s="3" t="s">
        <v>87</v>
      </c>
      <c r="B18" s="14" t="s">
        <v>88</v>
      </c>
      <c r="C18" s="3" t="s">
        <v>89</v>
      </c>
      <c r="D18" s="16">
        <v>75</v>
      </c>
      <c r="G18" s="12" t="s">
        <v>90</v>
      </c>
    </row>
    <row r="19" spans="1:7" x14ac:dyDescent="0.35">
      <c r="A19" s="13" t="s">
        <v>91</v>
      </c>
    </row>
    <row r="20" spans="1:7" ht="30" customHeight="1" x14ac:dyDescent="0.35">
      <c r="A20" s="2" t="s">
        <v>46</v>
      </c>
      <c r="B20" s="2" t="s">
        <v>47</v>
      </c>
      <c r="C20" s="2" t="s">
        <v>5</v>
      </c>
      <c r="D20" s="2" t="s">
        <v>92</v>
      </c>
      <c r="E20" s="2" t="s">
        <v>93</v>
      </c>
      <c r="F20" s="2"/>
      <c r="G20" s="2" t="s">
        <v>94</v>
      </c>
    </row>
    <row r="21" spans="1:7" ht="30" customHeight="1" x14ac:dyDescent="0.35">
      <c r="A21" s="3" t="s">
        <v>95</v>
      </c>
      <c r="B21" s="14" t="s">
        <v>96</v>
      </c>
      <c r="D21" s="18" t="s">
        <v>97</v>
      </c>
      <c r="E21" s="18" t="s">
        <v>98</v>
      </c>
    </row>
    <row r="22" spans="1:7" x14ac:dyDescent="0.35">
      <c r="A22" s="3" t="s">
        <v>99</v>
      </c>
      <c r="B22" s="14" t="s">
        <v>100</v>
      </c>
      <c r="C22" s="3" t="s">
        <v>23</v>
      </c>
      <c r="D22" s="5">
        <v>17</v>
      </c>
      <c r="E22" s="5">
        <v>1</v>
      </c>
      <c r="F22" s="19">
        <f>$D$22+$E$22</f>
        <v>18</v>
      </c>
      <c r="G22" s="12" t="s">
        <v>101</v>
      </c>
    </row>
    <row r="23" spans="1:7" x14ac:dyDescent="0.35">
      <c r="A23" s="3" t="s">
        <v>102</v>
      </c>
      <c r="B23" s="14" t="s">
        <v>103</v>
      </c>
      <c r="C23" s="3" t="s">
        <v>89</v>
      </c>
      <c r="D23" s="16">
        <v>800</v>
      </c>
      <c r="E23" s="16">
        <v>800</v>
      </c>
      <c r="G23" s="12" t="s">
        <v>104</v>
      </c>
    </row>
    <row r="24" spans="1:7" ht="36" x14ac:dyDescent="0.35">
      <c r="A24" s="3" t="s">
        <v>105</v>
      </c>
      <c r="B24" s="14" t="s">
        <v>106</v>
      </c>
      <c r="C24" s="3" t="s">
        <v>14</v>
      </c>
      <c r="D24" s="7">
        <v>15.525</v>
      </c>
      <c r="E24" s="7">
        <v>15.525</v>
      </c>
      <c r="G24" s="12" t="s">
        <v>107</v>
      </c>
    </row>
    <row r="25" spans="1:7" ht="24" x14ac:dyDescent="0.35">
      <c r="A25" s="3" t="s">
        <v>108</v>
      </c>
      <c r="B25" s="14" t="s">
        <v>109</v>
      </c>
      <c r="C25" s="3" t="s">
        <v>14</v>
      </c>
      <c r="D25" s="7">
        <v>-3.4750000000000001</v>
      </c>
      <c r="E25" s="7">
        <v>-4.375</v>
      </c>
      <c r="G25" s="12" t="s">
        <v>110</v>
      </c>
    </row>
    <row r="26" spans="1:7" ht="24" x14ac:dyDescent="0.35">
      <c r="A26" s="3" t="s">
        <v>111</v>
      </c>
      <c r="B26" s="14" t="s">
        <v>112</v>
      </c>
      <c r="C26" s="3" t="s">
        <v>14</v>
      </c>
      <c r="D26" s="7">
        <v>0.85</v>
      </c>
      <c r="E26" s="7">
        <v>0.7</v>
      </c>
      <c r="G26" s="12" t="s">
        <v>113</v>
      </c>
    </row>
    <row r="27" spans="1:7" x14ac:dyDescent="0.35">
      <c r="A27" s="3" t="s">
        <v>114</v>
      </c>
      <c r="B27" s="14" t="s">
        <v>115</v>
      </c>
      <c r="C27" s="3" t="s">
        <v>23</v>
      </c>
      <c r="D27" s="5">
        <v>16</v>
      </c>
      <c r="E27" s="5">
        <v>16</v>
      </c>
      <c r="G27" s="12" t="s">
        <v>116</v>
      </c>
    </row>
    <row r="28" spans="1:7" x14ac:dyDescent="0.35">
      <c r="A28" s="3" t="s">
        <v>117</v>
      </c>
      <c r="B28" s="14" t="s">
        <v>118</v>
      </c>
      <c r="C28" s="3" t="s">
        <v>89</v>
      </c>
      <c r="D28" s="16">
        <v>20</v>
      </c>
      <c r="E28" s="16">
        <v>20</v>
      </c>
      <c r="G28" s="12" t="s">
        <v>119</v>
      </c>
    </row>
    <row r="29" spans="1:7" x14ac:dyDescent="0.35">
      <c r="A29" s="3" t="s">
        <v>120</v>
      </c>
      <c r="B29" s="14" t="s">
        <v>121</v>
      </c>
      <c r="C29" s="3" t="s">
        <v>14</v>
      </c>
      <c r="D29" s="7">
        <v>1</v>
      </c>
      <c r="E29" s="7">
        <v>1</v>
      </c>
      <c r="G29" s="12" t="s">
        <v>122</v>
      </c>
    </row>
    <row r="30" spans="1:7" x14ac:dyDescent="0.35">
      <c r="A30" s="3" t="s">
        <v>123</v>
      </c>
      <c r="B30" s="14" t="s">
        <v>124</v>
      </c>
      <c r="C30" s="3" t="s">
        <v>14</v>
      </c>
      <c r="D30" s="7">
        <v>0</v>
      </c>
      <c r="E30" s="7">
        <v>0</v>
      </c>
      <c r="G30" s="12" t="s">
        <v>125</v>
      </c>
    </row>
    <row r="31" spans="1:7" x14ac:dyDescent="0.35">
      <c r="A31" s="3" t="s">
        <v>126</v>
      </c>
      <c r="B31" s="14" t="s">
        <v>127</v>
      </c>
      <c r="C31" s="3" t="s">
        <v>14</v>
      </c>
      <c r="D31" s="7">
        <v>0</v>
      </c>
      <c r="E31" s="7">
        <v>0</v>
      </c>
      <c r="G31" s="12" t="s">
        <v>128</v>
      </c>
    </row>
    <row r="32" spans="1:7" x14ac:dyDescent="0.35">
      <c r="A32" s="3" t="s">
        <v>129</v>
      </c>
      <c r="B32" s="14" t="s">
        <v>130</v>
      </c>
      <c r="C32" s="3" t="s">
        <v>89</v>
      </c>
      <c r="D32" s="16">
        <v>10</v>
      </c>
      <c r="E32" s="16">
        <v>10</v>
      </c>
      <c r="G32" s="12" t="s">
        <v>131</v>
      </c>
    </row>
    <row r="33" spans="1:7" x14ac:dyDescent="0.35">
      <c r="A33" s="3" t="s">
        <v>132</v>
      </c>
      <c r="B33" s="14" t="s">
        <v>133</v>
      </c>
      <c r="C33" s="3" t="s">
        <v>89</v>
      </c>
      <c r="D33" s="16">
        <v>150</v>
      </c>
      <c r="E33" s="16">
        <v>150</v>
      </c>
      <c r="G33" s="12" t="s">
        <v>134</v>
      </c>
    </row>
    <row r="34" spans="1:7" x14ac:dyDescent="0.35">
      <c r="A34" s="3" t="s">
        <v>135</v>
      </c>
      <c r="B34" s="14" t="s">
        <v>136</v>
      </c>
      <c r="C34" s="3" t="s">
        <v>14</v>
      </c>
      <c r="D34" s="7">
        <v>0</v>
      </c>
      <c r="E34" s="7">
        <v>0</v>
      </c>
      <c r="G34" s="12" t="s">
        <v>137</v>
      </c>
    </row>
    <row r="35" spans="1:7" x14ac:dyDescent="0.35">
      <c r="A35" s="3" t="s">
        <v>138</v>
      </c>
      <c r="B35" s="14" t="s">
        <v>139</v>
      </c>
      <c r="C35" s="3" t="s">
        <v>89</v>
      </c>
      <c r="D35" s="16">
        <v>150</v>
      </c>
      <c r="E35" s="16">
        <v>150</v>
      </c>
      <c r="G35" s="12" t="s">
        <v>140</v>
      </c>
    </row>
    <row r="36" spans="1:7" ht="24" x14ac:dyDescent="0.35">
      <c r="A36" s="3" t="s">
        <v>141</v>
      </c>
      <c r="B36" s="14" t="s">
        <v>142</v>
      </c>
      <c r="C36" s="3" t="s">
        <v>23</v>
      </c>
      <c r="D36" s="5" t="s">
        <v>143</v>
      </c>
      <c r="E36" s="5" t="s">
        <v>143</v>
      </c>
      <c r="G36" s="12" t="s">
        <v>144</v>
      </c>
    </row>
    <row r="37" spans="1:7" x14ac:dyDescent="0.35">
      <c r="A37" s="3" t="s">
        <v>145</v>
      </c>
      <c r="B37" s="14" t="s">
        <v>146</v>
      </c>
      <c r="C37" s="3" t="s">
        <v>23</v>
      </c>
      <c r="D37" s="5">
        <v>0</v>
      </c>
      <c r="E37" s="5">
        <v>0</v>
      </c>
      <c r="G37" s="12" t="s">
        <v>147</v>
      </c>
    </row>
    <row r="38" spans="1:7" x14ac:dyDescent="0.35">
      <c r="A38" s="3" t="s">
        <v>148</v>
      </c>
      <c r="B38" s="14" t="s">
        <v>149</v>
      </c>
      <c r="C38" s="3" t="s">
        <v>89</v>
      </c>
      <c r="D38" s="16">
        <v>0</v>
      </c>
      <c r="E38" s="16">
        <v>0</v>
      </c>
      <c r="G38" s="12" t="s">
        <v>143</v>
      </c>
    </row>
    <row r="39" spans="1:7" x14ac:dyDescent="0.35">
      <c r="A39" s="3" t="s">
        <v>150</v>
      </c>
      <c r="B39" s="14" t="s">
        <v>151</v>
      </c>
      <c r="C39" s="3" t="s">
        <v>14</v>
      </c>
      <c r="D39" s="7">
        <v>0</v>
      </c>
      <c r="E39" s="7">
        <v>0</v>
      </c>
      <c r="G39" s="12" t="s">
        <v>143</v>
      </c>
    </row>
    <row r="41" spans="1:7" x14ac:dyDescent="0.35">
      <c r="A41" s="20" t="s">
        <v>152</v>
      </c>
    </row>
    <row r="42" spans="1:7" ht="30" customHeight="1" x14ac:dyDescent="0.35">
      <c r="A42" s="2" t="s">
        <v>46</v>
      </c>
      <c r="B42" s="2" t="s">
        <v>4</v>
      </c>
      <c r="C42" s="2" t="s">
        <v>5</v>
      </c>
      <c r="D42" s="2" t="s">
        <v>153</v>
      </c>
      <c r="E42" s="2" t="s">
        <v>154</v>
      </c>
      <c r="F42" s="2" t="s">
        <v>155</v>
      </c>
      <c r="G42" s="2" t="s">
        <v>156</v>
      </c>
    </row>
    <row r="43" spans="1:7" x14ac:dyDescent="0.35">
      <c r="A43" s="21" t="s">
        <v>157</v>
      </c>
      <c r="B43" s="21" t="s">
        <v>158</v>
      </c>
      <c r="C43" s="21" t="s">
        <v>14</v>
      </c>
      <c r="D43" s="22">
        <f>$D$22*$D$77+$E$22*$E$77</f>
        <v>342.9</v>
      </c>
      <c r="E43" s="23">
        <f>$D$22+$E$22</f>
        <v>18</v>
      </c>
      <c r="F43" s="22">
        <f>$D$43/$E$43</f>
        <v>19.049999999999997</v>
      </c>
      <c r="G43" s="21" t="s">
        <v>159</v>
      </c>
    </row>
    <row r="44" spans="1:7" x14ac:dyDescent="0.35">
      <c r="A44" s="21" t="s">
        <v>160</v>
      </c>
      <c r="B44" s="21" t="s">
        <v>161</v>
      </c>
      <c r="C44" s="21" t="s">
        <v>17</v>
      </c>
      <c r="D44" s="22">
        <f>$F$80</f>
        <v>174.41871085318246</v>
      </c>
      <c r="E44" s="23">
        <f>$D$13</f>
        <v>18</v>
      </c>
      <c r="F44" s="22">
        <f>$D$44/$E$44</f>
        <v>9.6899283807323595</v>
      </c>
      <c r="G44" s="21" t="s">
        <v>159</v>
      </c>
    </row>
    <row r="45" spans="1:7" x14ac:dyDescent="0.35">
      <c r="A45" s="21" t="s">
        <v>162</v>
      </c>
      <c r="B45" s="21" t="s">
        <v>163</v>
      </c>
      <c r="C45" s="21" t="s">
        <v>20</v>
      </c>
      <c r="D45" s="24">
        <f>$F$94</f>
        <v>14985.280141751289</v>
      </c>
      <c r="E45" s="23">
        <f>$D$13</f>
        <v>18</v>
      </c>
      <c r="F45" s="24">
        <f>$D$45/$E$45</f>
        <v>832.51556343062714</v>
      </c>
      <c r="G45" s="21" t="s">
        <v>159</v>
      </c>
    </row>
    <row r="46" spans="1:7" x14ac:dyDescent="0.35">
      <c r="A46" s="21" t="s">
        <v>164</v>
      </c>
      <c r="B46" s="21" t="s">
        <v>165</v>
      </c>
      <c r="C46" s="21" t="s">
        <v>23</v>
      </c>
      <c r="D46" s="23">
        <f>$F$95</f>
        <v>288</v>
      </c>
      <c r="E46" s="23">
        <f>$D$13</f>
        <v>18</v>
      </c>
      <c r="F46" s="23">
        <f>$D$46/$E$46</f>
        <v>16</v>
      </c>
      <c r="G46" s="21" t="s">
        <v>159</v>
      </c>
    </row>
    <row r="47" spans="1:7" x14ac:dyDescent="0.35">
      <c r="A47" s="21" t="s">
        <v>166</v>
      </c>
      <c r="B47" s="21" t="s">
        <v>167</v>
      </c>
      <c r="C47" s="21" t="s">
        <v>23</v>
      </c>
      <c r="D47" s="23">
        <f>$F$96</f>
        <v>18</v>
      </c>
      <c r="E47" s="23">
        <f>$D$13</f>
        <v>18</v>
      </c>
      <c r="F47" s="23">
        <f>$D$47/$E$47</f>
        <v>1</v>
      </c>
      <c r="G47" s="21" t="s">
        <v>159</v>
      </c>
    </row>
    <row r="49" spans="1:7" x14ac:dyDescent="0.35">
      <c r="A49" s="13" t="s">
        <v>168</v>
      </c>
    </row>
    <row r="50" spans="1:7" ht="30" customHeight="1" x14ac:dyDescent="0.35">
      <c r="A50" s="2" t="s">
        <v>46</v>
      </c>
      <c r="B50" s="2" t="s">
        <v>169</v>
      </c>
      <c r="C50" s="2" t="s">
        <v>5</v>
      </c>
      <c r="D50" s="2" t="s">
        <v>170</v>
      </c>
      <c r="E50" s="2" t="s">
        <v>6</v>
      </c>
      <c r="F50" s="2" t="s">
        <v>171</v>
      </c>
      <c r="G50" s="2" t="s">
        <v>172</v>
      </c>
    </row>
    <row r="51" spans="1:7" ht="22" customHeight="1" x14ac:dyDescent="0.35">
      <c r="A51" s="18" t="s">
        <v>173</v>
      </c>
      <c r="B51" s="25" t="s">
        <v>10</v>
      </c>
      <c r="C51" s="18" t="s">
        <v>11</v>
      </c>
      <c r="D51" s="19">
        <f>$D$13</f>
        <v>18</v>
      </c>
      <c r="E51" s="26">
        <f>$D$14</f>
        <v>33.333333333333336</v>
      </c>
      <c r="F51" s="26">
        <f>$D$51*$E$51</f>
        <v>600</v>
      </c>
      <c r="G51" s="27" t="s">
        <v>174</v>
      </c>
    </row>
    <row r="52" spans="1:7" ht="28" customHeight="1" x14ac:dyDescent="0.35">
      <c r="A52" s="18" t="s">
        <v>175</v>
      </c>
      <c r="B52" s="25" t="s">
        <v>176</v>
      </c>
      <c r="C52" s="18" t="s">
        <v>14</v>
      </c>
      <c r="D52" s="28">
        <f>$D$43</f>
        <v>342.9</v>
      </c>
      <c r="E52" s="8">
        <v>115</v>
      </c>
      <c r="F52" s="26">
        <f>$D$52*$E$52</f>
        <v>39433.5</v>
      </c>
      <c r="G52" s="27" t="s">
        <v>177</v>
      </c>
    </row>
    <row r="53" spans="1:7" ht="28" customHeight="1" x14ac:dyDescent="0.35">
      <c r="A53" s="18" t="s">
        <v>178</v>
      </c>
      <c r="B53" s="25" t="s">
        <v>179</v>
      </c>
      <c r="C53" s="18" t="s">
        <v>17</v>
      </c>
      <c r="D53" s="28">
        <f>$D$44</f>
        <v>174.41871085318246</v>
      </c>
      <c r="E53" s="8">
        <v>125</v>
      </c>
      <c r="F53" s="26">
        <f>$D$53*$E$53</f>
        <v>21802.338856647806</v>
      </c>
      <c r="G53" s="27" t="s">
        <v>180</v>
      </c>
    </row>
    <row r="54" spans="1:7" ht="28" customHeight="1" x14ac:dyDescent="0.35">
      <c r="A54" s="29" t="s">
        <v>181</v>
      </c>
      <c r="B54" s="30" t="s">
        <v>182</v>
      </c>
      <c r="C54" s="29" t="s">
        <v>20</v>
      </c>
      <c r="D54" s="31">
        <f>$F$87</f>
        <v>12447.153456340744</v>
      </c>
      <c r="E54" s="32">
        <v>1.1000000000000001</v>
      </c>
      <c r="F54" s="32">
        <f>$D$54*$E$54</f>
        <v>13691.868801974819</v>
      </c>
      <c r="G54" s="33" t="s">
        <v>183</v>
      </c>
    </row>
    <row r="55" spans="1:7" ht="28" customHeight="1" x14ac:dyDescent="0.35">
      <c r="A55" s="29" t="s">
        <v>184</v>
      </c>
      <c r="B55" s="30" t="s">
        <v>185</v>
      </c>
      <c r="C55" s="29" t="s">
        <v>20</v>
      </c>
      <c r="D55" s="31">
        <f>$F$90</f>
        <v>2379.4937675723863</v>
      </c>
      <c r="E55" s="32">
        <v>1.1000000000000001</v>
      </c>
      <c r="F55" s="32">
        <f>$D$55*$E$55</f>
        <v>2617.4431443296253</v>
      </c>
      <c r="G55" s="33" t="s">
        <v>186</v>
      </c>
    </row>
    <row r="56" spans="1:7" ht="28" customHeight="1" x14ac:dyDescent="0.35">
      <c r="A56" s="29" t="s">
        <v>187</v>
      </c>
      <c r="B56" s="30" t="s">
        <v>188</v>
      </c>
      <c r="C56" s="29" t="s">
        <v>20</v>
      </c>
      <c r="D56" s="31">
        <f>$F$92</f>
        <v>158.6329178381591</v>
      </c>
      <c r="E56" s="32">
        <v>1.1000000000000001</v>
      </c>
      <c r="F56" s="32">
        <f>$D$56*$E$56</f>
        <v>174.49620962197503</v>
      </c>
      <c r="G56" s="33" t="s">
        <v>189</v>
      </c>
    </row>
    <row r="57" spans="1:7" ht="28" customHeight="1" x14ac:dyDescent="0.35">
      <c r="A57" s="18" t="s">
        <v>190</v>
      </c>
      <c r="B57" s="25" t="s">
        <v>191</v>
      </c>
      <c r="C57" s="18" t="s">
        <v>20</v>
      </c>
      <c r="D57" s="34">
        <f>$D$45</f>
        <v>14985.280141751289</v>
      </c>
      <c r="E57" s="8">
        <v>1.1000000000000001</v>
      </c>
      <c r="F57" s="26">
        <f>$D$57*$E$57</f>
        <v>16483.808155926421</v>
      </c>
      <c r="G57" s="27" t="s">
        <v>192</v>
      </c>
    </row>
    <row r="58" spans="1:7" ht="22" customHeight="1" x14ac:dyDescent="0.35">
      <c r="A58" s="18" t="s">
        <v>193</v>
      </c>
      <c r="B58" s="25" t="s">
        <v>22</v>
      </c>
      <c r="C58" s="18" t="s">
        <v>23</v>
      </c>
      <c r="D58" s="19">
        <f>$D$46</f>
        <v>288</v>
      </c>
      <c r="E58" s="8">
        <v>3.5</v>
      </c>
      <c r="F58" s="26">
        <f>$D$58*$E$58</f>
        <v>1008</v>
      </c>
      <c r="G58" s="27" t="s">
        <v>194</v>
      </c>
    </row>
    <row r="59" spans="1:7" ht="22" customHeight="1" x14ac:dyDescent="0.35">
      <c r="A59" s="18" t="s">
        <v>195</v>
      </c>
      <c r="B59" s="25" t="s">
        <v>196</v>
      </c>
      <c r="C59" s="18" t="s">
        <v>23</v>
      </c>
      <c r="D59" s="19">
        <f>$D$47</f>
        <v>18</v>
      </c>
      <c r="E59" s="8">
        <v>150</v>
      </c>
      <c r="F59" s="26">
        <f>$D$59*$E$59</f>
        <v>2700</v>
      </c>
      <c r="G59" s="27" t="s">
        <v>197</v>
      </c>
    </row>
    <row r="60" spans="1:7" ht="26" customHeight="1" x14ac:dyDescent="0.35">
      <c r="A60" s="45" t="s">
        <v>198</v>
      </c>
      <c r="B60" s="46"/>
      <c r="C60" s="46"/>
      <c r="D60" s="46"/>
      <c r="E60" s="46"/>
      <c r="F60" s="10">
        <f>$F$51+$F$52+$F$53+$F$57+$F$58+$F$59</f>
        <v>82027.647012574234</v>
      </c>
      <c r="G60" s="35" t="s">
        <v>199</v>
      </c>
    </row>
    <row r="62" spans="1:7" x14ac:dyDescent="0.35">
      <c r="A62" s="13" t="s">
        <v>200</v>
      </c>
    </row>
    <row r="63" spans="1:7" ht="30" customHeight="1" x14ac:dyDescent="0.35">
      <c r="A63" s="2" t="s">
        <v>46</v>
      </c>
      <c r="B63" s="2" t="s">
        <v>201</v>
      </c>
      <c r="C63" s="2" t="s">
        <v>5</v>
      </c>
      <c r="D63" s="2" t="s">
        <v>48</v>
      </c>
      <c r="E63" s="2"/>
      <c r="F63" s="2"/>
      <c r="G63" s="2" t="s">
        <v>202</v>
      </c>
    </row>
    <row r="64" spans="1:7" x14ac:dyDescent="0.35">
      <c r="A64" s="3" t="s">
        <v>203</v>
      </c>
      <c r="B64" s="14" t="s">
        <v>204</v>
      </c>
      <c r="C64" s="3" t="s">
        <v>205</v>
      </c>
      <c r="D64" s="36">
        <v>0.1</v>
      </c>
      <c r="G64" s="12" t="s">
        <v>206</v>
      </c>
    </row>
    <row r="65" spans="1:7" x14ac:dyDescent="0.35">
      <c r="A65" s="3" t="s">
        <v>207</v>
      </c>
      <c r="B65" s="14" t="s">
        <v>208</v>
      </c>
      <c r="C65" s="3" t="s">
        <v>84</v>
      </c>
      <c r="D65" s="5">
        <v>7850</v>
      </c>
      <c r="G65" s="12" t="s">
        <v>209</v>
      </c>
    </row>
    <row r="66" spans="1:7" x14ac:dyDescent="0.35">
      <c r="A66" s="3" t="s">
        <v>210</v>
      </c>
      <c r="B66" s="14" t="s">
        <v>211</v>
      </c>
      <c r="C66" s="3" t="s">
        <v>14</v>
      </c>
      <c r="D66" s="7">
        <v>12</v>
      </c>
      <c r="G66" s="12" t="s">
        <v>212</v>
      </c>
    </row>
    <row r="67" spans="1:7" x14ac:dyDescent="0.35">
      <c r="A67" s="3" t="s">
        <v>213</v>
      </c>
      <c r="B67" s="14" t="s">
        <v>214</v>
      </c>
      <c r="C67" s="3" t="s">
        <v>84</v>
      </c>
      <c r="D67" s="16">
        <v>50</v>
      </c>
      <c r="G67" s="12" t="s">
        <v>215</v>
      </c>
    </row>
    <row r="68" spans="1:7" x14ac:dyDescent="0.35">
      <c r="A68" s="3" t="s">
        <v>216</v>
      </c>
      <c r="B68" s="14" t="s">
        <v>217</v>
      </c>
      <c r="C68" s="3" t="s">
        <v>14</v>
      </c>
      <c r="D68" s="7">
        <v>2</v>
      </c>
      <c r="G68" s="12" t="s">
        <v>218</v>
      </c>
    </row>
    <row r="69" spans="1:7" x14ac:dyDescent="0.35">
      <c r="A69" s="3" t="s">
        <v>219</v>
      </c>
      <c r="B69" s="14" t="s">
        <v>220</v>
      </c>
      <c r="C69" s="3" t="s">
        <v>84</v>
      </c>
      <c r="D69" s="17">
        <f>PI()</f>
        <v>3.1415926535897931</v>
      </c>
      <c r="G69" s="12" t="s">
        <v>221</v>
      </c>
    </row>
    <row r="70" spans="1:7" x14ac:dyDescent="0.35">
      <c r="A70" s="3" t="s">
        <v>222</v>
      </c>
      <c r="B70" s="14" t="s">
        <v>223</v>
      </c>
      <c r="C70" s="3" t="s">
        <v>14</v>
      </c>
      <c r="D70" s="7">
        <v>0.1</v>
      </c>
      <c r="G70" s="12" t="s">
        <v>224</v>
      </c>
    </row>
    <row r="71" spans="1:7" x14ac:dyDescent="0.35">
      <c r="A71" s="3" t="s">
        <v>225</v>
      </c>
      <c r="B71" s="14" t="s">
        <v>226</v>
      </c>
      <c r="C71" s="3" t="s">
        <v>14</v>
      </c>
      <c r="D71" s="7">
        <v>0.5</v>
      </c>
      <c r="G71" s="12" t="s">
        <v>227</v>
      </c>
    </row>
    <row r="73" spans="1:7" x14ac:dyDescent="0.35">
      <c r="A73" s="13" t="s">
        <v>228</v>
      </c>
    </row>
    <row r="74" spans="1:7" ht="30" customHeight="1" x14ac:dyDescent="0.35">
      <c r="A74" s="2" t="s">
        <v>229</v>
      </c>
      <c r="B74" s="2" t="s">
        <v>230</v>
      </c>
      <c r="C74" s="2" t="s">
        <v>5</v>
      </c>
      <c r="D74" s="2" t="s">
        <v>231</v>
      </c>
      <c r="E74" s="2" t="s">
        <v>232</v>
      </c>
      <c r="F74" s="2" t="s">
        <v>153</v>
      </c>
      <c r="G74" s="2" t="s">
        <v>233</v>
      </c>
    </row>
    <row r="75" spans="1:7" x14ac:dyDescent="0.35">
      <c r="A75" s="3" t="s">
        <v>9</v>
      </c>
      <c r="B75" s="14" t="s">
        <v>234</v>
      </c>
      <c r="C75" s="3" t="s">
        <v>14</v>
      </c>
      <c r="D75" s="7">
        <f>$D$16-$D$25</f>
        <v>3.4750000000000001</v>
      </c>
      <c r="E75" s="7">
        <f>$D$16-$E$25</f>
        <v>4.375</v>
      </c>
      <c r="F75" s="3" t="s">
        <v>143</v>
      </c>
      <c r="G75" s="12" t="s">
        <v>235</v>
      </c>
    </row>
    <row r="76" spans="1:7" x14ac:dyDescent="0.35">
      <c r="A76" s="3" t="s">
        <v>12</v>
      </c>
      <c r="B76" s="14" t="s">
        <v>236</v>
      </c>
      <c r="C76" s="3" t="s">
        <v>14</v>
      </c>
      <c r="D76" s="7">
        <f>IF($D$75&gt;0,MIN($D$68,$D$75),0)</f>
        <v>2</v>
      </c>
      <c r="E76" s="7">
        <f>IF($E$75&gt;0,MIN($D$68,$E$75),0)</f>
        <v>2</v>
      </c>
      <c r="F76" s="3" t="s">
        <v>143</v>
      </c>
      <c r="G76" s="12" t="s">
        <v>237</v>
      </c>
    </row>
    <row r="77" spans="1:7" x14ac:dyDescent="0.35">
      <c r="A77" s="3" t="s">
        <v>15</v>
      </c>
      <c r="B77" s="14" t="s">
        <v>238</v>
      </c>
      <c r="C77" s="3" t="s">
        <v>14</v>
      </c>
      <c r="D77" s="7">
        <f>$D$24+MAX(0,$D$75)</f>
        <v>19</v>
      </c>
      <c r="E77" s="7">
        <f>$E$24+MAX(0,$E$75)</f>
        <v>19.899999999999999</v>
      </c>
      <c r="F77" s="28">
        <f>$D$22*$D$77+$E$22*$E$77</f>
        <v>342.9</v>
      </c>
      <c r="G77" s="12" t="s">
        <v>239</v>
      </c>
    </row>
    <row r="78" spans="1:7" x14ac:dyDescent="0.35">
      <c r="A78" s="3" t="s">
        <v>18</v>
      </c>
      <c r="B78" s="14" t="s">
        <v>240</v>
      </c>
      <c r="C78" s="3" t="s">
        <v>17</v>
      </c>
      <c r="D78" s="7">
        <f>$D$69*($D$23/1000)^2/4*$D$77</f>
        <v>9.5504416669129721</v>
      </c>
      <c r="E78" s="7">
        <f>$D$69*($E$23/1000)^2/4*$E$77</f>
        <v>10.002831009029901</v>
      </c>
      <c r="F78" s="28">
        <f>$D$22*$D$78+$E$22*$E$78</f>
        <v>172.36033934655043</v>
      </c>
      <c r="G78" s="12" t="s">
        <v>241</v>
      </c>
    </row>
    <row r="79" spans="1:7" x14ac:dyDescent="0.35">
      <c r="A79" s="3" t="s">
        <v>21</v>
      </c>
      <c r="B79" s="14" t="s">
        <v>242</v>
      </c>
      <c r="C79" s="3" t="s">
        <v>14</v>
      </c>
      <c r="D79" s="7">
        <f>$D$24+$D$76</f>
        <v>17.524999999999999</v>
      </c>
      <c r="E79" s="7">
        <f>$E$24+$E$76</f>
        <v>17.524999999999999</v>
      </c>
      <c r="F79" s="3" t="s">
        <v>143</v>
      </c>
      <c r="G79" s="12" t="s">
        <v>243</v>
      </c>
    </row>
    <row r="80" spans="1:7" x14ac:dyDescent="0.35">
      <c r="A80" s="3" t="s">
        <v>24</v>
      </c>
      <c r="B80" s="14" t="s">
        <v>244</v>
      </c>
      <c r="C80" s="3" t="s">
        <v>17</v>
      </c>
      <c r="D80" s="7">
        <f>$D$69*($D$23/1000)^2/4*$D$79*(1+$D$64)</f>
        <v>9.6899283807323577</v>
      </c>
      <c r="E80" s="7">
        <f>$D$69*($E$23/1000)^2/4*$E$79*(1+$D$64)</f>
        <v>9.6899283807323577</v>
      </c>
      <c r="F80" s="28">
        <f>$D$22*$D$80+$E$22*$E$80</f>
        <v>174.41871085318246</v>
      </c>
      <c r="G80" s="12" t="s">
        <v>245</v>
      </c>
    </row>
    <row r="81" spans="1:7" x14ac:dyDescent="0.35">
      <c r="A81" s="3" t="s">
        <v>246</v>
      </c>
      <c r="B81" s="14" t="s">
        <v>247</v>
      </c>
      <c r="C81" s="3" t="s">
        <v>89</v>
      </c>
      <c r="D81" s="16">
        <f>$D$23-2*$D$18</f>
        <v>650</v>
      </c>
      <c r="E81" s="16">
        <f>$E$23-2*$D$18</f>
        <v>650</v>
      </c>
      <c r="F81" s="3" t="s">
        <v>143</v>
      </c>
      <c r="G81" s="12" t="s">
        <v>248</v>
      </c>
    </row>
    <row r="82" spans="1:7" x14ac:dyDescent="0.35">
      <c r="A82" s="3" t="s">
        <v>249</v>
      </c>
      <c r="B82" s="14" t="s">
        <v>250</v>
      </c>
      <c r="C82" s="3" t="s">
        <v>14</v>
      </c>
      <c r="D82" s="7">
        <f>$D$69*$D$81/1000</f>
        <v>2.0420352248333655</v>
      </c>
      <c r="E82" s="7">
        <f>$D$69*$E$81/1000</f>
        <v>2.0420352248333655</v>
      </c>
      <c r="F82" s="3" t="s">
        <v>143</v>
      </c>
      <c r="G82" s="12" t="s">
        <v>251</v>
      </c>
    </row>
    <row r="83" spans="1:7" x14ac:dyDescent="0.35">
      <c r="A83" s="3" t="s">
        <v>252</v>
      </c>
      <c r="B83" s="14" t="s">
        <v>253</v>
      </c>
      <c r="C83" s="3" t="s">
        <v>14</v>
      </c>
      <c r="D83" s="7">
        <f>$D$24+$D$29+$D$30+$D$31</f>
        <v>16.524999999999999</v>
      </c>
      <c r="E83" s="7">
        <f>$E$24+$E$29+$E$30+$E$31</f>
        <v>16.524999999999999</v>
      </c>
      <c r="F83" s="3" t="s">
        <v>143</v>
      </c>
      <c r="G83" s="12" t="s">
        <v>254</v>
      </c>
    </row>
    <row r="84" spans="1:7" x14ac:dyDescent="0.35">
      <c r="A84" s="3" t="s">
        <v>255</v>
      </c>
      <c r="B84" s="14" t="s">
        <v>256</v>
      </c>
      <c r="C84" s="3" t="s">
        <v>23</v>
      </c>
      <c r="D84" s="5">
        <f>IF($D$83&gt;$D$66,INT(($D$83-0.001)/$D$66),0)</f>
        <v>1</v>
      </c>
      <c r="E84" s="5">
        <f>IF($E$83&gt;$D$66,INT(($E$83-0.001)/$D$66),0)</f>
        <v>1</v>
      </c>
      <c r="F84" s="3" t="s">
        <v>143</v>
      </c>
      <c r="G84" s="12" t="s">
        <v>257</v>
      </c>
    </row>
    <row r="85" spans="1:7" x14ac:dyDescent="0.35">
      <c r="A85" s="3" t="s">
        <v>258</v>
      </c>
      <c r="B85" s="14" t="s">
        <v>259</v>
      </c>
      <c r="C85" s="3" t="s">
        <v>14</v>
      </c>
      <c r="D85" s="7">
        <f>$D$83+$D$84*$D$67*$D$28/1000</f>
        <v>17.524999999999999</v>
      </c>
      <c r="E85" s="7">
        <f>$E$83+$E$84*$D$67*$E$28/1000</f>
        <v>17.524999999999999</v>
      </c>
      <c r="F85" s="3" t="s">
        <v>143</v>
      </c>
      <c r="G85" s="12" t="s">
        <v>260</v>
      </c>
    </row>
    <row r="86" spans="1:7" x14ac:dyDescent="0.35">
      <c r="A86" s="3" t="s">
        <v>261</v>
      </c>
      <c r="B86" s="14" t="s">
        <v>262</v>
      </c>
      <c r="C86" s="3" t="s">
        <v>263</v>
      </c>
      <c r="D86" s="37">
        <f>$D$69*($D$28/1000)^2/4*$D$65</f>
        <v>2.4661502330679874</v>
      </c>
      <c r="E86" s="37">
        <f>$D$69*($E$28/1000)^2/4*$D$65</f>
        <v>2.4661502330679874</v>
      </c>
      <c r="F86" s="3" t="s">
        <v>143</v>
      </c>
      <c r="G86" s="12" t="s">
        <v>264</v>
      </c>
    </row>
    <row r="87" spans="1:7" x14ac:dyDescent="0.35">
      <c r="A87" s="3" t="s">
        <v>265</v>
      </c>
      <c r="B87" s="14" t="s">
        <v>266</v>
      </c>
      <c r="C87" s="3" t="s">
        <v>20</v>
      </c>
      <c r="D87" s="9">
        <f>$D$27*$D$85*$D$86</f>
        <v>691.50852535226363</v>
      </c>
      <c r="E87" s="9">
        <f>$E$27*$E$85*$E$86</f>
        <v>691.50852535226363</v>
      </c>
      <c r="F87" s="34">
        <f>$D$22*$D$87+$E$22*$E$87</f>
        <v>12447.153456340744</v>
      </c>
      <c r="G87" s="12" t="s">
        <v>267</v>
      </c>
    </row>
    <row r="88" spans="1:7" ht="24" x14ac:dyDescent="0.35">
      <c r="A88" s="3" t="s">
        <v>268</v>
      </c>
      <c r="B88" s="14" t="s">
        <v>269</v>
      </c>
      <c r="C88" s="3" t="s">
        <v>23</v>
      </c>
      <c r="D88" s="5">
        <f>ROUNDUP(ROUND(MIN($D$24,2*$D$34)*1000/$D$33+MAX(0,$D$24-2*$D$34)*1000/$D$35,6),0)+1</f>
        <v>105</v>
      </c>
      <c r="E88" s="5">
        <f>ROUNDUP(ROUND(MIN($E$24,2*$E$34)*1000/$E$33+MAX(0,$E$24-2*$E$34)*1000/$E$35,6),0)+1</f>
        <v>105</v>
      </c>
      <c r="F88" s="3" t="s">
        <v>143</v>
      </c>
      <c r="G88" s="12" t="s">
        <v>270</v>
      </c>
    </row>
    <row r="89" spans="1:7" x14ac:dyDescent="0.35">
      <c r="A89" s="3" t="s">
        <v>271</v>
      </c>
      <c r="B89" s="14" t="s">
        <v>272</v>
      </c>
      <c r="C89" s="3" t="s">
        <v>263</v>
      </c>
      <c r="D89" s="37">
        <f>$D$69*($D$32/1000)^2/4*$D$65</f>
        <v>0.61653755826699685</v>
      </c>
      <c r="E89" s="37">
        <f>$D$69*($E$32/1000)^2/4*$D$65</f>
        <v>0.61653755826699685</v>
      </c>
      <c r="F89" s="3" t="s">
        <v>143</v>
      </c>
      <c r="G89" s="12" t="s">
        <v>264</v>
      </c>
    </row>
    <row r="90" spans="1:7" x14ac:dyDescent="0.35">
      <c r="A90" s="3" t="s">
        <v>273</v>
      </c>
      <c r="B90" s="14" t="s">
        <v>274</v>
      </c>
      <c r="C90" s="3" t="s">
        <v>20</v>
      </c>
      <c r="D90" s="9">
        <f>$D$88*$D$82*$D$89</f>
        <v>132.19409819846592</v>
      </c>
      <c r="E90" s="9">
        <f>$E$88*$E$82*$E$89</f>
        <v>132.19409819846592</v>
      </c>
      <c r="F90" s="34">
        <f>$D$22*$D$90+$E$22*$E$90</f>
        <v>2379.4937675723863</v>
      </c>
      <c r="G90" s="12" t="s">
        <v>275</v>
      </c>
    </row>
    <row r="91" spans="1:7" ht="24" x14ac:dyDescent="0.35">
      <c r="A91" s="3" t="s">
        <v>276</v>
      </c>
      <c r="B91" s="14" t="s">
        <v>277</v>
      </c>
      <c r="C91" s="3" t="s">
        <v>23</v>
      </c>
      <c r="D91" s="5">
        <f>ROUNDUP(ROUND($D$29*1000/IF($D$34&gt;0,$D$33,$D$35),6),0)</f>
        <v>7</v>
      </c>
      <c r="E91" s="5">
        <f>ROUNDUP(ROUND($E$29*1000/IF($E$34&gt;0,$E$33,$E$35),6),0)</f>
        <v>7</v>
      </c>
      <c r="F91" s="3" t="s">
        <v>143</v>
      </c>
      <c r="G91" s="12" t="s">
        <v>278</v>
      </c>
    </row>
    <row r="92" spans="1:7" x14ac:dyDescent="0.35">
      <c r="A92" s="3" t="s">
        <v>279</v>
      </c>
      <c r="B92" s="14" t="s">
        <v>280</v>
      </c>
      <c r="C92" s="3" t="s">
        <v>20</v>
      </c>
      <c r="D92" s="9">
        <f>$D$91*$D$82*$D$89</f>
        <v>8.8129398798977281</v>
      </c>
      <c r="E92" s="9">
        <f>$E$91*$E$82*$E$89</f>
        <v>8.8129398798977281</v>
      </c>
      <c r="F92" s="34">
        <f>$D$22*$D$92+$E$22*$E$92</f>
        <v>158.6329178381591</v>
      </c>
      <c r="G92" s="12" t="s">
        <v>281</v>
      </c>
    </row>
    <row r="93" spans="1:7" x14ac:dyDescent="0.35">
      <c r="A93" s="3" t="s">
        <v>282</v>
      </c>
      <c r="B93" s="14" t="s">
        <v>283</v>
      </c>
      <c r="C93" s="3" t="s">
        <v>20</v>
      </c>
      <c r="D93" s="9">
        <f>$D$37*$D$39*$D$69*($D$38/1000)^2/4*$D$65</f>
        <v>0</v>
      </c>
      <c r="E93" s="9">
        <f>$E$37*$E$39*$D$69*($E$38/1000)^2/4*$D$65</f>
        <v>0</v>
      </c>
      <c r="F93" s="34">
        <f>$D$22*$D$93+$E$22*$E$93</f>
        <v>0</v>
      </c>
      <c r="G93" s="12" t="s">
        <v>284</v>
      </c>
    </row>
    <row r="94" spans="1:7" x14ac:dyDescent="0.35">
      <c r="A94" s="3" t="s">
        <v>285</v>
      </c>
      <c r="B94" s="14" t="s">
        <v>286</v>
      </c>
      <c r="C94" s="3" t="s">
        <v>20</v>
      </c>
      <c r="D94" s="9">
        <f>$D$87+$D$90+$D$92+$D$93</f>
        <v>832.51556343062725</v>
      </c>
      <c r="E94" s="9">
        <f>$E$87+$E$90+$E$92+$E$93</f>
        <v>832.51556343062725</v>
      </c>
      <c r="F94" s="34">
        <f>$D$22*$D$94+$E$22*$E$94</f>
        <v>14985.280141751289</v>
      </c>
      <c r="G94" s="12" t="s">
        <v>287</v>
      </c>
    </row>
    <row r="95" spans="1:7" x14ac:dyDescent="0.35">
      <c r="A95" s="3" t="s">
        <v>288</v>
      </c>
      <c r="B95" s="14" t="s">
        <v>289</v>
      </c>
      <c r="C95" s="3" t="s">
        <v>23</v>
      </c>
      <c r="D95" s="5">
        <f>IF($D$75&gt;0,$D$27,0)</f>
        <v>16</v>
      </c>
      <c r="E95" s="5">
        <f>IF($E$75&gt;0,$E$27,0)</f>
        <v>16</v>
      </c>
      <c r="F95" s="19">
        <f>$D$22*$D$95+$E$22*$E$95</f>
        <v>288</v>
      </c>
      <c r="G95" s="12" t="s">
        <v>290</v>
      </c>
    </row>
    <row r="96" spans="1:7" x14ac:dyDescent="0.35">
      <c r="A96" s="3" t="s">
        <v>291</v>
      </c>
      <c r="B96" s="14" t="s">
        <v>292</v>
      </c>
      <c r="C96" s="3" t="s">
        <v>23</v>
      </c>
      <c r="D96" s="5">
        <f>IF($D$75&gt;0,1,0)</f>
        <v>1</v>
      </c>
      <c r="E96" s="5">
        <f>IF($E$75&gt;0,1,0)</f>
        <v>1</v>
      </c>
      <c r="F96" s="19">
        <f>$D$22*$D$96+$E$22*$E$96</f>
        <v>18</v>
      </c>
      <c r="G96" s="12" t="s">
        <v>293</v>
      </c>
    </row>
    <row r="98" spans="1:7" x14ac:dyDescent="0.35">
      <c r="A98" s="13" t="s">
        <v>294</v>
      </c>
    </row>
    <row r="99" spans="1:7" x14ac:dyDescent="0.35">
      <c r="A99" s="2" t="s">
        <v>2</v>
      </c>
      <c r="B99" s="2" t="s">
        <v>295</v>
      </c>
      <c r="C99" s="2" t="s">
        <v>296</v>
      </c>
      <c r="D99" s="2" t="s">
        <v>48</v>
      </c>
      <c r="E99" s="47" t="s">
        <v>297</v>
      </c>
      <c r="F99" s="43"/>
      <c r="G99" s="43"/>
    </row>
    <row r="100" spans="1:7" ht="30" customHeight="1" x14ac:dyDescent="0.35">
      <c r="A100" s="3" t="s">
        <v>9</v>
      </c>
      <c r="B100" s="4" t="s">
        <v>298</v>
      </c>
      <c r="C100" s="38" t="s">
        <v>299</v>
      </c>
      <c r="D100" s="3" t="s">
        <v>300</v>
      </c>
      <c r="E100" s="42" t="s">
        <v>301</v>
      </c>
      <c r="F100" s="43"/>
      <c r="G100" s="43"/>
    </row>
    <row r="101" spans="1:7" ht="15" customHeight="1" x14ac:dyDescent="0.35">
      <c r="A101" s="3" t="s">
        <v>12</v>
      </c>
      <c r="B101" s="4" t="s">
        <v>302</v>
      </c>
      <c r="C101" s="38" t="s">
        <v>299</v>
      </c>
      <c r="D101" s="3" t="s">
        <v>303</v>
      </c>
      <c r="E101" s="42" t="s">
        <v>304</v>
      </c>
      <c r="F101" s="43"/>
      <c r="G101" s="43"/>
    </row>
    <row r="102" spans="1:7" ht="15" customHeight="1" x14ac:dyDescent="0.35">
      <c r="A102" s="3" t="s">
        <v>15</v>
      </c>
      <c r="B102" s="4" t="s">
        <v>305</v>
      </c>
      <c r="C102" s="39" t="s">
        <v>306</v>
      </c>
      <c r="D102" s="3" t="s">
        <v>307</v>
      </c>
      <c r="E102" s="42" t="s">
        <v>308</v>
      </c>
      <c r="F102" s="43"/>
      <c r="G102" s="43"/>
    </row>
    <row r="103" spans="1:7" ht="45" customHeight="1" x14ac:dyDescent="0.35">
      <c r="A103" s="3" t="s">
        <v>18</v>
      </c>
      <c r="B103" s="4" t="s">
        <v>309</v>
      </c>
      <c r="C103" s="38" t="s">
        <v>299</v>
      </c>
      <c r="D103" s="3" t="s">
        <v>310</v>
      </c>
      <c r="E103" s="42" t="s">
        <v>311</v>
      </c>
      <c r="F103" s="43"/>
      <c r="G103" s="43"/>
    </row>
    <row r="104" spans="1:7" ht="90" customHeight="1" x14ac:dyDescent="0.35">
      <c r="A104" s="3" t="s">
        <v>21</v>
      </c>
      <c r="B104" s="4" t="s">
        <v>312</v>
      </c>
      <c r="C104" s="39" t="s">
        <v>306</v>
      </c>
      <c r="D104" s="3" t="s">
        <v>313</v>
      </c>
      <c r="E104" s="42" t="s">
        <v>314</v>
      </c>
      <c r="F104" s="43"/>
      <c r="G104" s="43"/>
    </row>
    <row r="105" spans="1:7" ht="15" customHeight="1" x14ac:dyDescent="0.35">
      <c r="A105" s="3" t="s">
        <v>24</v>
      </c>
      <c r="B105" s="4" t="s">
        <v>83</v>
      </c>
      <c r="C105" s="38" t="s">
        <v>299</v>
      </c>
      <c r="D105" s="3" t="s">
        <v>315</v>
      </c>
      <c r="E105" s="42" t="s">
        <v>316</v>
      </c>
      <c r="F105" s="43"/>
      <c r="G105" s="43"/>
    </row>
    <row r="106" spans="1:7" ht="15" customHeight="1" x14ac:dyDescent="0.35">
      <c r="A106" s="3" t="s">
        <v>246</v>
      </c>
      <c r="B106" s="4" t="s">
        <v>317</v>
      </c>
      <c r="C106" s="39" t="s">
        <v>306</v>
      </c>
      <c r="D106" s="3" t="s">
        <v>318</v>
      </c>
      <c r="E106" s="42" t="s">
        <v>319</v>
      </c>
      <c r="F106" s="43"/>
      <c r="G106" s="43"/>
    </row>
    <row r="107" spans="1:7" ht="15" customHeight="1" x14ac:dyDescent="0.35">
      <c r="A107" s="3" t="s">
        <v>249</v>
      </c>
      <c r="B107" s="4" t="s">
        <v>88</v>
      </c>
      <c r="C107" s="38" t="s">
        <v>299</v>
      </c>
      <c r="D107" s="3" t="s">
        <v>320</v>
      </c>
      <c r="E107" s="42" t="s">
        <v>321</v>
      </c>
      <c r="F107" s="43"/>
      <c r="G107" s="43"/>
    </row>
    <row r="108" spans="1:7" ht="15" customHeight="1" x14ac:dyDescent="0.35">
      <c r="A108" s="3" t="s">
        <v>252</v>
      </c>
      <c r="B108" s="4" t="s">
        <v>322</v>
      </c>
      <c r="C108" s="38" t="s">
        <v>299</v>
      </c>
      <c r="D108" s="3" t="s">
        <v>323</v>
      </c>
      <c r="E108" s="42" t="s">
        <v>324</v>
      </c>
      <c r="F108" s="43"/>
      <c r="G108" s="43"/>
    </row>
    <row r="109" spans="1:7" ht="45" customHeight="1" x14ac:dyDescent="0.35">
      <c r="A109" s="3" t="s">
        <v>255</v>
      </c>
      <c r="B109" s="4" t="s">
        <v>325</v>
      </c>
      <c r="C109" s="38" t="s">
        <v>299</v>
      </c>
      <c r="D109" s="3" t="s">
        <v>326</v>
      </c>
      <c r="E109" s="42" t="s">
        <v>327</v>
      </c>
      <c r="F109" s="43"/>
      <c r="G109" s="43"/>
    </row>
    <row r="110" spans="1:7" ht="45" customHeight="1" x14ac:dyDescent="0.35">
      <c r="A110" s="3" t="s">
        <v>258</v>
      </c>
      <c r="B110" s="4" t="s">
        <v>328</v>
      </c>
      <c r="C110" s="40" t="s">
        <v>329</v>
      </c>
      <c r="D110" s="3" t="s">
        <v>330</v>
      </c>
      <c r="E110" s="42" t="s">
        <v>331</v>
      </c>
      <c r="F110" s="43"/>
      <c r="G110" s="43"/>
    </row>
    <row r="111" spans="1:7" ht="30" customHeight="1" x14ac:dyDescent="0.35">
      <c r="A111" s="3" t="s">
        <v>261</v>
      </c>
      <c r="B111" s="4" t="s">
        <v>332</v>
      </c>
      <c r="C111" s="40" t="s">
        <v>329</v>
      </c>
      <c r="D111" s="3" t="s">
        <v>333</v>
      </c>
      <c r="E111" s="42" t="s">
        <v>334</v>
      </c>
      <c r="F111" s="43"/>
      <c r="G111" s="43"/>
    </row>
    <row r="112" spans="1:7" ht="15" customHeight="1" x14ac:dyDescent="0.35">
      <c r="A112" s="3" t="s">
        <v>265</v>
      </c>
      <c r="B112" s="4" t="s">
        <v>335</v>
      </c>
      <c r="C112" s="41" t="s">
        <v>336</v>
      </c>
      <c r="D112" s="3" t="s">
        <v>337</v>
      </c>
      <c r="E112" s="42" t="s">
        <v>338</v>
      </c>
      <c r="F112" s="43"/>
      <c r="G112" s="43"/>
    </row>
    <row r="113" spans="1:7" ht="30" customHeight="1" x14ac:dyDescent="0.35">
      <c r="A113" s="3" t="s">
        <v>268</v>
      </c>
      <c r="B113" s="4" t="s">
        <v>339</v>
      </c>
      <c r="C113" s="39" t="s">
        <v>306</v>
      </c>
      <c r="D113" s="3" t="s">
        <v>340</v>
      </c>
      <c r="E113" s="42" t="s">
        <v>341</v>
      </c>
      <c r="F113" s="43"/>
      <c r="G113" s="43"/>
    </row>
    <row r="114" spans="1:7" x14ac:dyDescent="0.35">
      <c r="A114" s="1" t="s">
        <v>342</v>
      </c>
    </row>
  </sheetData>
  <mergeCells count="17">
    <mergeCell ref="A1:G1"/>
    <mergeCell ref="E112:G112"/>
    <mergeCell ref="E102:G102"/>
    <mergeCell ref="A60:E60"/>
    <mergeCell ref="E109:G109"/>
    <mergeCell ref="E110:G110"/>
    <mergeCell ref="E101:G101"/>
    <mergeCell ref="E108:G108"/>
    <mergeCell ref="E99:G99"/>
    <mergeCell ref="E113:G113"/>
    <mergeCell ref="E100:G100"/>
    <mergeCell ref="E106:G106"/>
    <mergeCell ref="E105:G105"/>
    <mergeCell ref="E107:G107"/>
    <mergeCell ref="E103:G103"/>
    <mergeCell ref="E111:G111"/>
    <mergeCell ref="E104:G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163</vt:i4>
      </vt:variant>
    </vt:vector>
  </HeadingPairs>
  <TitlesOfParts>
    <vt:vector size="165" baseType="lpstr">
      <vt:lpstr>Οικονομική Προσφορά</vt:lpstr>
      <vt:lpstr>Τεχνικοί Υπολογισμοί</vt:lpstr>
      <vt:lpstr>N_b2_breaking_price</vt:lpstr>
      <vt:lpstr>N_b2_breaking_qty</vt:lpstr>
      <vt:lpstr>N_b2_breaking_total</vt:lpstr>
      <vt:lpstr>N_b2_conc_price</vt:lpstr>
      <vt:lpstr>N_b2_conc_qty</vt:lpstr>
      <vt:lpstr>N_b2_conc_total</vt:lpstr>
      <vt:lpstr>N_b2_drill_800_price</vt:lpstr>
      <vt:lpstr>N_b2_drill_800_qty</vt:lpstr>
      <vt:lpstr>N_b2_drill_800_total</vt:lpstr>
      <vt:lpstr>N_b2_grand_total</vt:lpstr>
      <vt:lpstr>N_b2_mob_price</vt:lpstr>
      <vt:lpstr>N_b2_mob_qty</vt:lpstr>
      <vt:lpstr>N_b2_mob_total</vt:lpstr>
      <vt:lpstr>N_b2_sleeve_price</vt:lpstr>
      <vt:lpstr>N_b2_sleeve_qty</vt:lpstr>
      <vt:lpstr>N_b2_sleeve_total</vt:lpstr>
      <vt:lpstr>N_b2_steel_head_price</vt:lpstr>
      <vt:lpstr>N_b2_steel_head_qty</vt:lpstr>
      <vt:lpstr>N_b2_steel_head_total</vt:lpstr>
      <vt:lpstr>N_b2_steel_price</vt:lpstr>
      <vt:lpstr>N_b2_steel_qty</vt:lpstr>
      <vt:lpstr>N_b2_steel_spiral_price</vt:lpstr>
      <vt:lpstr>N_b2_steel_spiral_qty</vt:lpstr>
      <vt:lpstr>N_b2_steel_spiral_total</vt:lpstr>
      <vt:lpstr>N_b2_steel_total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N_line_breaking_price</vt:lpstr>
      <vt:lpstr>N_line_breaking_qty</vt:lpstr>
      <vt:lpstr>N_line_breaking_total</vt:lpstr>
      <vt:lpstr>N_line_conc_price</vt:lpstr>
      <vt:lpstr>N_line_conc_qty</vt:lpstr>
      <vt:lpstr>N_line_conc_total</vt:lpstr>
      <vt:lpstr>N_line_drill_800_price</vt:lpstr>
      <vt:lpstr>N_line_drill_800_qty</vt:lpstr>
      <vt:lpstr>N_line_drill_800_total</vt:lpstr>
      <vt:lpstr>N_line_mob_price</vt:lpstr>
      <vt:lpstr>N_line_mob_qty</vt:lpstr>
      <vt:lpstr>N_line_mob_total</vt:lpstr>
      <vt:lpstr>N_line_sleeve_price</vt:lpstr>
      <vt:lpstr>N_line_sleeve_qty</vt:lpstr>
      <vt:lpstr>N_line_sleeve_total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N_p_mob_base</vt:lpstr>
      <vt:lpstr>N_p_mob_extra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2026-10-21T10:18:30Z</dcterms:created>
  <dcterms:modified xsi:type="dcterms:W3CDTF">2026-10-21T10:38:37Z</dcterms:modified>
</cp:coreProperties>
</file>