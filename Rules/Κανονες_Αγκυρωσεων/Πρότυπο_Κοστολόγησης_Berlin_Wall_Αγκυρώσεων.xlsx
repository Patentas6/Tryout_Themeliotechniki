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#,##0.0000"/>
    <numFmt numFmtId="167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1F4E78"/>
      <sz val="10"/>
    </font>
    <font>
      <name val="Calibri"/>
      <b val="1"/>
      <color rgb="00000000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E4D2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41719C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0" borderId="1" pivotButton="0" quotePrefix="0" xfId="0"/>
    <xf numFmtId="49" fontId="5" fillId="5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4" fontId="5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49" fontId="5" fillId="6" borderId="1" applyAlignment="1" pivotButton="0" quotePrefix="0" xfId="0">
      <alignment horizontal="left"/>
    </xf>
    <xf numFmtId="4" fontId="5" fillId="5" borderId="1" applyAlignment="1" pivotButton="0" quotePrefix="0" xfId="0">
      <alignment horizontal="right"/>
    </xf>
    <xf numFmtId="0" fontId="3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3" fontId="5" fillId="5" borderId="1" applyAlignment="1" pivotButton="0" quotePrefix="0" xfId="0">
      <alignment horizontal="right"/>
    </xf>
    <xf numFmtId="4" fontId="5" fillId="8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3" fontId="5" fillId="8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7" fillId="9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167" fontId="5" fillId="11" borderId="1" applyAlignment="1" pivotButton="0" quotePrefix="0" xfId="0">
      <alignment horizontal="right"/>
    </xf>
    <xf numFmtId="167" fontId="5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0" fillId="4" borderId="1" pivotButton="0" quotePrefix="0" xfId="0"/>
    <xf numFmtId="167" fontId="5" fillId="4" borderId="1" applyAlignment="1" pivotButton="0" quotePrefix="0" xfId="0">
      <alignment horizontal="right"/>
    </xf>
    <xf numFmtId="167" fontId="5" fillId="12" borderId="1" applyAlignment="1" pivotButton="0" quotePrefix="0" xfId="0">
      <alignment horizontal="right"/>
    </xf>
    <xf numFmtId="0" fontId="5" fillId="8" borderId="7" applyAlignment="1" pivotButton="0" quotePrefix="0" xfId="0">
      <alignment horizontal="right"/>
    </xf>
    <xf numFmtId="0" fontId="0" fillId="8" borderId="7" pivotButton="0" quotePrefix="0" xfId="0"/>
    <xf numFmtId="167" fontId="5" fillId="8" borderId="7" applyAlignment="1" pivotButton="0" quotePrefix="0" xfId="0">
      <alignment horizontal="right"/>
    </xf>
    <xf numFmtId="0" fontId="6" fillId="8" borderId="7" pivotButton="0" quotePrefix="0" xfId="0"/>
    <xf numFmtId="0" fontId="5" fillId="5" borderId="1" applyAlignment="1" pivotButton="0" quotePrefix="0" xfId="0">
      <alignment horizontal="right"/>
    </xf>
    <xf numFmtId="0" fontId="0" fillId="5" borderId="1" pivotButton="0" quotePrefix="0" xfId="0"/>
    <xf numFmtId="0" fontId="3" fillId="7" borderId="0" pivotButton="0" quotePrefix="0" xfId="0"/>
    <xf numFmtId="0" fontId="5" fillId="4" borderId="1" applyAlignment="1" pivotButton="0" quotePrefix="0" xfId="0">
      <alignment horizontal="left"/>
    </xf>
    <xf numFmtId="3" fontId="9" fillId="0" borderId="1" applyAlignment="1" pivotButton="0" quotePrefix="0" xfId="0">
      <alignment horizontal="right"/>
    </xf>
    <xf numFmtId="4" fontId="9" fillId="0" borderId="1" applyAlignment="1" pivotButton="0" quotePrefix="0" xfId="0">
      <alignment horizontal="right"/>
    </xf>
    <xf numFmtId="4" fontId="5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8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ΕΡΓΟ: BERLIN WALL &amp; ΑΓΚΥΡΩΣΕΙΣ — ΣΤΟΙΧΕΙΑ ΜΕΛΕΤΗΣ &amp; ΦΥΣΙΚΕΣ ΠΟΣΟΤΗΤΕΣ (ΧΩΡΙΣ ΕΥΡΩ)</t>
        </is>
      </c>
    </row>
    <row r="2">
      <c r="A2" s="2" t="inlineStr">
        <is>
          <t>ΧΩΡΙΣΜΕΝΟ ΣΕ 2 ΜΕΓΑΛΑ ΚΕΦΑΛΑΙΑ: [ΚΕΦΑΛΑΙΟ Α] = ΜΟΝΟ ΣΤΟΙΧΕΙΑ ΜΕΛΕΤΗΣ | [ΚΕΦΑΛΑΙΟ Β] = ΟΛΟΙ ΟΙ ΥΠΟΛΟΓΙΣΜΟΙ</t>
        </is>
      </c>
    </row>
    <row r="4" ht="26" customHeight="1">
      <c r="A4" s="3" t="inlineStr">
        <is>
          <t>🏛️ ΚΕΦΑΛΑΙΟ Α: ΜΟΝΟ ΣΤΟΙΧΕΙΑ ΠΟΥ ΔΙΑΒΑΣΤΗΚΑΝ ΑΠΟ ΤΗ ΜΕΛΕΤΗ (RAW INPUTS)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Α.1 Τοποθεσία Εργοταξίου, Έδρα &amp; Σειρές Αγκυρώσεων ανά Ζώνη</t>
        </is>
      </c>
      <c r="B5" s="6" t="n"/>
      <c r="C5" s="6" t="n"/>
      <c r="D5" s="6" t="n"/>
      <c r="E5" s="6" t="n"/>
      <c r="F5" s="6" t="n"/>
    </row>
    <row r="6">
      <c r="A6" s="7" t="inlineStr">
        <is>
          <t>Έδρα Εταιρείας (Αφετηρία)</t>
        </is>
      </c>
      <c r="B6" s="8" t="inlineStr">
        <is>
          <t>Άγιος Συλάς, Σπύρου Κυπριανού 32, Λεμεσός</t>
        </is>
      </c>
      <c r="C6" s="9" t="inlineStr">
        <is>
          <t>-</t>
        </is>
      </c>
      <c r="D6" s="10" t="inlineStr">
        <is>
          <t>Σταθερή βάση εκκίνησης συνεργείων &amp; μηχανημάτων</t>
        </is>
      </c>
      <c r="E6" s="11" t="n"/>
      <c r="F6" s="11" t="n"/>
    </row>
    <row r="7">
      <c r="A7" s="7" t="inlineStr">
        <is>
          <t>Τοποθεσία Εργοταξίου</t>
        </is>
      </c>
      <c r="B7" s="8" t="inlineStr">
        <is>
          <t>Λεμεσός</t>
        </is>
      </c>
      <c r="C7" s="9" t="inlineStr">
        <is>
          <t>-</t>
        </is>
      </c>
      <c r="D7" s="10" t="inlineStr">
        <is>
          <t>Τοποθεσία έργου από μελέτη</t>
        </is>
      </c>
      <c r="E7" s="11" t="n"/>
      <c r="F7" s="11" t="n"/>
    </row>
    <row r="8">
      <c r="A8" s="7" t="inlineStr">
        <is>
          <t>Χιλιομετρική Απόσταση από Έδρα</t>
        </is>
      </c>
      <c r="B8" s="12" t="n">
        <v>12</v>
      </c>
      <c r="C8" s="9" t="inlineStr">
        <is>
          <t>km</t>
        </is>
      </c>
      <c r="D8" s="10" t="inlineStr">
        <is>
          <t>Απόσταση σε km από Άγιο Συλά</t>
        </is>
      </c>
      <c r="E8" s="11" t="n"/>
      <c r="F8" s="11" t="n"/>
    </row>
    <row r="9">
      <c r="A9" s="7" t="inlineStr">
        <is>
          <t>Πλήθος Οριζόντιων Σειρών Αγκυρώσεων Μελέτης</t>
        </is>
      </c>
      <c r="B9" s="13" t="n">
        <v>2</v>
      </c>
      <c r="C9" s="9" t="inlineStr">
        <is>
          <t>σειρές</t>
        </is>
      </c>
      <c r="D9" s="10" t="inlineStr">
        <is>
          <t>Αριθμός οριζόντιων επιπέδων/σειρών αγκυρώσεων</t>
        </is>
      </c>
      <c r="E9" s="11" t="n"/>
      <c r="F9" s="11" t="n"/>
    </row>
    <row r="11" ht="20" customHeight="1">
      <c r="A11" s="5" t="inlineStr">
        <is>
          <t>Α.2 Γεωμετρία Μετώπου Εκσκαφής (Berlin Wall)</t>
        </is>
      </c>
      <c r="B11" s="6" t="n"/>
      <c r="C11" s="6" t="n"/>
      <c r="D11" s="6" t="n"/>
      <c r="E11" s="6" t="n"/>
      <c r="F11" s="6" t="n"/>
    </row>
    <row r="12">
      <c r="A12" s="7" t="inlineStr">
        <is>
          <t>Μήκος Τμήματος 1 Μετώπου (L1)</t>
        </is>
      </c>
      <c r="B12" s="12" t="n">
        <v>15</v>
      </c>
      <c r="C12" s="9" t="inlineStr">
        <is>
          <t>m</t>
        </is>
      </c>
      <c r="D12" s="10" t="inlineStr">
        <is>
          <t>Μήκος τοίχου τμήματος 1</t>
        </is>
      </c>
      <c r="E12" s="11" t="n"/>
      <c r="F12" s="11" t="n"/>
    </row>
    <row r="13">
      <c r="A13" s="7" t="inlineStr">
        <is>
          <t>Μήκος Τμήματος 2 Μετώπου (L2)</t>
        </is>
      </c>
      <c r="B13" s="12" t="n">
        <v>15</v>
      </c>
      <c r="C13" s="9" t="inlineStr">
        <is>
          <t>m</t>
        </is>
      </c>
      <c r="D13" s="10" t="inlineStr">
        <is>
          <t>Μήκος τοίχου τμήματος 2</t>
        </is>
      </c>
      <c r="E13" s="11" t="n"/>
      <c r="F13" s="11" t="n"/>
    </row>
    <row r="14">
      <c r="A14" s="7" t="inlineStr">
        <is>
          <t>Ελεύθερο Ύψος Εκσκαφής Μετώπου (H_exc)</t>
        </is>
      </c>
      <c r="B14" s="12" t="n">
        <v>8</v>
      </c>
      <c r="C14" s="9" t="inlineStr">
        <is>
          <t>m</t>
        </is>
      </c>
      <c r="D14" s="10" t="inlineStr">
        <is>
          <t>Καθαρό ύψος εκσκαφής που συγκρατείται από το Berlin Wall</t>
        </is>
      </c>
      <c r="E14" s="11" t="n"/>
      <c r="F14" s="11" t="n"/>
    </row>
    <row r="16" ht="20" customHeight="1">
      <c r="A16" s="5" t="inlineStr">
        <is>
          <t>Α.3 Σχάρες &amp; Εκτοξευόμενο Σκυρόδεμα (Shotcrete)</t>
        </is>
      </c>
      <c r="B16" s="6" t="n"/>
      <c r="C16" s="6" t="n"/>
      <c r="D16" s="6" t="n"/>
      <c r="E16" s="6" t="n"/>
      <c r="F16" s="6" t="n"/>
    </row>
    <row r="17">
      <c r="A17" s="7" t="inlineStr">
        <is>
          <t>Τύπος Χάλυβα Σχάρας</t>
        </is>
      </c>
      <c r="B17" s="8" t="inlineStr">
        <is>
          <t>B500A Δομικό Πλέγμα</t>
        </is>
      </c>
      <c r="C17" s="9" t="inlineStr">
        <is>
          <t>-</t>
        </is>
      </c>
      <c r="D17" s="10" t="inlineStr">
        <is>
          <t>Πλέγμα οπλισμού εκτοξευόμενου</t>
        </is>
      </c>
      <c r="E17" s="11" t="n"/>
      <c r="F17" s="11" t="n"/>
    </row>
    <row r="18">
      <c r="A18" s="7" t="inlineStr">
        <is>
          <t>Διάμετρος Ράβδων Σχάρας (mm)</t>
        </is>
      </c>
      <c r="B18" s="13" t="n">
        <v>10</v>
      </c>
      <c r="C18" s="9" t="inlineStr">
        <is>
          <t>mm</t>
        </is>
      </c>
      <c r="D18" s="10" t="inlineStr">
        <is>
          <t>Διάμετρος ράβδων πλέγματος (π.χ. Y10)</t>
        </is>
      </c>
      <c r="E18" s="11" t="n"/>
      <c r="F18" s="11" t="n"/>
    </row>
    <row r="19">
      <c r="A19" s="7" t="inlineStr">
        <is>
          <t>Οριζόντιο Βήμα Ράβδων Σχάρας (s_horiz)</t>
        </is>
      </c>
      <c r="B19" s="13" t="n">
        <v>150</v>
      </c>
      <c r="C19" s="9" t="inlineStr">
        <is>
          <t>mm</t>
        </is>
      </c>
      <c r="D19" s="10" t="inlineStr">
        <is>
          <t>Βήμα οριζόντιων ράβδων σε mm</t>
        </is>
      </c>
      <c r="E19" s="11" t="n"/>
      <c r="F19" s="11" t="n"/>
    </row>
    <row r="20">
      <c r="A20" s="7" t="inlineStr">
        <is>
          <t>Κάθετο Βήμα Ράβδων Σχάρας (s_vert)</t>
        </is>
      </c>
      <c r="B20" s="13" t="n">
        <v>150</v>
      </c>
      <c r="C20" s="9" t="inlineStr">
        <is>
          <t>mm</t>
        </is>
      </c>
      <c r="D20" s="10" t="inlineStr">
        <is>
          <t>Βήμα κάθετων ράβδων σε mm</t>
        </is>
      </c>
      <c r="E20" s="11" t="n"/>
      <c r="F20" s="11" t="n"/>
    </row>
    <row r="21">
      <c r="A21" s="7" t="inlineStr">
        <is>
          <t>Κατηγορία Σκυροδέματος Shotcrete</t>
        </is>
      </c>
      <c r="B21" s="14" t="inlineStr">
        <is>
          <t>C30/37</t>
        </is>
      </c>
      <c r="C21" s="9" t="inlineStr">
        <is>
          <t>-</t>
        </is>
      </c>
      <c r="D21" s="10" t="inlineStr">
        <is>
          <t>Κατηγορία σκυροδέματος μελέτης</t>
        </is>
      </c>
      <c r="E21" s="11" t="n"/>
      <c r="F21" s="11" t="n"/>
    </row>
    <row r="22">
      <c r="A22" s="7" t="inlineStr">
        <is>
          <t>Ονομαστικό Πάχος Shotcrete Μελέτης</t>
        </is>
      </c>
      <c r="B22" s="12" t="n">
        <v>0.12</v>
      </c>
      <c r="C22" s="9" t="inlineStr">
        <is>
          <t>m</t>
        </is>
      </c>
      <c r="D22" s="10" t="inlineStr">
        <is>
          <t>120 mm ονομαστικό πάχος εκτοξευόμενου</t>
        </is>
      </c>
      <c r="E22" s="11" t="n"/>
      <c r="F22" s="11" t="n"/>
    </row>
    <row r="23">
      <c r="A23" s="7" t="inlineStr">
        <is>
          <t>Πάγια Απώλεια / Αναπήδηση Εταιρείας</t>
        </is>
      </c>
      <c r="B23" s="15" t="n">
        <v>0.05</v>
      </c>
      <c r="C23" s="9" t="inlineStr">
        <is>
          <t>m</t>
        </is>
      </c>
      <c r="D23" s="10" t="inlineStr">
        <is>
          <t>+5 cm πάγια προσαύξηση εταιρείας (χρεώνεται στα €/m³)</t>
        </is>
      </c>
      <c r="E23" s="11" t="n"/>
      <c r="F23" s="11" t="n"/>
    </row>
    <row r="25" ht="20" customHeight="1">
      <c r="A25" s="5" t="inlineStr">
        <is>
          <t>Α.4 H-Beams (Νέφκες / Soldier Piles: Οπές, Χάλυβας, Λάμες, Κουγκρί, Γωνιές)</t>
        </is>
      </c>
      <c r="B25" s="6" t="n"/>
      <c r="C25" s="6" t="n"/>
      <c r="D25" s="6" t="n"/>
      <c r="E25" s="6" t="n"/>
      <c r="F25" s="6" t="n"/>
    </row>
    <row r="26">
      <c r="A26" s="7" t="inlineStr">
        <is>
          <t>Πλήθος Οπών / Νεφκών (N_holes)</t>
        </is>
      </c>
      <c r="B26" s="13" t="n">
        <v>20</v>
      </c>
      <c r="C26" s="9" t="inlineStr">
        <is>
          <t>οπές</t>
        </is>
      </c>
      <c r="D26" s="10" t="inlineStr">
        <is>
          <t>Αριθμός πασσάλων/νεφκών μετώπου</t>
        </is>
      </c>
      <c r="E26" s="11" t="n"/>
      <c r="F26" s="11" t="n"/>
    </row>
    <row r="27">
      <c r="A27" s="7" t="inlineStr">
        <is>
          <t>Διάμετρος Οπής Διάτρησης Μεγάλου Τρυπανιού (D)</t>
        </is>
      </c>
      <c r="B27" s="12" t="n">
        <v>0.8</v>
      </c>
      <c r="C27" s="9" t="inlineStr">
        <is>
          <t>m</t>
        </is>
      </c>
      <c r="D27" s="10" t="inlineStr">
        <is>
          <t>800 mm προεπιλογή αν δεν δίνεται στο σχέδιο</t>
        </is>
      </c>
      <c r="E27" s="11" t="n"/>
      <c r="F27" s="11" t="n"/>
    </row>
    <row r="28">
      <c r="A28" s="7" t="inlineStr">
        <is>
          <t>Βάθος Πάκτωσης Νέφκας κάτω από Εκσκαφή (H_embed)</t>
        </is>
      </c>
      <c r="B28" s="12" t="n">
        <v>4</v>
      </c>
      <c r="C28" s="9" t="inlineStr">
        <is>
          <t>m</t>
        </is>
      </c>
      <c r="D28" s="10" t="inlineStr">
        <is>
          <t>Βάθος έμπηξης/πάκτωσης στο έδαφος</t>
        </is>
      </c>
      <c r="E28" s="11" t="n"/>
      <c r="F28" s="11" t="n"/>
    </row>
    <row r="29">
      <c r="A29" s="7" t="inlineStr">
        <is>
          <t>Τύπος Χαλύβδινης Διατομής Νέφκας</t>
        </is>
      </c>
      <c r="B29" s="14" t="inlineStr">
        <is>
          <t>HEB 200</t>
        </is>
      </c>
      <c r="C29" s="9" t="inlineStr">
        <is>
          <t>-</t>
        </is>
      </c>
      <c r="D29" s="10" t="inlineStr">
        <is>
          <t>Από σχέδιο (βλ. Φύλλο 3: 61.3 kg/m)</t>
        </is>
      </c>
      <c r="E29" s="11" t="n"/>
      <c r="F29" s="11" t="n"/>
    </row>
    <row r="30">
      <c r="A30" s="7" t="inlineStr">
        <is>
          <t>Πλήθος Προφίλ ανά Οπή</t>
        </is>
      </c>
      <c r="B30" s="13" t="n">
        <v>1</v>
      </c>
      <c r="C30" s="9" t="inlineStr">
        <is>
          <t>προφίλ/οπή</t>
        </is>
      </c>
      <c r="D30" s="10" t="inlineStr">
        <is>
          <t>1 για HEB/HEA, 2 για διπλό UPN</t>
        </is>
      </c>
      <c r="E30" s="11" t="n"/>
      <c r="F30" s="11" t="n"/>
    </row>
    <row r="31">
      <c r="A31" s="7" t="inlineStr">
        <is>
          <t>Θεωρητικό Βάρος Προφίλ Νέφκας ανά Μέτρο</t>
        </is>
      </c>
      <c r="B31" s="12" t="n">
        <v>61.3</v>
      </c>
      <c r="C31" s="9" t="inlineStr">
        <is>
          <t>kg / m</t>
        </is>
      </c>
      <c r="D31" s="10" t="inlineStr">
        <is>
          <t>Βάρος διατομής από βιβλιοθήκη (Φύλλο 3)</t>
        </is>
      </c>
      <c r="E31" s="11" t="n"/>
      <c r="F31" s="11" t="n"/>
    </row>
    <row r="32">
      <c r="A32" s="7" t="inlineStr">
        <is>
          <t>Κατακόρυφο Βήμα Λαμών ανά Νέφκα (s_plate)</t>
        </is>
      </c>
      <c r="B32" s="12" t="n">
        <v>2</v>
      </c>
      <c r="C32" s="9" t="inlineStr">
        <is>
          <t>m</t>
        </is>
      </c>
      <c r="D32" s="10" t="inlineStr">
        <is>
          <t>Απόσταση λαμών ενίσχυσης κατά ύψος</t>
        </is>
      </c>
      <c r="E32" s="11" t="n"/>
      <c r="F32" s="11" t="n"/>
    </row>
    <row r="33">
      <c r="A33" s="7" t="inlineStr">
        <is>
          <t>Πλάτος Λάμας Σύνδεσης (W_plate)</t>
        </is>
      </c>
      <c r="B33" s="13" t="n">
        <v>200</v>
      </c>
      <c r="C33" s="9" t="inlineStr">
        <is>
          <t>mm</t>
        </is>
      </c>
      <c r="D33" s="10" t="inlineStr">
        <is>
          <t>Πλάτος λάμας σε mm</t>
        </is>
      </c>
      <c r="E33" s="11" t="n"/>
      <c r="F33" s="11" t="n"/>
    </row>
    <row r="34">
      <c r="A34" s="7" t="inlineStr">
        <is>
          <t>Μήκος Λάμας Σύνδεσης (L_plate)</t>
        </is>
      </c>
      <c r="B34" s="13" t="n">
        <v>200</v>
      </c>
      <c r="C34" s="9" t="inlineStr">
        <is>
          <t>mm</t>
        </is>
      </c>
      <c r="D34" s="10" t="inlineStr">
        <is>
          <t>Μήκος λάμας σε mm</t>
        </is>
      </c>
      <c r="E34" s="11" t="n"/>
      <c r="F34" s="11" t="n"/>
    </row>
    <row r="35">
      <c r="A35" s="7" t="inlineStr">
        <is>
          <t>Πάχος Λάμας Σύνδεσης (t_plate)</t>
        </is>
      </c>
      <c r="B35" s="13" t="n">
        <v>12</v>
      </c>
      <c r="C35" s="9" t="inlineStr">
        <is>
          <t>mm</t>
        </is>
      </c>
      <c r="D35" s="10" t="inlineStr">
        <is>
          <t>Πάχος λάμας σε mm</t>
        </is>
      </c>
      <c r="E35" s="11" t="n"/>
      <c r="F35" s="11" t="n"/>
    </row>
    <row r="36">
      <c r="A36" s="7" t="inlineStr">
        <is>
          <t>Ύπαρξη Γωνιών Στήριξης στο Σχέδιο (L-Angles)</t>
        </is>
      </c>
      <c r="B36" s="14" t="inlineStr">
        <is>
          <t>ΝΑΙ</t>
        </is>
      </c>
      <c r="C36" s="9" t="inlineStr">
        <is>
          <t>-</t>
        </is>
      </c>
      <c r="D36" s="10" t="inlineStr">
        <is>
          <t>ΝΑΙ ή ΟΧΙ (μόνο αν ζητείται στο σχέδιο)</t>
        </is>
      </c>
      <c r="E36" s="11" t="n"/>
      <c r="F36" s="11" t="n"/>
    </row>
    <row r="37">
      <c r="A37" s="7" t="inlineStr">
        <is>
          <t>Διατομή Γωνιών Στήριξης</t>
        </is>
      </c>
      <c r="B37" s="14" t="inlineStr">
        <is>
          <t>L 70x70x6</t>
        </is>
      </c>
      <c r="C37" s="9" t="inlineStr">
        <is>
          <t>-</t>
        </is>
      </c>
      <c r="D37" s="10" t="inlineStr">
        <is>
          <t>Διατομή γωνίας (2 γωνιές ανά οπή στο ελεύθερο ύψος)</t>
        </is>
      </c>
      <c r="E37" s="11" t="n"/>
      <c r="F37" s="11" t="n"/>
    </row>
    <row r="38">
      <c r="A38" s="7" t="inlineStr">
        <is>
          <t>Θεωρητικό Βάρος Γωνίας ανά Μέτρο</t>
        </is>
      </c>
      <c r="B38" s="12" t="n">
        <v>6.38</v>
      </c>
      <c r="C38" s="9" t="inlineStr">
        <is>
          <t>kg / m</t>
        </is>
      </c>
      <c r="D38" s="10" t="inlineStr">
        <is>
          <t>Βάρος L70x70x6 σε kg/m</t>
        </is>
      </c>
      <c r="E38" s="11" t="n"/>
      <c r="F38" s="11" t="n"/>
    </row>
    <row r="40" ht="20" customHeight="1">
      <c r="A40" s="5" t="inlineStr">
        <is>
          <t>Α.5 Αγκυρώσεις (Prestressed Tieback Anchors: Γραμμές, Βάθη, Grout, Τένοντες &amp; Κεφαλές)</t>
        </is>
      </c>
      <c r="B40" s="6" t="n"/>
      <c r="C40" s="6" t="n"/>
      <c r="D40" s="6" t="n"/>
      <c r="E40" s="6" t="n"/>
      <c r="F40" s="6" t="n"/>
    </row>
    <row r="41">
      <c r="A41" s="7" t="inlineStr">
        <is>
          <t>Πλήθος Αγκυρώσεων Σειράς 1</t>
        </is>
      </c>
      <c r="B41" s="13" t="n">
        <v>15</v>
      </c>
      <c r="C41" s="9" t="inlineStr">
        <is>
          <t>τεμ.</t>
        </is>
      </c>
      <c r="D41" s="10" t="inlineStr">
        <is>
          <t>Αριθμός αγκυρώσεων στην 1η οριζόντια γραμμή</t>
        </is>
      </c>
      <c r="E41" s="11" t="n"/>
      <c r="F41" s="11" t="n"/>
    </row>
    <row r="42">
      <c r="A42" s="7" t="inlineStr">
        <is>
          <t>Μήκος / Βάθος Διάτρησης Σειράς 1</t>
        </is>
      </c>
      <c r="B42" s="12" t="n">
        <v>15</v>
      </c>
      <c r="C42" s="9" t="inlineStr">
        <is>
          <t>m</t>
        </is>
      </c>
      <c r="D42" s="10" t="inlineStr">
        <is>
          <t>Βάθος αγκυρώσεων 1ης σειράς στο σχέδιο</t>
        </is>
      </c>
      <c r="E42" s="11" t="n"/>
      <c r="F42" s="11" t="n"/>
    </row>
    <row r="43">
      <c r="A43" s="7" t="inlineStr">
        <is>
          <t>Πλήθος Αγκυρώσεων Σειράς 2</t>
        </is>
      </c>
      <c r="B43" s="13" t="n">
        <v>15</v>
      </c>
      <c r="C43" s="9" t="inlineStr">
        <is>
          <t>τεμ.</t>
        </is>
      </c>
      <c r="D43" s="10" t="inlineStr">
        <is>
          <t>Αριθμός αγκυρώσεων στη 2η οριζόντια γραμμή</t>
        </is>
      </c>
      <c r="E43" s="11" t="n"/>
      <c r="F43" s="11" t="n"/>
    </row>
    <row r="44">
      <c r="A44" s="7" t="inlineStr">
        <is>
          <t>Μήκος / Βάθος Διάτρησης Σειράς 2</t>
        </is>
      </c>
      <c r="B44" s="12" t="n">
        <v>12</v>
      </c>
      <c r="C44" s="9" t="inlineStr">
        <is>
          <t>m</t>
        </is>
      </c>
      <c r="D44" s="10" t="inlineStr">
        <is>
          <t>Βάθος αγκυρώσεων 2ης σειράς στο σχέδιο</t>
        </is>
      </c>
      <c r="E44" s="11" t="n"/>
      <c r="F44" s="11" t="n"/>
    </row>
    <row r="45">
      <c r="A45" s="7" t="inlineStr">
        <is>
          <t>Πλήθος Τενόντων (Strands) ανά Οπή Αγκύρωσης</t>
        </is>
      </c>
      <c r="B45" s="13" t="n">
        <v>4</v>
      </c>
      <c r="C45" s="9" t="inlineStr">
        <is>
          <t>τεμ. / οπή</t>
        </is>
      </c>
      <c r="D45" s="10" t="inlineStr">
        <is>
          <t>Αριθμός συρματόσχοινων 0.6" ανά αγκύρωση</t>
        </is>
      </c>
      <c r="E45" s="11" t="n"/>
      <c r="F45" s="11" t="n"/>
    </row>
    <row r="46">
      <c r="A46" s="7" t="inlineStr">
        <is>
          <t>Επιπλέον Μήκος Τένοντα για Κεφαλή &amp; Προένταση</t>
        </is>
      </c>
      <c r="B46" s="15" t="n">
        <v>1</v>
      </c>
      <c r="C46" s="9" t="inlineStr">
        <is>
          <t>m</t>
        </is>
      </c>
      <c r="D46" s="10" t="inlineStr">
        <is>
          <t>ΠΑΝΤΑ +1.0 m επιπλέον μήκος τένοντα έξω από την οπή</t>
        </is>
      </c>
      <c r="E46" s="11" t="n"/>
      <c r="F46" s="11" t="n"/>
    </row>
    <row r="47">
      <c r="A47" s="7" t="inlineStr">
        <is>
          <t>Διάμετρος Οπής Διάτρησης Αγκύρωσης (D_anc)</t>
        </is>
      </c>
      <c r="B47" s="15" t="n">
        <v>0.12</v>
      </c>
      <c r="C47" s="9" t="inlineStr">
        <is>
          <t>m</t>
        </is>
      </c>
      <c r="D47" s="10" t="inlineStr">
        <is>
          <t>ΠΑΝΤΑ 12 cm (ακτίνα R = 0.06 m) κανόνας μάστρου</t>
        </is>
      </c>
      <c r="E47" s="11" t="n"/>
      <c r="F47" s="11" t="n"/>
    </row>
    <row r="48">
      <c r="A48" s="7" t="inlineStr">
        <is>
          <t>Συντελεστής Απώλειας Grout στο Έδαφος</t>
        </is>
      </c>
      <c r="B48" s="15" t="n">
        <v>1.2</v>
      </c>
      <c r="C48" s="9" t="inlineStr">
        <is>
          <t>-</t>
        </is>
      </c>
      <c r="D48" s="10" t="inlineStr">
        <is>
          <t>ΠΑΝΤΑ * 1.20 (+20% απώλεια στο έδαφος)</t>
        </is>
      </c>
      <c r="E48" s="11" t="n"/>
      <c r="F48" s="11" t="n"/>
    </row>
    <row r="49">
      <c r="A49" s="7" t="inlineStr">
        <is>
          <t>Θεωρητικό Βάρος Τένοντα (Strand 0.6")</t>
        </is>
      </c>
      <c r="B49" s="15" t="n">
        <v>1.1</v>
      </c>
      <c r="C49" s="9" t="inlineStr">
        <is>
          <t>kg / m</t>
        </is>
      </c>
      <c r="D49" s="10" t="inlineStr">
        <is>
          <t>Standard βάρος τένοντα 1.10 kg/m</t>
        </is>
      </c>
      <c r="E49" s="11" t="n"/>
      <c r="F49" s="11" t="n"/>
    </row>
    <row r="52" ht="26" customHeight="1">
      <c r="A52" s="16" t="inlineStr">
        <is>
          <t>⚙️ ΚΕΦΑΛΑΙΟ Β: ΟΛΟΙ ΟΙ ΥΠΟΛΟΓΙΣΜΟΙ ΦΥΣΙΚΩΝ ΜΕΓΕΘΩΝ (ΜΕ ΒΑΣΗ ΤΟ ΚΕΦΑΛΑΙΟ Α)</t>
        </is>
      </c>
      <c r="B52" s="17" t="n"/>
      <c r="C52" s="17" t="n"/>
      <c r="D52" s="17" t="n"/>
      <c r="E52" s="17" t="n"/>
      <c r="F52" s="17" t="n"/>
    </row>
    <row r="53" ht="20" customHeight="1">
      <c r="A53" s="5" t="inlineStr">
        <is>
          <t>Β.1 Υπολογισμοί Στρατών Μετακίνησης (3 Είδη)</t>
        </is>
      </c>
      <c r="B53" s="6" t="n"/>
      <c r="C53" s="6" t="n"/>
      <c r="D53" s="6" t="n"/>
      <c r="E53" s="6" t="n"/>
      <c r="F53" s="6" t="n"/>
    </row>
    <row r="54">
      <c r="A54" s="7" t="inlineStr">
        <is>
          <t>Υπολογισμός Στρατών Μεγάλου Τρυπανιού (Piling Rig)</t>
        </is>
      </c>
      <c r="B54" s="18" t="n">
        <v>1</v>
      </c>
      <c r="C54" s="9" t="inlineStr">
        <is>
          <t>στράτες</t>
        </is>
      </c>
      <c r="D54" s="10" t="inlineStr">
        <is>
          <t>Συνήθως 1 στράτα μεταφοράς μεγάλου τρυπανιού</t>
        </is>
      </c>
      <c r="E54" s="11" t="n"/>
      <c r="F54" s="11" t="n"/>
    </row>
    <row r="55">
      <c r="A55" s="7" t="inlineStr">
        <is>
          <t>Υπολογισμός Στρατών Εξοπλισμού Αγκυρώσεων</t>
        </is>
      </c>
      <c r="B55" s="18">
        <f>B9</f>
        <v/>
      </c>
      <c r="C55" s="9" t="inlineStr">
        <is>
          <t>στράτες</t>
        </is>
      </c>
      <c r="D55" s="10" t="inlineStr">
        <is>
          <t>Όσες οριζόντιες γραμμές αγκυρώσεων, τόσες στράτες (B9)</t>
        </is>
      </c>
      <c r="E55" s="11" t="n"/>
      <c r="F55" s="11" t="n"/>
    </row>
    <row r="56">
      <c r="A56" s="7" t="inlineStr">
        <is>
          <t>Υπολογισμός Στρατών Shotcrete (Αντλία / Συνεργείο)</t>
        </is>
      </c>
      <c r="B56" s="18">
        <f>B9+1</f>
        <v/>
      </c>
      <c r="C56" s="9" t="inlineStr">
        <is>
          <t>στράτες</t>
        </is>
      </c>
      <c r="D56" s="10" t="inlineStr">
        <is>
          <t>Σειρές αγκυρώσεων + 1 στράτα για πόδι/δάπεδο (B9 + 1)</t>
        </is>
      </c>
      <c r="E56" s="11" t="n"/>
      <c r="F56" s="11" t="n"/>
    </row>
    <row r="57" ht="20" customHeight="1">
      <c r="A57" s="5" t="inlineStr">
        <is>
          <t>Β.2 Υπολογισμοί Σχαρών &amp; Shotcrete Μετώπου</t>
        </is>
      </c>
      <c r="B57" s="6" t="n"/>
      <c r="C57" s="6" t="n"/>
      <c r="D57" s="6" t="n"/>
      <c r="E57" s="6" t="n"/>
      <c r="F57" s="6" t="n"/>
    </row>
    <row r="58">
      <c r="A58" s="7" t="inlineStr">
        <is>
          <t>Συνολικό Μήκος Μετώπου (L)</t>
        </is>
      </c>
      <c r="B58" s="15">
        <f>B12+B13</f>
        <v/>
      </c>
      <c r="C58" s="9" t="inlineStr">
        <is>
          <t>m</t>
        </is>
      </c>
      <c r="D58" s="10" t="inlineStr">
        <is>
          <t>L = 15.00 + 15.00 = 30.00 m</t>
        </is>
      </c>
      <c r="E58" s="11" t="n"/>
      <c r="F58" s="11" t="n"/>
    </row>
    <row r="59">
      <c r="A59" s="7" t="inlineStr">
        <is>
          <t>ΣΥΝΟΛΙΚΟ ΕΜΒΑΔΟΝ ΜΕΤΩΠΟΥ (A = L × H_exc)</t>
        </is>
      </c>
      <c r="B59" s="19">
        <f>ROUND(B58*B14, 2)</f>
        <v/>
      </c>
      <c r="C59" s="9" t="inlineStr">
        <is>
          <t>m²</t>
        </is>
      </c>
      <c r="D59" s="10">
        <f>"Εμβαδόν A = " &amp; B58 &amp; " m × " &amp; B14 &amp; " m"</f>
        <v/>
      </c>
      <c r="E59" s="11" t="n"/>
      <c r="F59" s="11" t="n"/>
    </row>
    <row r="60">
      <c r="A60" s="7">
        <f>"Τρέχοντα Μέτρα Ράβδων (" &amp; B19 &amp; "×" &amp; B20 &amp; " mm) σε 1 m²"</f>
        <v/>
      </c>
      <c r="B60" s="15">
        <f>(1000/B19)+(1000/B20)</f>
        <v/>
      </c>
      <c r="C60" s="9" t="inlineStr">
        <is>
          <t>m / m²</t>
        </is>
      </c>
      <c r="D60" s="10">
        <f>"1000/" &amp; B19 &amp; " + 1000/" &amp; B20 &amp; " m/m²"</f>
        <v/>
      </c>
      <c r="E60" s="11" t="n"/>
      <c r="F60" s="11" t="n"/>
    </row>
    <row r="61">
      <c r="A61" s="7">
        <f>"Θεωρητικό Βάρος Ράβδου Y" &amp; B18 &amp; " ανά Μέτρο"</f>
        <v/>
      </c>
      <c r="B61" s="20">
        <f>(PI()*((B18/1000)^2)/4)*7850</f>
        <v/>
      </c>
      <c r="C61" s="9" t="inlineStr">
        <is>
          <t>kg / m</t>
        </is>
      </c>
      <c r="D61" s="10">
        <f>"π * (" &amp; B18 &amp; "/1000)² / 4 * 7850"</f>
        <v/>
      </c>
      <c r="E61" s="11" t="n"/>
      <c r="F61" s="11" t="n"/>
    </row>
    <row r="62">
      <c r="A62" s="7" t="inlineStr">
        <is>
          <t>Υπολογιστικό Βάρος Σχάρας ανά m²</t>
        </is>
      </c>
      <c r="B62" s="20">
        <f>ROUND(B60*B61, 3)</f>
        <v/>
      </c>
      <c r="C62" s="9" t="inlineStr">
        <is>
          <t>kg / m²</t>
        </is>
      </c>
      <c r="D62" s="10" t="inlineStr">
        <is>
          <t>Μέτρα ανά m² × Βάρος ανά μέτρο</t>
        </is>
      </c>
      <c r="E62" s="11" t="n"/>
      <c r="F62" s="11" t="n"/>
    </row>
    <row r="63">
      <c r="A63" s="7">
        <f>"ΣΥΝΟΛΙΚΟ ΒΑΡΟΣ ΧΑΛΥΒΑ ΣΧΑΡΩΝ (Y" &amp; B18 &amp; ") ΕΡΓΟΥ"</f>
        <v/>
      </c>
      <c r="B63" s="19">
        <f>ROUND(B59*B62, 2)</f>
        <v/>
      </c>
      <c r="C63" s="9" t="inlineStr">
        <is>
          <t>kg</t>
        </is>
      </c>
      <c r="D63" s="10" t="inlineStr">
        <is>
          <t>Εμβαδόν A × Βάρος σχάρας/m²</t>
        </is>
      </c>
      <c r="E63" s="11" t="n"/>
      <c r="F63" s="11" t="n"/>
    </row>
    <row r="64">
      <c r="A64" s="7" t="inlineStr">
        <is>
          <t>Ονομαστικό Πάχος Shotcrete Μελέτης</t>
        </is>
      </c>
      <c r="B64" s="15">
        <f>B22</f>
        <v/>
      </c>
      <c r="C64" s="9" t="inlineStr">
        <is>
          <t>m</t>
        </is>
      </c>
      <c r="D64" s="10" t="inlineStr">
        <is>
          <t>120 mm ονομαστικό πάχος μελέτης</t>
        </is>
      </c>
      <c r="E64" s="11" t="n"/>
      <c r="F64" s="11" t="n"/>
    </row>
    <row r="65">
      <c r="A65" s="7" t="inlineStr">
        <is>
          <t>Ποσοστό Απώλειας επί του Ονομαστικού Πάχους</t>
        </is>
      </c>
      <c r="B65" s="21">
        <f>B23/B22</f>
        <v/>
      </c>
      <c r="C65" s="9" t="inlineStr">
        <is>
          <t>%</t>
        </is>
      </c>
      <c r="D65" s="10">
        <f>"Απώλεια " &amp; B23 &amp; "m / Ονομαστικό " &amp; B22 &amp; "m = +41.67% (χρεώνεται στα €/m³)"</f>
        <v/>
      </c>
      <c r="E65" s="11" t="n"/>
      <c r="F65" s="11" t="n"/>
    </row>
    <row r="66">
      <c r="A66" s="7">
        <f>"ΣΥΝΟΛΙΚΟΣ ΟΓΚΟΣ SHOTCRETE (" &amp; B21 &amp; ") ΕΡΓΟΥ (ΟΝΟΜΑΣΤΙΚΟΣ)"</f>
        <v/>
      </c>
      <c r="B66" s="19">
        <f>ROUND(B59*B22, 2)</f>
        <v/>
      </c>
      <c r="C66" s="9" t="inlineStr">
        <is>
          <t>m³</t>
        </is>
      </c>
      <c r="D66" s="10">
        <f>"Εμβαδόν " &amp; B59 &amp; " m² × " &amp; B22 &amp; " m ονομαστικό πάχος"</f>
        <v/>
      </c>
      <c r="E66" s="11" t="n"/>
      <c r="F66" s="11" t="n"/>
    </row>
    <row r="67" ht="20" customHeight="1">
      <c r="A67" s="5" t="inlineStr">
        <is>
          <t>Β.3 Υπολογισμοί H-Beams (Διάτρηση, Προφίλ, Λάμες, Κουγκρί Πάκτωσης, Γωνιές)</t>
        </is>
      </c>
      <c r="B67" s="6" t="n"/>
      <c r="C67" s="6" t="n"/>
      <c r="D67" s="6" t="n"/>
      <c r="E67" s="6" t="n"/>
      <c r="F67" s="6" t="n"/>
    </row>
    <row r="68">
      <c r="A68" s="7" t="inlineStr">
        <is>
          <t>Συνολικό Μήκος Νέφκας / Βάθος Οπής (L_beam)</t>
        </is>
      </c>
      <c r="B68" s="15">
        <f>B14+B28</f>
        <v/>
      </c>
      <c r="C68" s="9" t="inlineStr">
        <is>
          <t>m / οπή</t>
        </is>
      </c>
      <c r="D68" s="10" t="inlineStr">
        <is>
          <t>L_beam = H_exc (8m) + H_embed (4m) = 12.00 m</t>
        </is>
      </c>
      <c r="E68" s="11" t="n"/>
      <c r="F68" s="11" t="n"/>
    </row>
    <row r="69">
      <c r="A69" s="7" t="inlineStr">
        <is>
          <t>ΣΥΝΟΛΙΚΑ ΜΕΤΡΑ ΔΙΑΤΡΗΣΗΣ ΜΕΓΑΛΟΥ ΤΡΥΠΑΝΙΟΥ</t>
        </is>
      </c>
      <c r="B69" s="19">
        <f>B26*B68</f>
        <v/>
      </c>
      <c r="C69" s="9" t="inlineStr">
        <is>
          <t>m</t>
        </is>
      </c>
      <c r="D69" s="10">
        <f>"Αρ. οπών " &amp; B26 &amp; " × " &amp; B68 &amp; " m βάθος"</f>
        <v/>
      </c>
      <c r="E69" s="11" t="n"/>
      <c r="F69" s="11" t="n"/>
    </row>
    <row r="70">
      <c r="A70" s="7" t="inlineStr">
        <is>
          <t>Κυβικά Εκσκαφής Οπής ανά Μέτρο</t>
        </is>
      </c>
      <c r="B70" s="20">
        <f>PI()*((B27/2)^2)</f>
        <v/>
      </c>
      <c r="C70" s="9" t="inlineStr">
        <is>
          <t>m³ / m</t>
        </is>
      </c>
      <c r="D70" s="10" t="inlineStr">
        <is>
          <t>π * (D/2)² = π * (0.40)² = 0.5027 m³/m</t>
        </is>
      </c>
      <c r="E70" s="11" t="n"/>
      <c r="F70" s="11" t="n"/>
    </row>
    <row r="71">
      <c r="A71" s="7" t="inlineStr">
        <is>
          <t>Συνολικά Κυβικά Εκσκαφής Οπών Μεγάλου Τρυπανιού</t>
        </is>
      </c>
      <c r="B71" s="15">
        <f>ROUND(B69*B70, 2)</f>
        <v/>
      </c>
      <c r="C71" s="9" t="inlineStr">
        <is>
          <t>m³</t>
        </is>
      </c>
      <c r="D71" s="10" t="inlineStr">
        <is>
          <t>Συνολικά μέτρα διάτρησης × m³/m</t>
        </is>
      </c>
      <c r="E71" s="11" t="n"/>
      <c r="F71" s="11" t="n"/>
    </row>
    <row r="72">
      <c r="A72" s="7">
        <f>"ΣΥΝΟΛΙΚΟ ΒΑΡΟΣ ΧΑΛΥΒΑ ΝΕΦΚΩΝ (" &amp; B29 &amp; ")"</f>
        <v/>
      </c>
      <c r="B72" s="19">
        <f>ROUND(B26*B30*B68*B31, 2)</f>
        <v/>
      </c>
      <c r="C72" s="9" t="inlineStr">
        <is>
          <t>kg</t>
        </is>
      </c>
      <c r="D72" s="10">
        <f>"Οπές " &amp; B26 &amp; " × Προφίλ " &amp; B30 &amp; " × " &amp; B68 &amp; "m × " &amp; B31 &amp; " kg/m"</f>
        <v/>
      </c>
      <c r="E72" s="11" t="n"/>
      <c r="F72" s="11" t="n"/>
    </row>
    <row r="73">
      <c r="A73" s="7" t="inlineStr">
        <is>
          <t>Αριθμός Λαμών ανά Νέφκα</t>
        </is>
      </c>
      <c r="B73" s="18">
        <f>ROUNDUP(B68/B32, 0)</f>
        <v/>
      </c>
      <c r="C73" s="9" t="inlineStr">
        <is>
          <t>τεμ. / οπή</t>
        </is>
      </c>
      <c r="D73" s="10">
        <f>"Μήκος " &amp; B68 &amp; "m / Βήμα " &amp; B32 &amp; "m"</f>
        <v/>
      </c>
      <c r="E73" s="11" t="n"/>
      <c r="F73" s="11" t="n"/>
    </row>
    <row r="74">
      <c r="A74" s="7" t="inlineStr">
        <is>
          <t>Συνολικό Πλήθος Λαμών Σύνδεσης/Ενίσχυσης</t>
        </is>
      </c>
      <c r="B74" s="18">
        <f>B26*B73</f>
        <v/>
      </c>
      <c r="C74" s="9" t="inlineStr">
        <is>
          <t>τεμ.</t>
        </is>
      </c>
      <c r="D74" s="10">
        <f>"Οπές " &amp; B26 &amp; " × " &amp; B73 &amp; " λάμες/οπή"</f>
        <v/>
      </c>
      <c r="E74" s="11" t="n"/>
      <c r="F74" s="11" t="n"/>
    </row>
    <row r="75">
      <c r="A75" s="7" t="inlineStr">
        <is>
          <t>Βάρος ανά Λάμα Σύνδεσης</t>
        </is>
      </c>
      <c r="B75" s="18">
        <f>(B33/1000)*(B34/1000)*(B35/1000)*7850</f>
        <v/>
      </c>
      <c r="C75" s="9" t="inlineStr">
        <is>
          <t>kg / τεμ.</t>
        </is>
      </c>
      <c r="D75" s="10" t="inlineStr">
        <is>
          <t>(W/1000) × (L/1000) × (t/1000) × 7850 kg/m³</t>
        </is>
      </c>
      <c r="E75" s="11" t="n"/>
      <c r="F75" s="11" t="n"/>
    </row>
    <row r="76">
      <c r="A76" s="7" t="inlineStr">
        <is>
          <t>ΣΥΝΟΛΙΚΟ ΒΑΡΟΣ ΛΑΜΩΝ ΣΥΝΔΕΣΗΣ</t>
        </is>
      </c>
      <c r="B76" s="19">
        <f>ROUND(B74*B75, 2)</f>
        <v/>
      </c>
      <c r="C76" s="9" t="inlineStr">
        <is>
          <t>kg</t>
        </is>
      </c>
      <c r="D76" s="10" t="inlineStr">
        <is>
          <t>Συνολικές λάμες × Βάρος ανά λάμα</t>
        </is>
      </c>
      <c r="E76" s="11" t="n"/>
      <c r="F76" s="11" t="n"/>
    </row>
    <row r="77">
      <c r="A77" s="7" t="inlineStr">
        <is>
          <t>ΣΥΝΟΛΙΚΟΣ ΟΓΚΟΣ ΚΟΥΓΚΡΙΟΥ ΠΑΚΤΩΣΗΣ</t>
        </is>
      </c>
      <c r="B77" s="19">
        <f>ROUND(B26*B70*B28, 2)</f>
        <v/>
      </c>
      <c r="C77" s="9" t="inlineStr">
        <is>
          <t>m³</t>
        </is>
      </c>
      <c r="D77" s="10">
        <f>"Οπές " &amp; B26 &amp; " × " &amp; TEXT(B70, "0.000") &amp; " m³/m × Πάκτωση " &amp; B28 &amp; "m"</f>
        <v/>
      </c>
      <c r="E77" s="11" t="n"/>
      <c r="F77" s="11" t="n"/>
    </row>
    <row r="78">
      <c r="A78" s="7" t="inlineStr">
        <is>
          <t>Συνολικό Μήκος Γωνιών Στήριξης (αν ΝΑΙ)</t>
        </is>
      </c>
      <c r="B78" s="15">
        <f>IF(B36="ΝΑΙ", B26*2*B14, 0)</f>
        <v/>
      </c>
      <c r="C78" s="9" t="inlineStr">
        <is>
          <t>m</t>
        </is>
      </c>
      <c r="D78" s="10">
        <f>"2 γωνιές × Οπές " &amp; B26 &amp; " × Ύψος εκσκαφής " &amp; B14 &amp; "m"</f>
        <v/>
      </c>
      <c r="E78" s="11" t="n"/>
      <c r="F78" s="11" t="n"/>
    </row>
    <row r="79">
      <c r="A79" s="7">
        <f>"ΣΥΝΟΛΙΚΟ ΒΑΡΟΣ ΓΩΝΙΩΝ ΣΤΗΡΙΞΗΣ (" &amp; B37 &amp; ")"</f>
        <v/>
      </c>
      <c r="B79" s="19">
        <f>ROUND(B78*B38, 2)</f>
        <v/>
      </c>
      <c r="C79" s="9" t="inlineStr">
        <is>
          <t>kg</t>
        </is>
      </c>
      <c r="D79" s="10" t="inlineStr">
        <is>
          <t>Μήκος γωνιών × 6.38 kg/m</t>
        </is>
      </c>
      <c r="E79" s="11" t="n"/>
      <c r="F79" s="11" t="n"/>
    </row>
    <row r="80" ht="20" customHeight="1">
      <c r="A80" s="5" t="inlineStr">
        <is>
          <t>Β.4 Υπολογισμοί Αγκυρώσεων (Διάτρηση, Grout, Τένοντες, Προένταση, Κεφαλές)</t>
        </is>
      </c>
      <c r="B80" s="6" t="n"/>
      <c r="C80" s="6" t="n"/>
      <c r="D80" s="6" t="n"/>
      <c r="E80" s="6" t="n"/>
      <c r="F80" s="6" t="n"/>
    </row>
    <row r="81">
      <c r="A81" s="7" t="inlineStr">
        <is>
          <t>ΣΥΝΟΛΙΚΟ ΠΛΗΘΟΣ ΑΓΚΥΡΩΣΕΩΝ ΕΡΓΟΥ</t>
        </is>
      </c>
      <c r="B81" s="22">
        <f>B41+B43</f>
        <v/>
      </c>
      <c r="C81" s="9" t="inlineStr">
        <is>
          <t>τεμ.</t>
        </is>
      </c>
      <c r="D81" s="10" t="inlineStr">
        <is>
          <t>Σειρά 1 (15) + Σειρά 2 (15) = 30 αγκυρώσεις</t>
        </is>
      </c>
      <c r="E81" s="11" t="n"/>
      <c r="F81" s="11" t="n"/>
    </row>
    <row r="82">
      <c r="A82" s="7" t="inlineStr">
        <is>
          <t>Μέτρα Διάτρησης Αγκυρώσεων Σειράς 1</t>
        </is>
      </c>
      <c r="B82" s="15">
        <f>B41*B42</f>
        <v/>
      </c>
      <c r="C82" s="9" t="inlineStr">
        <is>
          <t>m</t>
        </is>
      </c>
      <c r="D82" s="10">
        <f>"15 αγκυρώσεις × " &amp; B42 &amp; " m"</f>
        <v/>
      </c>
      <c r="E82" s="11" t="n"/>
      <c r="F82" s="11" t="n"/>
    </row>
    <row r="83">
      <c r="A83" s="7" t="inlineStr">
        <is>
          <t>Μέτρα Διάτρησης Αγκυρώσεων Σειράς 2</t>
        </is>
      </c>
      <c r="B83" s="15">
        <f>B43*B44</f>
        <v/>
      </c>
      <c r="C83" s="9" t="inlineStr">
        <is>
          <t>m</t>
        </is>
      </c>
      <c r="D83" s="10">
        <f>"15 αγκυρώσεις × " &amp; B44 &amp; " m"</f>
        <v/>
      </c>
      <c r="E83" s="11" t="n"/>
      <c r="F83" s="11" t="n"/>
    </row>
    <row r="84">
      <c r="A84" s="7" t="inlineStr">
        <is>
          <t>ΣΥΝΟΛΙΚΑ ΜΕΤΡΑ ΔΙΑΤΡΗΣΗΣ ΑΓΚΥΡΩΣΕΩΝ</t>
        </is>
      </c>
      <c r="B84" s="19">
        <f>B82+B83</f>
        <v/>
      </c>
      <c r="C84" s="9" t="inlineStr">
        <is>
          <t>m</t>
        </is>
      </c>
      <c r="D84" s="10" t="inlineStr">
        <is>
          <t>225.00 m + 180.00 m = 405.00 m διάτρησης</t>
        </is>
      </c>
      <c r="E84" s="11" t="n"/>
      <c r="F84" s="11" t="n"/>
    </row>
    <row r="85">
      <c r="A85" s="7" t="inlineStr">
        <is>
          <t>Όγκος Grout ανά Μέτρο Διάτρησης Αγκύρωσης</t>
        </is>
      </c>
      <c r="B85" s="23">
        <f>PI()*((B47/2)^2)*B48</f>
        <v/>
      </c>
      <c r="C85" s="9" t="inlineStr">
        <is>
          <t>m³ / m</t>
        </is>
      </c>
      <c r="D85" s="10" t="inlineStr">
        <is>
          <t>π * (0.06)² * 1.20 = 0.013572 m³/m</t>
        </is>
      </c>
      <c r="E85" s="11" t="n"/>
      <c r="F85" s="11" t="n"/>
    </row>
    <row r="86">
      <c r="A86" s="7" t="inlineStr">
        <is>
          <t>ΣΥΝΟΛΙΚΟΣ ΟΓΚΟΣ GROUT ΑΓΚΥΡΩΣΕΩΝ</t>
        </is>
      </c>
      <c r="B86" s="19">
        <f>ROUND(B84*B85, 2)</f>
        <v/>
      </c>
      <c r="C86" s="9" t="inlineStr">
        <is>
          <t>m³</t>
        </is>
      </c>
      <c r="D86" s="10">
        <f>"Μέτρα " &amp; B84 &amp; "m × " &amp; TEXT(B85, "0.0000") &amp; " m³/m"</f>
        <v/>
      </c>
      <c r="E86" s="11" t="n"/>
      <c r="F86" s="11" t="n"/>
    </row>
    <row r="87">
      <c r="A87" s="7" t="inlineStr">
        <is>
          <t>ΣΥΝΟΛΙΚΟ ΜΗΚΟΣ ΤΕΝΟΝΤΩΝ (STRANDS 0.6")</t>
        </is>
      </c>
      <c r="B87" s="19">
        <f>(B41*(B42+B46)*B45)+(B43*(B44+B46)*B45)</f>
        <v/>
      </c>
      <c r="C87" s="9" t="inlineStr">
        <is>
          <t>m</t>
        </is>
      </c>
      <c r="D87" s="10">
        <f>"Σειρά 1: 15×(15+1)×4m + Σειρά 2: 15×(12+1)×4m"</f>
        <v/>
      </c>
      <c r="E87" s="11" t="n"/>
      <c r="F87" s="11" t="n"/>
    </row>
    <row r="88">
      <c r="A88" s="7" t="inlineStr">
        <is>
          <t>ΣΥΝΟΛΙΚΟ ΒΑΡΟΣ ΤΕΝΟΝΤΩΝ</t>
        </is>
      </c>
      <c r="B88" s="19">
        <f>ROUND(B87*B49, 2)</f>
        <v/>
      </c>
      <c r="C88" s="9" t="inlineStr">
        <is>
          <t>kg</t>
        </is>
      </c>
      <c r="D88" s="10">
        <f>"Μήκος " &amp; B87 &amp; " m × " &amp; B49 &amp; " kg/m"</f>
        <v/>
      </c>
      <c r="E88" s="11" t="n"/>
      <c r="F88" s="11" t="n"/>
    </row>
  </sheetData>
  <mergeCells count="80">
    <mergeCell ref="D76:F76"/>
    <mergeCell ref="D66:F66"/>
    <mergeCell ref="D75:F75"/>
    <mergeCell ref="D47:F47"/>
    <mergeCell ref="D28:F28"/>
    <mergeCell ref="D37:F37"/>
    <mergeCell ref="A5:F5"/>
    <mergeCell ref="D12:F12"/>
    <mergeCell ref="D9:F9"/>
    <mergeCell ref="D30:F30"/>
    <mergeCell ref="D14:F14"/>
    <mergeCell ref="D29:F29"/>
    <mergeCell ref="D23:F23"/>
    <mergeCell ref="A40:F40"/>
    <mergeCell ref="A16:F16"/>
    <mergeCell ref="D27:F27"/>
    <mergeCell ref="D41:F41"/>
    <mergeCell ref="D17:F17"/>
    <mergeCell ref="D43:F43"/>
    <mergeCell ref="D74:F74"/>
    <mergeCell ref="D68:F68"/>
    <mergeCell ref="D83:F83"/>
    <mergeCell ref="D55:F55"/>
    <mergeCell ref="D85:F85"/>
    <mergeCell ref="D54:F54"/>
    <mergeCell ref="D60:F60"/>
    <mergeCell ref="D69:F69"/>
    <mergeCell ref="A11:F11"/>
    <mergeCell ref="D31:F31"/>
    <mergeCell ref="D46:F46"/>
    <mergeCell ref="D21:F21"/>
    <mergeCell ref="D86:F86"/>
    <mergeCell ref="D32:F32"/>
    <mergeCell ref="D7:F7"/>
    <mergeCell ref="D78:F78"/>
    <mergeCell ref="D87:F87"/>
    <mergeCell ref="D71:F71"/>
    <mergeCell ref="D18:F18"/>
    <mergeCell ref="D58:F58"/>
    <mergeCell ref="D8:F8"/>
    <mergeCell ref="A53:F53"/>
    <mergeCell ref="D33:F33"/>
    <mergeCell ref="D73:F73"/>
    <mergeCell ref="D42:F42"/>
    <mergeCell ref="D82:F82"/>
    <mergeCell ref="D35:F35"/>
    <mergeCell ref="D44:F44"/>
    <mergeCell ref="D59:F59"/>
    <mergeCell ref="D20:F20"/>
    <mergeCell ref="D34:F34"/>
    <mergeCell ref="A1:F1"/>
    <mergeCell ref="D84:F84"/>
    <mergeCell ref="D22:F22"/>
    <mergeCell ref="D36:F36"/>
    <mergeCell ref="D45:F45"/>
    <mergeCell ref="D6:F6"/>
    <mergeCell ref="D77:F77"/>
    <mergeCell ref="D13:F13"/>
    <mergeCell ref="D61:F61"/>
    <mergeCell ref="A80:F80"/>
    <mergeCell ref="D70:F70"/>
    <mergeCell ref="D48:F48"/>
    <mergeCell ref="A57:F57"/>
    <mergeCell ref="D72:F72"/>
    <mergeCell ref="D62:F62"/>
    <mergeCell ref="D56:F56"/>
    <mergeCell ref="A4:F4"/>
    <mergeCell ref="D64:F64"/>
    <mergeCell ref="D38:F38"/>
    <mergeCell ref="A52:F52"/>
    <mergeCell ref="D79:F79"/>
    <mergeCell ref="A67:F67"/>
    <mergeCell ref="D88:F88"/>
    <mergeCell ref="D26:F26"/>
    <mergeCell ref="D63:F63"/>
    <mergeCell ref="D81:F81"/>
    <mergeCell ref="D19:F19"/>
    <mergeCell ref="D65:F65"/>
    <mergeCell ref="D49:F4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8" customWidth="1" min="2" max="2"/>
    <col width="14" customWidth="1" min="3" max="3"/>
    <col width="22" customWidth="1" min="4" max="4"/>
    <col width="22" customWidth="1" min="5" max="5"/>
    <col width="26" customWidth="1" min="6" max="6"/>
    <col width="28" customWidth="1" min="7" max="7"/>
  </cols>
  <sheetData>
    <row r="1" ht="30" customHeight="1">
      <c r="A1" s="1" t="inlineStr">
        <is>
          <t>ΕΡΓΟ: BERLIN WALL &amp; ΑΓΚΥΡΩΣΕΙΣ — ΥΠΟΛΟΓΙΣΜΟΙ ΕΥΡΩ (€) &amp; ΟΙΚΟΝΟΜΙΚΗ ΠΡΟΣΦΟΡΑ</t>
        </is>
      </c>
    </row>
    <row r="2">
      <c r="A2" s="2" t="inlineStr">
        <is>
          <t>Οι τιμές μονάδας περιλαμβάνουν ήδη γενικά έξοδα, απρόβλεπτα &amp; εργολαβικό όφελος | [ΚΙΤΡΙΝΟ #FFF2CC] = Τιμές Μονάδας</t>
        </is>
      </c>
    </row>
    <row r="4" ht="22" customHeight="1">
      <c r="A4" s="24" t="inlineStr">
        <is>
          <t>Περιγραφή Εργασίας / Υλικού</t>
        </is>
      </c>
      <c r="B4" s="24" t="inlineStr">
        <is>
          <t>Ποσότητα</t>
        </is>
      </c>
      <c r="C4" s="24" t="inlineStr">
        <is>
          <t>Μονάδα</t>
        </is>
      </c>
      <c r="D4" s="24" t="inlineStr">
        <is>
          <t>Τιμή Μονάδας (€)</t>
        </is>
      </c>
      <c r="E4" s="24" t="inlineStr">
        <is>
          <t>Συνολικό Κόστος (€)</t>
        </is>
      </c>
      <c r="F4" s="24" t="inlineStr">
        <is>
          <t>Πηγή Ποσότητας / Τεχνικός Κανόνας</t>
        </is>
      </c>
    </row>
    <row r="5" ht="24" customHeight="1">
      <c r="A5" s="25" t="inlineStr">
        <is>
          <t>ΠΥΛΩΝΑΣ 1: ΜΕΤΑΚΙΝΗΣΕΙΣ &amp; ΣΤΡΑΤΕΣ (3 ΕΙΔΗ)</t>
        </is>
      </c>
      <c r="B5" s="26" t="n"/>
      <c r="C5" s="26" t="n"/>
      <c r="D5" s="26" t="n"/>
      <c r="E5" s="26" t="n"/>
      <c r="F5" s="26" t="n"/>
    </row>
    <row r="6">
      <c r="A6" s="7" t="inlineStr">
        <is>
          <t>Μετακίνηση Μεγάλου Τρυπανιού (Piling Rig)</t>
        </is>
      </c>
      <c r="B6" s="18">
        <f>'1_Στοιχεία_Μελέτης_&amp;_Ποσότητες'!B54</f>
        <v/>
      </c>
      <c r="C6" s="9" t="inlineStr">
        <is>
          <t>στράτες</t>
        </is>
      </c>
      <c r="D6" s="27" t="n">
        <v>1500</v>
      </c>
      <c r="E6" s="28">
        <f>B6*D6</f>
        <v/>
      </c>
      <c r="F6" s="10" t="inlineStr">
        <is>
          <t>Βάση Λεμεσός (0-40km: 1500€, 40-80km: +500€, &gt;80km: +1500€)</t>
        </is>
      </c>
    </row>
    <row r="7">
      <c r="A7" s="7" t="inlineStr">
        <is>
          <t>Μετακινήσεις Εξοπλισμού Αγκυρώσεων</t>
        </is>
      </c>
      <c r="B7" s="18">
        <f>'1_Στοιχεία_Μελέτης_&amp;_Ποσότητες'!B55</f>
        <v/>
      </c>
      <c r="C7" s="9" t="inlineStr">
        <is>
          <t>στράτες</t>
        </is>
      </c>
      <c r="D7" s="27" t="n">
        <v>300</v>
      </c>
      <c r="E7" s="28">
        <f>B7*D7</f>
        <v/>
      </c>
      <c r="F7" s="10" t="inlineStr">
        <is>
          <t>Από Φύλλο 1 (1 στράτα ανά οριζόντια σειρά αγκυρώσεων = 2 στράτες)</t>
        </is>
      </c>
    </row>
    <row r="8">
      <c r="A8" s="7" t="inlineStr">
        <is>
          <t>Μετακινήσεις Συνεργείου &amp; Αντλίας Shotcrete</t>
        </is>
      </c>
      <c r="B8" s="18">
        <f>'1_Στοιχεία_Μελέτης_&amp;_Ποσότητες'!B56</f>
        <v/>
      </c>
      <c r="C8" s="9" t="inlineStr">
        <is>
          <t>στράτες</t>
        </is>
      </c>
      <c r="D8" s="27" t="n">
        <v>200</v>
      </c>
      <c r="E8" s="28">
        <f>B8*D8</f>
        <v/>
      </c>
      <c r="F8" s="10" t="inlineStr">
        <is>
          <t>Από Φύλλο 1 (Σειρές αγκυρώσεων + 1 = 3 στράτες)</t>
        </is>
      </c>
    </row>
    <row r="9">
      <c r="A9" s="29" t="inlineStr">
        <is>
          <t>ΣΥΝΟΛΟ ΠΥΛΩΝΑ 1 (ΜΕΤΑΚΙΝΗΣΕΙΣ)</t>
        </is>
      </c>
      <c r="B9" s="30" t="n"/>
      <c r="C9" s="30" t="n"/>
      <c r="D9" s="30" t="n"/>
      <c r="E9" s="31">
        <f>SUM(E6:E8)</f>
        <v/>
      </c>
      <c r="F9" s="30" t="inlineStr"/>
    </row>
    <row r="11" ht="24" customHeight="1">
      <c r="A11" s="25" t="inlineStr">
        <is>
          <t>ΠΥΛΩΝΑΣ 2: ΣΧΑΡΕΣ &amp; ΕΚΤΟΞΕΥΟΜΕΝΟ ΣΚΥΡΟΔΕΜΑ (SHOTCRETE)</t>
        </is>
      </c>
      <c r="B11" s="26" t="n"/>
      <c r="C11" s="26" t="n"/>
      <c r="D11" s="26" t="n"/>
      <c r="E11" s="26" t="n"/>
      <c r="F11" s="26" t="n"/>
    </row>
    <row r="12">
      <c r="A12" s="7">
        <f>"Αγορά Χάλυβα Σχάρας (Y" &amp; '1_Στοιχεία_Μελέτης_&amp;_Ποσότητες'!B18 &amp; " " &amp; '1_Στοιχεία_Μελέτης_&amp;_Ποσότητες'!B17 &amp; ")"</f>
        <v/>
      </c>
      <c r="B12" s="15">
        <f>'1_Στοιχεία_Μελέτης_&amp;_Ποσότητες'!B63</f>
        <v/>
      </c>
      <c r="C12" s="9" t="inlineStr">
        <is>
          <t>kg</t>
        </is>
      </c>
      <c r="D12" s="27" t="n">
        <v>2.5</v>
      </c>
      <c r="E12" s="28">
        <f>B12*D12</f>
        <v/>
      </c>
      <c r="F12" s="10">
        <f>"Από Φύλλο 1 (" &amp; TEXT(B12, "#,##0.00") &amp; " kg) × 2.50 €/kg"</f>
        <v/>
      </c>
    </row>
    <row r="13">
      <c r="A13" s="7" t="inlineStr">
        <is>
          <t>Τοποθέτηση Σχάρας / Εργατικά Μετώπου</t>
        </is>
      </c>
      <c r="B13" s="15">
        <f>'1_Στοιχεία_Μελέτης_&amp;_Ποσότητες'!B59</f>
        <v/>
      </c>
      <c r="C13" s="9" t="inlineStr">
        <is>
          <t>m²</t>
        </is>
      </c>
      <c r="D13" s="27" t="n">
        <v>15</v>
      </c>
      <c r="E13" s="28">
        <f>B13*D13</f>
        <v/>
      </c>
      <c r="F13" s="10">
        <f>"Από Φύλλο 1 (" &amp; TEXT(B13, "#,##0.00") &amp; " m²) × 15.00 €/m²"</f>
        <v/>
      </c>
    </row>
    <row r="14">
      <c r="A14" s="7">
        <f>"Αγορά Σκυροδέματος Shotcrete (" &amp; '1_Στοιχεία_Μελέτης_&amp;_Ποσότητες'!B21 &amp; ")"</f>
        <v/>
      </c>
      <c r="B14" s="15">
        <f>'1_Στοιχεία_Μελέτης_&amp;_Ποσότητες'!B66</f>
        <v/>
      </c>
      <c r="C14" s="9" t="inlineStr">
        <is>
          <t>m³</t>
        </is>
      </c>
      <c r="D14" s="27" t="n">
        <v>90</v>
      </c>
      <c r="E14" s="28">
        <f>B14*D14</f>
        <v/>
      </c>
      <c r="F14" s="10" t="inlineStr">
        <is>
          <t>Σταθερή τιμή αγοράς C30/37 (90 €/m³)</t>
        </is>
      </c>
    </row>
    <row r="15">
      <c r="A15" s="7" t="inlineStr">
        <is>
          <t>Τοποθέτηση / Εκτόξευση / Αντλία (με προσαύξηση απώλειας)</t>
        </is>
      </c>
      <c r="B15" s="15">
        <f>'1_Στοιχεία_Μελέτης_&amp;_Ποσότητες'!B66</f>
        <v/>
      </c>
      <c r="C15" s="9" t="inlineStr">
        <is>
          <t>m³</t>
        </is>
      </c>
      <c r="D15" s="27">
        <f>ROUND((IF(B14&gt;7, 200, 250)*(1+'1_Στοιχεία_Μελέτης_&amp;_Ποσότητες'!B65))-90, 2)</f>
        <v/>
      </c>
      <c r="E15" s="28">
        <f>B15*D15</f>
        <v/>
      </c>
      <c r="F15" s="10">
        <f>"Βάση " &amp; IF(B14&gt;7,200,250) &amp; "€ × (1+" &amp; TEXT('1_Στοιχεία_Μελέτης_&amp;_Ποσότητες'!B65, "0.0%") &amp; " απώλεια) - 90€ αγορά"</f>
        <v/>
      </c>
    </row>
    <row r="16">
      <c r="A16" s="29" t="inlineStr">
        <is>
          <t>ΣΥΝΟΛΟ ΠΥΛΩΝΑ 2 (ΣΧΑΡΕΣ &amp; SHOTCRETE)</t>
        </is>
      </c>
      <c r="B16" s="30" t="n"/>
      <c r="C16" s="30" t="n"/>
      <c r="D16" s="30" t="n"/>
      <c r="E16" s="31">
        <f>SUM(E12:E15)</f>
        <v/>
      </c>
      <c r="F16" s="30" t="inlineStr"/>
    </row>
    <row r="18" ht="24" customHeight="1">
      <c r="A18" s="25" t="inlineStr">
        <is>
          <t>ΠΥΛΩΝΑΣ 3: H-BEAMS (ΝΕΦΚΕΣ / SOLDIER PILES — 5 ΕΡΓΑΣΙΕΣ/ΥΛΙΚΑ)</t>
        </is>
      </c>
      <c r="B18" s="26" t="n"/>
      <c r="C18" s="26" t="n"/>
      <c r="D18" s="26" t="n"/>
      <c r="E18" s="26" t="n"/>
      <c r="F18" s="26" t="n"/>
    </row>
    <row r="19">
      <c r="A19" s="7">
        <f>"3.1 Διάτρηση Μεγάλου Τρυπανιού (Ø" &amp; TEXT('1_Στοιχεία_Μελέτης_&amp;_Ποσότητες'!B27*1000, "0") &amp; " mm)"</f>
        <v/>
      </c>
      <c r="B19" s="15">
        <f>'1_Στοιχεία_Μελέτης_&amp;_Ποσότητες'!B69</f>
        <v/>
      </c>
      <c r="C19" s="9" t="inlineStr">
        <is>
          <t>m</t>
        </is>
      </c>
      <c r="D19" s="27" t="n">
        <v>75</v>
      </c>
      <c r="E19" s="28">
        <f>B19*D19</f>
        <v/>
      </c>
      <c r="F19" s="10" t="inlineStr">
        <is>
          <t>Εύρος 65 - 90 €/m (προεπιλογή 75.00 €/m)</t>
        </is>
      </c>
    </row>
    <row r="20">
      <c r="A20" s="7">
        <f>"3.2 Νέφκες Χάλυβα (" &amp; '1_Στοιχεία_Μελέτης_&amp;_Ποσότητες'!B29 &amp; " - Αγορά + Επεξεργασία)"</f>
        <v/>
      </c>
      <c r="B20" s="15">
        <f>'1_Στοιχεία_Μελέτης_&amp;_Ποσότητες'!B72</f>
        <v/>
      </c>
      <c r="C20" s="9" t="inlineStr">
        <is>
          <t>kg</t>
        </is>
      </c>
      <c r="D20" s="27" t="n">
        <v>1.4</v>
      </c>
      <c r="E20" s="28">
        <f>B20*D20</f>
        <v/>
      </c>
      <c r="F20" s="10" t="inlineStr">
        <is>
          <t>1.00 €/kg αγορά + 0.40 €/kg επεξεργασία = 1.40 €/kg</t>
        </is>
      </c>
    </row>
    <row r="21">
      <c r="A21" s="7">
        <f>"3.3 Λάμες Σύνδεσης/Ενίσχυσης (" &amp; '1_Στοιχεία_Μελέτης_&amp;_Ποσότητες'!B33 &amp; "×" &amp; '1_Στοιχεία_Μελέτης_&amp;_Ποσότητες'!B34 &amp; "×" &amp; '1_Στοιχεία_Μελέτης_&amp;_Ποσότητες'!B35 &amp; " mm)"</f>
        <v/>
      </c>
      <c r="B21" s="15">
        <f>'1_Στοιχεία_Μελέτης_&amp;_Ποσότητες'!B76</f>
        <v/>
      </c>
      <c r="C21" s="9" t="inlineStr">
        <is>
          <t>kg</t>
        </is>
      </c>
      <c r="D21" s="27" t="n">
        <v>1.6</v>
      </c>
      <c r="E21" s="28">
        <f>B21*D21</f>
        <v/>
      </c>
      <c r="F21" s="10" t="inlineStr">
        <is>
          <t>1.00 €/kg αγορά + 0.60 €/kg τοποθέτηση = 1.60 €/kg</t>
        </is>
      </c>
    </row>
    <row r="22">
      <c r="A22" s="7" t="inlineStr">
        <is>
          <t>3.4 Κουγκρί Πάκτωσης Οπών Νέφκας</t>
        </is>
      </c>
      <c r="B22" s="15">
        <f>'1_Στοιχεία_Μελέτης_&amp;_Ποσότητες'!B77</f>
        <v/>
      </c>
      <c r="C22" s="9" t="inlineStr">
        <is>
          <t>m³</t>
        </is>
      </c>
      <c r="D22" s="32" t="n">
        <v>120</v>
      </c>
      <c r="E22" s="28">
        <f>B22*D22</f>
        <v/>
      </c>
      <c r="F22" s="10" t="inlineStr">
        <is>
          <t>120.00 €/m³ (Διακριτό χρώμα για επιβεβαίωση/αλλαγή)</t>
        </is>
      </c>
    </row>
    <row r="23">
      <c r="A23" s="7">
        <f>"3.5 Γωνιές Στήριξης (" &amp; '1_Στοιχεία_Μελέτης_&amp;_Ποσότητες'!B37 &amp; " - αν ζητούνται)"</f>
        <v/>
      </c>
      <c r="B23" s="15">
        <f>'1_Στοιχεία_Μελέτης_&amp;_Ποσότητες'!B79</f>
        <v/>
      </c>
      <c r="C23" s="9" t="inlineStr">
        <is>
          <t>kg</t>
        </is>
      </c>
      <c r="D23" s="27" t="n">
        <v>1.6</v>
      </c>
      <c r="E23" s="28">
        <f>B23*D23</f>
        <v/>
      </c>
      <c r="F23" s="10" t="inlineStr">
        <is>
          <t>1.00 €/kg αγορά + 0.60 €/kg επεξεργασία = 1.60 €/kg</t>
        </is>
      </c>
    </row>
    <row r="24">
      <c r="A24" s="29" t="inlineStr">
        <is>
          <t>ΣΥΝΟΛΟ ΠΥΛΩΝΑ 3 (H-BEAMS / ΝΕΦΚΕΣ)</t>
        </is>
      </c>
      <c r="B24" s="30" t="n"/>
      <c r="C24" s="30" t="n"/>
      <c r="D24" s="30" t="n"/>
      <c r="E24" s="31">
        <f>SUM(E19:E23)</f>
        <v/>
      </c>
      <c r="F24" s="30" t="inlineStr"/>
    </row>
    <row r="26" ht="24" customHeight="1">
      <c r="A26" s="25" t="inlineStr">
        <is>
          <t>ΠΥΛΩΝΑΣ 4: ΑΓΚΥΡΩΣΕΙΣ (PRESTRESSED TIEBACK ANCHORS — 5 ΕΡΓΑΣΙΕΣ/ΥΛΙΚΑ)</t>
        </is>
      </c>
      <c r="B26" s="26" t="n"/>
      <c r="C26" s="26" t="n"/>
      <c r="D26" s="26" t="n"/>
      <c r="E26" s="26" t="n"/>
      <c r="F26" s="26" t="n"/>
    </row>
    <row r="27">
      <c r="A27" s="7" t="inlineStr">
        <is>
          <t>4.1 Διάτρηση / Τρύπημα Αγκυρώσεων</t>
        </is>
      </c>
      <c r="B27" s="15">
        <f>'1_Στοιχεία_Μελέτης_&amp;_Ποσότητες'!B84</f>
        <v/>
      </c>
      <c r="C27" s="9" t="inlineStr">
        <is>
          <t>m</t>
        </is>
      </c>
      <c r="D27" s="27" t="n">
        <v>30</v>
      </c>
      <c r="E27" s="28">
        <f>B27*D27</f>
        <v/>
      </c>
      <c r="F27" s="10" t="inlineStr">
        <is>
          <t>Εύρος 25 - 35 €/m (προεπιλογή 30.00 €/m)</t>
        </is>
      </c>
    </row>
    <row r="28">
      <c r="A28" s="7" t="inlineStr">
        <is>
          <t>4.2 Grout Τσιμεντένεμα Αγκυρώσεων (με απώλεια 1.20)</t>
        </is>
      </c>
      <c r="B28" s="15">
        <f>'1_Στοιχεία_Μελέτης_&amp;_Ποσότητες'!B86</f>
        <v/>
      </c>
      <c r="C28" s="9" t="inlineStr">
        <is>
          <t>m³</t>
        </is>
      </c>
      <c r="D28" s="27" t="n">
        <v>500</v>
      </c>
      <c r="E28" s="28">
        <f>B28*D28</f>
        <v/>
      </c>
      <c r="F28" s="10" t="inlineStr">
        <is>
          <t>500.00 €/m³ grout πλήρωσης οπής</t>
        </is>
      </c>
    </row>
    <row r="29">
      <c r="A29" s="7" t="inlineStr">
        <is>
          <t>4.3 Τένοντες Προέντασης (Strands 0.6" - 1.10 kg/m)</t>
        </is>
      </c>
      <c r="B29" s="15">
        <f>'1_Στοιχεία_Μελέτης_&amp;_Ποσότητες'!B87</f>
        <v/>
      </c>
      <c r="C29" s="9" t="inlineStr">
        <is>
          <t>m</t>
        </is>
      </c>
      <c r="D29" s="27" t="n">
        <v>2.28</v>
      </c>
      <c r="E29" s="28">
        <f>B29*D29</f>
        <v/>
      </c>
      <c r="F29" s="10" t="inlineStr">
        <is>
          <t>2.28 €/m τρέχον τένοντα (συμπεριλαμβάνει +1.0m)</t>
        </is>
      </c>
    </row>
    <row r="30">
      <c r="A30" s="7" t="inlineStr">
        <is>
          <t>4.4 Προένταση Αγκυρώσεων (Stressing &amp; Lock-off)</t>
        </is>
      </c>
      <c r="B30" s="18">
        <f>'1_Στοιχεία_Μελέτης_&amp;_Ποσότητες'!B81</f>
        <v/>
      </c>
      <c r="C30" s="9" t="inlineStr">
        <is>
          <t>τεμ.</t>
        </is>
      </c>
      <c r="D30" s="27" t="n">
        <v>18</v>
      </c>
      <c r="E30" s="28">
        <f>B30*D30</f>
        <v/>
      </c>
      <c r="F30" s="10" t="inlineStr">
        <is>
          <t>18.00 € ανά οπή / αγκύρωση</t>
        </is>
      </c>
    </row>
    <row r="31">
      <c r="A31" s="7" t="inlineStr">
        <is>
          <t>4.5 Κεφαλή Αγκύρωσης (Anchor Head, Wedges, Plate)</t>
        </is>
      </c>
      <c r="B31" s="18">
        <f>'1_Στοιχεία_Μελέτης_&amp;_Ποσότητες'!B81</f>
        <v/>
      </c>
      <c r="C31" s="9" t="inlineStr">
        <is>
          <t>τεμ.</t>
        </is>
      </c>
      <c r="D31" s="27" t="n">
        <v>55</v>
      </c>
      <c r="E31" s="28">
        <f>B31*D31</f>
        <v/>
      </c>
      <c r="F31" s="10" t="inlineStr">
        <is>
          <t>55.00 € ανά οπή / αγκύρωση πλήρες σετ</t>
        </is>
      </c>
    </row>
    <row r="32">
      <c r="A32" s="29" t="inlineStr">
        <is>
          <t>ΣΥΝΟΛΟ ΠΥΛΩΝΑ 4 (ΑΓΚΥΡΩΣΕΙΣ)</t>
        </is>
      </c>
      <c r="B32" s="30" t="n"/>
      <c r="C32" s="30" t="n"/>
      <c r="D32" s="30" t="n"/>
      <c r="E32" s="31">
        <f>SUM(E27:E31)</f>
        <v/>
      </c>
      <c r="F32" s="30" t="inlineStr"/>
    </row>
    <row r="34" ht="24" customHeight="1">
      <c r="A34" s="25" t="inlineStr">
        <is>
          <t>ΤΕΛΙΚΑ ΣΥΝΟΛΑ ΠΡΟΣΦΟΡΑΣ (ΓΕΝΙΚΑ ΕΞΟΔΑ &amp; ΚΕΡΔΟΣ ΕΝΣΩΜΑΤΩΜΕΝΑ ΣΤΙΣ ΤΙΜΕΣ)</t>
        </is>
      </c>
      <c r="B34" s="26" t="n"/>
      <c r="C34" s="26" t="n"/>
      <c r="D34" s="26" t="n"/>
      <c r="E34" s="26" t="n"/>
      <c r="F34" s="26" t="n"/>
    </row>
    <row r="35">
      <c r="A35" s="33" t="inlineStr">
        <is>
          <t>ΚΑΘΑΡΟ ΣΥΝΟΛΟ ΠΡΟΣΦΟΡΑΣ (ΠΡΟ Φ.Π.Α.)</t>
        </is>
      </c>
      <c r="B35" s="34" t="n"/>
      <c r="C35" s="34" t="n"/>
      <c r="D35" s="34" t="n"/>
      <c r="E35" s="35">
        <f>E9+E16+E24+E32</f>
        <v/>
      </c>
      <c r="F35" s="36" t="inlineStr">
        <is>
          <t>Άθροισμα 4 Πυλώνων (Περιλαμβάνει Γενικά Έξοδα &amp; Όφελος)</t>
        </is>
      </c>
    </row>
    <row r="36">
      <c r="A36" s="37" t="inlineStr">
        <is>
          <t>Φ.Π.Α. (19%)</t>
        </is>
      </c>
      <c r="B36" s="38" t="n"/>
      <c r="C36" s="38" t="n"/>
      <c r="D36" s="38" t="n"/>
      <c r="E36" s="28">
        <f>ROUND(E35*0.19, 2)</f>
        <v/>
      </c>
      <c r="F36" s="10" t="inlineStr">
        <is>
          <t>Νόμιμος Φ.Π.Α. Κύπρου (19%)</t>
        </is>
      </c>
    </row>
    <row r="37">
      <c r="A37" s="33" t="inlineStr">
        <is>
          <t>ΤΕΛΙΚΟ ΠΛΗΡΩΤΕΟ ΠΟΣΟ (ΜΕ Φ.Π.Α.)</t>
        </is>
      </c>
      <c r="B37" s="34" t="n"/>
      <c r="C37" s="34" t="n"/>
      <c r="D37" s="34" t="n"/>
      <c r="E37" s="35">
        <f>E35+E36</f>
        <v/>
      </c>
      <c r="F37" s="36" t="inlineStr">
        <is>
          <t>Τελικό πληρωτέο ποσό έργου</t>
        </is>
      </c>
    </row>
    <row r="39" ht="24" customHeight="1">
      <c r="A39" s="25" t="inlineStr">
        <is>
          <t>ΒΑΣΙΚΟΙ ΔΕΙΚΤΕΣ ΚΟΣΤΟΥΣ &amp; VALUE ENGINEERING (KPIs)</t>
        </is>
      </c>
      <c r="B39" s="26" t="n"/>
      <c r="C39" s="26" t="n"/>
      <c r="D39" s="26" t="n"/>
      <c r="E39" s="26" t="n"/>
      <c r="F39" s="26" t="n"/>
    </row>
    <row r="40">
      <c r="A40" s="37" t="inlineStr">
        <is>
          <t>KPI 1: Συνολικό Κόστος ανά m² Μετώπου Εκσκαφής</t>
        </is>
      </c>
      <c r="B40" s="38" t="n"/>
      <c r="C40" s="38" t="n"/>
      <c r="D40" s="38" t="n"/>
      <c r="E40" s="28">
        <f>ROUND(E35/'1_Στοιχεία_Μελέτης_&amp;_Ποσότητες'!B59, 2)</f>
        <v/>
      </c>
      <c r="F40" s="10">
        <f>"Καθαρό σύνολο / " &amp; '1_Στοιχεία_Μελέτης_&amp;_Ποσότητες'!B59 &amp; " m²"</f>
        <v/>
      </c>
    </row>
    <row r="41">
      <c r="A41" s="37" t="inlineStr">
        <is>
          <t>KPI 2: Συνολικό Κόστος ανά Αγκύρωση (Πλήρες Σύστημα Αγκύρωσης)</t>
        </is>
      </c>
      <c r="B41" s="38" t="n"/>
      <c r="C41" s="38" t="n"/>
      <c r="D41" s="38" t="n"/>
      <c r="E41" s="28">
        <f>ROUND(E32/'1_Στοιχεία_Μελέτης_&amp;_Ποσότητες'!B81, 2)</f>
        <v/>
      </c>
      <c r="F41" s="10">
        <f>"Σύνολο Πυλώνα 4 / " &amp; '1_Στοιχεία_Μελέτης_&amp;_Ποσότητες'!B81 &amp; " αγκυρώσεις"</f>
        <v/>
      </c>
    </row>
    <row r="42">
      <c r="A42" s="37" t="inlineStr">
        <is>
          <t>KPI 3: Συνολικό Κόστος Σχαρών &amp; Shotcrete ανά m² Μετώπου</t>
        </is>
      </c>
      <c r="B42" s="38" t="n"/>
      <c r="C42" s="38" t="n"/>
      <c r="D42" s="38" t="n"/>
      <c r="E42" s="28">
        <f>ROUND(E16/'1_Στοιχεία_Μελέτης_&amp;_Ποσότητες'!B59, 2)</f>
        <v/>
      </c>
      <c r="F42" s="10">
        <f>"Σύνολο Πυλώνα 2 / " &amp; '1_Στοιχεία_Μελέτης_&amp;_Ποσότητες'!B59 &amp; " m²"</f>
        <v/>
      </c>
    </row>
    <row r="43">
      <c r="A43" s="37" t="inlineStr">
        <is>
          <t>KPI 4: Συνολικό Κόστος H-Beams ανά Πάσσαλο / Οπή</t>
        </is>
      </c>
      <c r="B43" s="38" t="n"/>
      <c r="C43" s="38" t="n"/>
      <c r="D43" s="38" t="n"/>
      <c r="E43" s="28">
        <f>ROUND(E24/'1_Στοιχεία_Μελέτης_&amp;_Ποσότητες'!B26, 2)</f>
        <v/>
      </c>
      <c r="F43" s="10">
        <f>"Σύνολο Πυλώνα 3 / " &amp; '1_Στοιχεία_Μελέτης_&amp;_Ποσότητες'!B26 &amp; " οπές"</f>
        <v/>
      </c>
    </row>
  </sheetData>
  <mergeCells count="18">
    <mergeCell ref="A11:F11"/>
    <mergeCell ref="A9:D9"/>
    <mergeCell ref="A37:D37"/>
    <mergeCell ref="A1:G1"/>
    <mergeCell ref="A40:D40"/>
    <mergeCell ref="A42:D42"/>
    <mergeCell ref="A35:D35"/>
    <mergeCell ref="A5:F5"/>
    <mergeCell ref="A34:F34"/>
    <mergeCell ref="A18:F18"/>
    <mergeCell ref="A16:D16"/>
    <mergeCell ref="A24:D24"/>
    <mergeCell ref="A26:F26"/>
    <mergeCell ref="A41:D41"/>
    <mergeCell ref="A39:F39"/>
    <mergeCell ref="A43:D43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 ht="30" customHeight="1">
      <c r="A1" s="1" t="inlineStr">
        <is>
          <t>ΒΙΒΛΙΟΘΗΚΗ ΔΙΑΤΟΜΩΝ ΧΑΛΥΒΑ (EUROPEAN STRUCTURAL STEEL PROFILES)</t>
        </is>
      </c>
    </row>
    <row r="2">
      <c r="A2" s="2" t="inlineStr">
        <is>
          <t>Τεχνικά χαρακτηριστικά &amp; βάρη ανά μέτρο για διατομές HEA, HEB, UPN &amp; Γωνιών (L)</t>
        </is>
      </c>
    </row>
    <row r="4" ht="24" customHeight="1">
      <c r="A4" s="39" t="inlineStr">
        <is>
          <t>1. ΔΙΑΤΟΜΕΣ HEA (Ευρωπαϊκά Πλατύπελμα Ελαφρού Τύπου)</t>
        </is>
      </c>
      <c r="B4" s="17" t="n"/>
      <c r="C4" s="17" t="n"/>
      <c r="D4" s="17" t="n"/>
      <c r="E4" s="17" t="n"/>
      <c r="F4" s="17" t="n"/>
      <c r="G4" s="17" t="n"/>
    </row>
    <row r="5" ht="22" customHeight="1">
      <c r="A5" s="24" t="inlineStr">
        <is>
          <t>Ονομασία Διατομής</t>
        </is>
      </c>
      <c r="B5" s="24" t="inlineStr">
        <is>
          <t>Ύψος h (mm)</t>
        </is>
      </c>
      <c r="C5" s="24" t="inlineStr">
        <is>
          <t>Πλάτος b (mm)</t>
        </is>
      </c>
      <c r="D5" s="24" t="inlineStr">
        <is>
          <t>Πάχος tw (mm)</t>
        </is>
      </c>
      <c r="E5" s="24" t="inlineStr">
        <is>
          <t>Πάχος tf (mm)</t>
        </is>
      </c>
      <c r="F5" s="24" t="inlineStr">
        <is>
          <t>Διατομή A (cm²)</t>
        </is>
      </c>
      <c r="G5" s="24" t="inlineStr">
        <is>
          <t>Βάρος (kg / m)</t>
        </is>
      </c>
    </row>
    <row r="6">
      <c r="A6" s="40" t="inlineStr">
        <is>
          <t>HEA 140</t>
        </is>
      </c>
      <c r="B6" s="41" t="n">
        <v>133</v>
      </c>
      <c r="C6" s="41" t="n">
        <v>140</v>
      </c>
      <c r="D6" s="42" t="n">
        <v>5.5</v>
      </c>
      <c r="E6" s="42" t="n">
        <v>8.5</v>
      </c>
      <c r="F6" s="42" t="n">
        <v>31.4</v>
      </c>
      <c r="G6" s="43" t="n">
        <v>24.7</v>
      </c>
    </row>
    <row r="7">
      <c r="A7" s="40" t="inlineStr">
        <is>
          <t>HEA 160</t>
        </is>
      </c>
      <c r="B7" s="41" t="n">
        <v>152</v>
      </c>
      <c r="C7" s="41" t="n">
        <v>160</v>
      </c>
      <c r="D7" s="42" t="n">
        <v>6</v>
      </c>
      <c r="E7" s="42" t="n">
        <v>9</v>
      </c>
      <c r="F7" s="42" t="n">
        <v>38.8</v>
      </c>
      <c r="G7" s="43" t="n">
        <v>30.4</v>
      </c>
    </row>
    <row r="8">
      <c r="A8" s="40" t="inlineStr">
        <is>
          <t>HEA 180</t>
        </is>
      </c>
      <c r="B8" s="41" t="n">
        <v>171</v>
      </c>
      <c r="C8" s="41" t="n">
        <v>180</v>
      </c>
      <c r="D8" s="42" t="n">
        <v>6</v>
      </c>
      <c r="E8" s="42" t="n">
        <v>9.5</v>
      </c>
      <c r="F8" s="42" t="n">
        <v>45.3</v>
      </c>
      <c r="G8" s="43" t="n">
        <v>35.5</v>
      </c>
    </row>
    <row r="9">
      <c r="A9" s="40" t="inlineStr">
        <is>
          <t>HEA 200</t>
        </is>
      </c>
      <c r="B9" s="41" t="n">
        <v>190</v>
      </c>
      <c r="C9" s="41" t="n">
        <v>200</v>
      </c>
      <c r="D9" s="42" t="n">
        <v>6.5</v>
      </c>
      <c r="E9" s="42" t="n">
        <v>10</v>
      </c>
      <c r="F9" s="42" t="n">
        <v>53.8</v>
      </c>
      <c r="G9" s="43" t="n">
        <v>42.3</v>
      </c>
    </row>
    <row r="10">
      <c r="A10" s="40" t="inlineStr">
        <is>
          <t>HEA 220</t>
        </is>
      </c>
      <c r="B10" s="41" t="n">
        <v>210</v>
      </c>
      <c r="C10" s="41" t="n">
        <v>220</v>
      </c>
      <c r="D10" s="42" t="n">
        <v>7</v>
      </c>
      <c r="E10" s="42" t="n">
        <v>11</v>
      </c>
      <c r="F10" s="42" t="n">
        <v>64.3</v>
      </c>
      <c r="G10" s="43" t="n">
        <v>50.5</v>
      </c>
    </row>
    <row r="11">
      <c r="A11" s="40" t="inlineStr">
        <is>
          <t>HEA 240</t>
        </is>
      </c>
      <c r="B11" s="41" t="n">
        <v>230</v>
      </c>
      <c r="C11" s="41" t="n">
        <v>240</v>
      </c>
      <c r="D11" s="42" t="n">
        <v>7.5</v>
      </c>
      <c r="E11" s="42" t="n">
        <v>12</v>
      </c>
      <c r="F11" s="42" t="n">
        <v>76.8</v>
      </c>
      <c r="G11" s="43" t="n">
        <v>60.3</v>
      </c>
    </row>
    <row r="12">
      <c r="A12" s="40" t="inlineStr">
        <is>
          <t>HEA 260</t>
        </is>
      </c>
      <c r="B12" s="41" t="n">
        <v>250</v>
      </c>
      <c r="C12" s="41" t="n">
        <v>260</v>
      </c>
      <c r="D12" s="42" t="n">
        <v>7.5</v>
      </c>
      <c r="E12" s="42" t="n">
        <v>12.5</v>
      </c>
      <c r="F12" s="42" t="n">
        <v>86.8</v>
      </c>
      <c r="G12" s="43" t="n">
        <v>68.2</v>
      </c>
    </row>
    <row r="13">
      <c r="A13" s="40" t="inlineStr">
        <is>
          <t>HEA 280</t>
        </is>
      </c>
      <c r="B13" s="41" t="n">
        <v>270</v>
      </c>
      <c r="C13" s="41" t="n">
        <v>280</v>
      </c>
      <c r="D13" s="42" t="n">
        <v>8</v>
      </c>
      <c r="E13" s="42" t="n">
        <v>13</v>
      </c>
      <c r="F13" s="42" t="n">
        <v>97.3</v>
      </c>
      <c r="G13" s="43" t="n">
        <v>76.40000000000001</v>
      </c>
    </row>
    <row r="14">
      <c r="A14" s="40" t="inlineStr">
        <is>
          <t>HEA 300</t>
        </is>
      </c>
      <c r="B14" s="41" t="n">
        <v>290</v>
      </c>
      <c r="C14" s="41" t="n">
        <v>300</v>
      </c>
      <c r="D14" s="42" t="n">
        <v>8.5</v>
      </c>
      <c r="E14" s="42" t="n">
        <v>14</v>
      </c>
      <c r="F14" s="42" t="n">
        <v>112.5</v>
      </c>
      <c r="G14" s="43" t="n">
        <v>88.3</v>
      </c>
    </row>
    <row r="16" ht="24" customHeight="1">
      <c r="A16" s="39" t="inlineStr">
        <is>
          <t>2. ΔΙΑΤΟΜΕΣ HEB (Ευρωπαϊκά Πλατύπελμα Κανονικού Τύπου)</t>
        </is>
      </c>
      <c r="B16" s="17" t="n"/>
      <c r="C16" s="17" t="n"/>
      <c r="D16" s="17" t="n"/>
      <c r="E16" s="17" t="n"/>
      <c r="F16" s="17" t="n"/>
      <c r="G16" s="17" t="n"/>
    </row>
    <row r="17" ht="22" customHeight="1">
      <c r="A17" s="24" t="inlineStr">
        <is>
          <t>Ονομασία Διατομής</t>
        </is>
      </c>
      <c r="B17" s="24" t="inlineStr">
        <is>
          <t>Ύψος h (mm)</t>
        </is>
      </c>
      <c r="C17" s="24" t="inlineStr">
        <is>
          <t>Πλάτος b (mm)</t>
        </is>
      </c>
      <c r="D17" s="24" t="inlineStr">
        <is>
          <t>Πάχος tw (mm)</t>
        </is>
      </c>
      <c r="E17" s="24" t="inlineStr">
        <is>
          <t>Πάχος tf (mm)</t>
        </is>
      </c>
      <c r="F17" s="24" t="inlineStr">
        <is>
          <t>Διατομή A (cm²)</t>
        </is>
      </c>
      <c r="G17" s="24" t="inlineStr">
        <is>
          <t>Βάρος (kg / m)</t>
        </is>
      </c>
    </row>
    <row r="18">
      <c r="A18" s="40" t="inlineStr">
        <is>
          <t>HEB 140</t>
        </is>
      </c>
      <c r="B18" s="41" t="n">
        <v>140</v>
      </c>
      <c r="C18" s="41" t="n">
        <v>140</v>
      </c>
      <c r="D18" s="42" t="n">
        <v>7</v>
      </c>
      <c r="E18" s="42" t="n">
        <v>12</v>
      </c>
      <c r="F18" s="42" t="n">
        <v>43</v>
      </c>
      <c r="G18" s="43" t="n">
        <v>33.7</v>
      </c>
    </row>
    <row r="19">
      <c r="A19" s="40" t="inlineStr">
        <is>
          <t>HEB 160</t>
        </is>
      </c>
      <c r="B19" s="41" t="n">
        <v>160</v>
      </c>
      <c r="C19" s="41" t="n">
        <v>160</v>
      </c>
      <c r="D19" s="42" t="n">
        <v>8</v>
      </c>
      <c r="E19" s="42" t="n">
        <v>13</v>
      </c>
      <c r="F19" s="42" t="n">
        <v>54.3</v>
      </c>
      <c r="G19" s="43" t="n">
        <v>42.6</v>
      </c>
    </row>
    <row r="20">
      <c r="A20" s="40" t="inlineStr">
        <is>
          <t>HEB 180</t>
        </is>
      </c>
      <c r="B20" s="41" t="n">
        <v>180</v>
      </c>
      <c r="C20" s="41" t="n">
        <v>180</v>
      </c>
      <c r="D20" s="42" t="n">
        <v>8.5</v>
      </c>
      <c r="E20" s="42" t="n">
        <v>14</v>
      </c>
      <c r="F20" s="42" t="n">
        <v>65.3</v>
      </c>
      <c r="G20" s="43" t="n">
        <v>51.2</v>
      </c>
    </row>
    <row r="21">
      <c r="A21" s="40" t="inlineStr">
        <is>
          <t>HEB 200</t>
        </is>
      </c>
      <c r="B21" s="41" t="n">
        <v>200</v>
      </c>
      <c r="C21" s="41" t="n">
        <v>200</v>
      </c>
      <c r="D21" s="42" t="n">
        <v>9</v>
      </c>
      <c r="E21" s="42" t="n">
        <v>15</v>
      </c>
      <c r="F21" s="42" t="n">
        <v>78.09999999999999</v>
      </c>
      <c r="G21" s="43" t="n">
        <v>61.3</v>
      </c>
    </row>
    <row r="22">
      <c r="A22" s="40" t="inlineStr">
        <is>
          <t>HEB 220</t>
        </is>
      </c>
      <c r="B22" s="41" t="n">
        <v>220</v>
      </c>
      <c r="C22" s="41" t="n">
        <v>220</v>
      </c>
      <c r="D22" s="42" t="n">
        <v>9.5</v>
      </c>
      <c r="E22" s="42" t="n">
        <v>16</v>
      </c>
      <c r="F22" s="42" t="n">
        <v>91</v>
      </c>
      <c r="G22" s="43" t="n">
        <v>71.5</v>
      </c>
    </row>
    <row r="23">
      <c r="A23" s="40" t="inlineStr">
        <is>
          <t>HEB 240</t>
        </is>
      </c>
      <c r="B23" s="41" t="n">
        <v>240</v>
      </c>
      <c r="C23" s="41" t="n">
        <v>240</v>
      </c>
      <c r="D23" s="42" t="n">
        <v>10</v>
      </c>
      <c r="E23" s="42" t="n">
        <v>17</v>
      </c>
      <c r="F23" s="42" t="n">
        <v>106</v>
      </c>
      <c r="G23" s="43" t="n">
        <v>83.2</v>
      </c>
    </row>
    <row r="24">
      <c r="A24" s="40" t="inlineStr">
        <is>
          <t>HEB 260</t>
        </is>
      </c>
      <c r="B24" s="41" t="n">
        <v>260</v>
      </c>
      <c r="C24" s="41" t="n">
        <v>260</v>
      </c>
      <c r="D24" s="42" t="n">
        <v>10</v>
      </c>
      <c r="E24" s="42" t="n">
        <v>17.5</v>
      </c>
      <c r="F24" s="42" t="n">
        <v>118.4</v>
      </c>
      <c r="G24" s="43" t="n">
        <v>93</v>
      </c>
    </row>
    <row r="25">
      <c r="A25" s="40" t="inlineStr">
        <is>
          <t>HEB 280</t>
        </is>
      </c>
      <c r="B25" s="41" t="n">
        <v>280</v>
      </c>
      <c r="C25" s="41" t="n">
        <v>280</v>
      </c>
      <c r="D25" s="42" t="n">
        <v>10.5</v>
      </c>
      <c r="E25" s="42" t="n">
        <v>18</v>
      </c>
      <c r="F25" s="42" t="n">
        <v>131.4</v>
      </c>
      <c r="G25" s="43" t="n">
        <v>103</v>
      </c>
    </row>
    <row r="26">
      <c r="A26" s="40" t="inlineStr">
        <is>
          <t>HEB 300</t>
        </is>
      </c>
      <c r="B26" s="41" t="n">
        <v>300</v>
      </c>
      <c r="C26" s="41" t="n">
        <v>300</v>
      </c>
      <c r="D26" s="42" t="n">
        <v>11</v>
      </c>
      <c r="E26" s="42" t="n">
        <v>19</v>
      </c>
      <c r="F26" s="42" t="n">
        <v>149.1</v>
      </c>
      <c r="G26" s="43" t="n">
        <v>117</v>
      </c>
    </row>
    <row r="28" ht="24" customHeight="1">
      <c r="A28" s="39" t="inlineStr">
        <is>
          <t>3. ΔΙΑΤΟΜΕΣ UPN (Ευρωπαϊκά Κοίλα Προφίλ U)</t>
        </is>
      </c>
      <c r="B28" s="17" t="n"/>
      <c r="C28" s="17" t="n"/>
      <c r="D28" s="17" t="n"/>
      <c r="E28" s="17" t="n"/>
      <c r="F28" s="17" t="n"/>
      <c r="G28" s="17" t="n"/>
    </row>
    <row r="29" ht="22" customHeight="1">
      <c r="A29" s="24" t="inlineStr">
        <is>
          <t>Ονομασία Διατομής</t>
        </is>
      </c>
      <c r="B29" s="24" t="inlineStr">
        <is>
          <t>Ύψος h (mm)</t>
        </is>
      </c>
      <c r="C29" s="24" t="inlineStr">
        <is>
          <t>Πλάτος b (mm)</t>
        </is>
      </c>
      <c r="D29" s="24" t="inlineStr">
        <is>
          <t>Πάχος tw (mm)</t>
        </is>
      </c>
      <c r="E29" s="24" t="inlineStr">
        <is>
          <t>Πάχος tf (mm)</t>
        </is>
      </c>
      <c r="F29" s="24" t="inlineStr">
        <is>
          <t>Διατομή A (cm²)</t>
        </is>
      </c>
      <c r="G29" s="24" t="inlineStr">
        <is>
          <t>Βάρος (kg / m)</t>
        </is>
      </c>
    </row>
    <row r="30">
      <c r="A30" s="40" t="inlineStr">
        <is>
          <t>UPN 140</t>
        </is>
      </c>
      <c r="B30" s="41" t="n">
        <v>140</v>
      </c>
      <c r="C30" s="41" t="n">
        <v>60</v>
      </c>
      <c r="D30" s="42" t="n">
        <v>7</v>
      </c>
      <c r="E30" s="42" t="n">
        <v>10</v>
      </c>
      <c r="F30" s="42" t="n">
        <v>20.4</v>
      </c>
      <c r="G30" s="43" t="n">
        <v>16</v>
      </c>
    </row>
    <row r="31">
      <c r="A31" s="40" t="inlineStr">
        <is>
          <t>UPN 160</t>
        </is>
      </c>
      <c r="B31" s="41" t="n">
        <v>160</v>
      </c>
      <c r="C31" s="41" t="n">
        <v>65</v>
      </c>
      <c r="D31" s="42" t="n">
        <v>7.5</v>
      </c>
      <c r="E31" s="42" t="n">
        <v>10.5</v>
      </c>
      <c r="F31" s="42" t="n">
        <v>24</v>
      </c>
      <c r="G31" s="43" t="n">
        <v>18.8</v>
      </c>
    </row>
    <row r="32">
      <c r="A32" s="40" t="inlineStr">
        <is>
          <t>UPN 180</t>
        </is>
      </c>
      <c r="B32" s="41" t="n">
        <v>180</v>
      </c>
      <c r="C32" s="41" t="n">
        <v>70</v>
      </c>
      <c r="D32" s="42" t="n">
        <v>8</v>
      </c>
      <c r="E32" s="42" t="n">
        <v>11</v>
      </c>
      <c r="F32" s="42" t="n">
        <v>28</v>
      </c>
      <c r="G32" s="43" t="n">
        <v>22</v>
      </c>
    </row>
    <row r="33">
      <c r="A33" s="40" t="inlineStr">
        <is>
          <t>UPN 200</t>
        </is>
      </c>
      <c r="B33" s="41" t="n">
        <v>200</v>
      </c>
      <c r="C33" s="41" t="n">
        <v>75</v>
      </c>
      <c r="D33" s="42" t="n">
        <v>8.5</v>
      </c>
      <c r="E33" s="42" t="n">
        <v>11.5</v>
      </c>
      <c r="F33" s="42" t="n">
        <v>32.2</v>
      </c>
      <c r="G33" s="43" t="n">
        <v>25.3</v>
      </c>
    </row>
    <row r="34">
      <c r="A34" s="40" t="inlineStr">
        <is>
          <t>UPN 220</t>
        </is>
      </c>
      <c r="B34" s="41" t="n">
        <v>220</v>
      </c>
      <c r="C34" s="41" t="n">
        <v>80</v>
      </c>
      <c r="D34" s="42" t="n">
        <v>9</v>
      </c>
      <c r="E34" s="42" t="n">
        <v>12.5</v>
      </c>
      <c r="F34" s="42" t="n">
        <v>37.4</v>
      </c>
      <c r="G34" s="43" t="n">
        <v>29.4</v>
      </c>
    </row>
    <row r="35">
      <c r="A35" s="40" t="inlineStr">
        <is>
          <t>UPN 240</t>
        </is>
      </c>
      <c r="B35" s="41" t="n">
        <v>240</v>
      </c>
      <c r="C35" s="41" t="n">
        <v>85</v>
      </c>
      <c r="D35" s="42" t="n">
        <v>9.5</v>
      </c>
      <c r="E35" s="42" t="n">
        <v>13</v>
      </c>
      <c r="F35" s="42" t="n">
        <v>42.3</v>
      </c>
      <c r="G35" s="43" t="n">
        <v>33.2</v>
      </c>
    </row>
    <row r="36">
      <c r="A36" s="40" t="inlineStr">
        <is>
          <t>UPN 260</t>
        </is>
      </c>
      <c r="B36" s="41" t="n">
        <v>260</v>
      </c>
      <c r="C36" s="41" t="n">
        <v>90</v>
      </c>
      <c r="D36" s="42" t="n">
        <v>10</v>
      </c>
      <c r="E36" s="42" t="n">
        <v>14</v>
      </c>
      <c r="F36" s="42" t="n">
        <v>48.3</v>
      </c>
      <c r="G36" s="43" t="n">
        <v>37.9</v>
      </c>
    </row>
    <row r="37">
      <c r="A37" s="40" t="inlineStr">
        <is>
          <t>UPN 280</t>
        </is>
      </c>
      <c r="B37" s="41" t="n">
        <v>280</v>
      </c>
      <c r="C37" s="41" t="n">
        <v>95</v>
      </c>
      <c r="D37" s="42" t="n">
        <v>10</v>
      </c>
      <c r="E37" s="42" t="n">
        <v>15</v>
      </c>
      <c r="F37" s="42" t="n">
        <v>53.3</v>
      </c>
      <c r="G37" s="43" t="n">
        <v>41.8</v>
      </c>
    </row>
    <row r="38">
      <c r="A38" s="40" t="inlineStr">
        <is>
          <t>UPN 300</t>
        </is>
      </c>
      <c r="B38" s="41" t="n">
        <v>300</v>
      </c>
      <c r="C38" s="41" t="n">
        <v>100</v>
      </c>
      <c r="D38" s="42" t="n">
        <v>10</v>
      </c>
      <c r="E38" s="42" t="n">
        <v>16</v>
      </c>
      <c r="F38" s="42" t="n">
        <v>58.8</v>
      </c>
      <c r="G38" s="43" t="n">
        <v>46.2</v>
      </c>
    </row>
    <row r="40" ht="24" customHeight="1">
      <c r="A40" s="39" t="inlineStr">
        <is>
          <t>4. ΙΣΟΣΚΕΛΕΙΣ ΓΩΝΙΕΣ (Equal Angles L)</t>
        </is>
      </c>
      <c r="B40" s="17" t="n"/>
      <c r="C40" s="17" t="n"/>
      <c r="D40" s="17" t="n"/>
      <c r="E40" s="17" t="n"/>
      <c r="F40" s="17" t="n"/>
      <c r="G40" s="17" t="n"/>
    </row>
    <row r="41" ht="22" customHeight="1">
      <c r="A41" s="24" t="inlineStr">
        <is>
          <t>Ονομασία Διατομής</t>
        </is>
      </c>
      <c r="B41" s="24" t="inlineStr">
        <is>
          <t>Ύψος h (mm)</t>
        </is>
      </c>
      <c r="C41" s="24" t="inlineStr">
        <is>
          <t>Πλάτος b (mm)</t>
        </is>
      </c>
      <c r="D41" s="24" t="inlineStr">
        <is>
          <t>Πάχος tw (mm)</t>
        </is>
      </c>
      <c r="E41" s="24" t="inlineStr">
        <is>
          <t>Πάχος tf (mm)</t>
        </is>
      </c>
      <c r="F41" s="24" t="inlineStr">
        <is>
          <t>Διατομή A (cm²)</t>
        </is>
      </c>
      <c r="G41" s="24" t="inlineStr">
        <is>
          <t>Βάρος (kg / m)</t>
        </is>
      </c>
    </row>
    <row r="42">
      <c r="A42" s="40" t="inlineStr">
        <is>
          <t>L 50x50x5</t>
        </is>
      </c>
      <c r="B42" s="41" t="n">
        <v>50</v>
      </c>
      <c r="C42" s="41" t="n">
        <v>50</v>
      </c>
      <c r="D42" s="42" t="n">
        <v>5</v>
      </c>
      <c r="E42" s="42" t="n">
        <v>5</v>
      </c>
      <c r="F42" s="42" t="n">
        <v>4.8</v>
      </c>
      <c r="G42" s="43" t="n">
        <v>3.77</v>
      </c>
    </row>
    <row r="43">
      <c r="A43" s="40" t="inlineStr">
        <is>
          <t>L 60x60x6</t>
        </is>
      </c>
      <c r="B43" s="41" t="n">
        <v>60</v>
      </c>
      <c r="C43" s="41" t="n">
        <v>60</v>
      </c>
      <c r="D43" s="42" t="n">
        <v>6</v>
      </c>
      <c r="E43" s="42" t="n">
        <v>6</v>
      </c>
      <c r="F43" s="42" t="n">
        <v>6.91</v>
      </c>
      <c r="G43" s="43" t="n">
        <v>5.42</v>
      </c>
    </row>
    <row r="44">
      <c r="A44" s="40" t="inlineStr">
        <is>
          <t>L 70x70x6</t>
        </is>
      </c>
      <c r="B44" s="41" t="n">
        <v>70</v>
      </c>
      <c r="C44" s="41" t="n">
        <v>70</v>
      </c>
      <c r="D44" s="42" t="n">
        <v>6</v>
      </c>
      <c r="E44" s="42" t="n">
        <v>6</v>
      </c>
      <c r="F44" s="42" t="n">
        <v>8.130000000000001</v>
      </c>
      <c r="G44" s="43" t="n">
        <v>6.38</v>
      </c>
    </row>
    <row r="45">
      <c r="A45" s="40" t="inlineStr">
        <is>
          <t>L 70x70x7</t>
        </is>
      </c>
      <c r="B45" s="41" t="n">
        <v>70</v>
      </c>
      <c r="C45" s="41" t="n">
        <v>70</v>
      </c>
      <c r="D45" s="42" t="n">
        <v>7</v>
      </c>
      <c r="E45" s="42" t="n">
        <v>7</v>
      </c>
      <c r="F45" s="42" t="n">
        <v>9.4</v>
      </c>
      <c r="G45" s="43" t="n">
        <v>7.38</v>
      </c>
    </row>
    <row r="46">
      <c r="A46" s="40" t="inlineStr">
        <is>
          <t>L 80x80x8</t>
        </is>
      </c>
      <c r="B46" s="41" t="n">
        <v>80</v>
      </c>
      <c r="C46" s="41" t="n">
        <v>80</v>
      </c>
      <c r="D46" s="42" t="n">
        <v>8</v>
      </c>
      <c r="E46" s="42" t="n">
        <v>8</v>
      </c>
      <c r="F46" s="42" t="n">
        <v>12.3</v>
      </c>
      <c r="G46" s="43" t="n">
        <v>9.630000000000001</v>
      </c>
    </row>
    <row r="47">
      <c r="A47" s="40" t="inlineStr">
        <is>
          <t>L 90x90x9</t>
        </is>
      </c>
      <c r="B47" s="41" t="n">
        <v>90</v>
      </c>
      <c r="C47" s="41" t="n">
        <v>90</v>
      </c>
      <c r="D47" s="42" t="n">
        <v>9</v>
      </c>
      <c r="E47" s="42" t="n">
        <v>9</v>
      </c>
      <c r="F47" s="42" t="n">
        <v>15.5</v>
      </c>
      <c r="G47" s="43" t="n">
        <v>12.2</v>
      </c>
    </row>
    <row r="48">
      <c r="A48" s="40" t="inlineStr">
        <is>
          <t>L 100x100x10</t>
        </is>
      </c>
      <c r="B48" s="41" t="n">
        <v>100</v>
      </c>
      <c r="C48" s="41" t="n">
        <v>100</v>
      </c>
      <c r="D48" s="42" t="n">
        <v>10</v>
      </c>
      <c r="E48" s="42" t="n">
        <v>10</v>
      </c>
      <c r="F48" s="42" t="n">
        <v>19.2</v>
      </c>
      <c r="G48" s="43" t="n">
        <v>15</v>
      </c>
    </row>
  </sheetData>
  <mergeCells count="5">
    <mergeCell ref="A1:G1"/>
    <mergeCell ref="A40:G40"/>
    <mergeCell ref="A4:G4"/>
    <mergeCell ref="A16:G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2026-10-13T11:56:41Z</dcterms:created>
  <dcterms:modified xmlns:dcterms="http://purl.org/dc/terms/" xmlns:xsi="http://www.w3.org/2001/XMLSchema-instance" xsi:type="dcterms:W3CDTF">2026-10-13T11:56:42Z</dcterms:modified>
</cp:coreProperties>
</file>