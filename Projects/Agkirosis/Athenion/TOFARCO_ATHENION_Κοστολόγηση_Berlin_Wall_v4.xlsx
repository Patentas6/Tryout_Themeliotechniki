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Agkirosis\Athenion\"/>
    </mc:Choice>
  </mc:AlternateContent>
  <xr:revisionPtr revIDLastSave="0" documentId="13_ncr:1_{857847D7-ADFC-4922-B22E-918963227D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Στοιχεία_Μελέτης_&amp;_Ποσότητες" sheetId="1" r:id="rId1"/>
    <sheet name="2_Υπολογισμοί_&amp;_Κοστολόγηση" sheetId="2" r:id="rId2"/>
    <sheet name="3_Πίνακες_Διατομών_Χάλυβ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2" l="1"/>
  <c r="B27" i="2"/>
  <c r="F23" i="2"/>
  <c r="G22" i="2"/>
  <c r="G20" i="2"/>
  <c r="B20" i="2"/>
  <c r="G19" i="2"/>
  <c r="B19" i="2"/>
  <c r="G12" i="2"/>
  <c r="B12" i="2"/>
  <c r="G6" i="2"/>
  <c r="C6" i="2"/>
  <c r="F6" i="2" s="1"/>
  <c r="E95" i="1"/>
  <c r="D95" i="1"/>
  <c r="D92" i="1"/>
  <c r="B92" i="1"/>
  <c r="E92" i="1" s="1"/>
  <c r="D86" i="1"/>
  <c r="B86" i="1"/>
  <c r="D84" i="1"/>
  <c r="B84" i="1"/>
  <c r="E84" i="1" s="1"/>
  <c r="D82" i="1"/>
  <c r="B82" i="1"/>
  <c r="D81" i="1"/>
  <c r="B81" i="1"/>
  <c r="D79" i="1"/>
  <c r="B79" i="1"/>
  <c r="E79" i="1" s="1"/>
  <c r="D77" i="1"/>
  <c r="B77" i="1"/>
  <c r="E74" i="1"/>
  <c r="D74" i="1"/>
  <c r="B74" i="1"/>
  <c r="D70" i="1"/>
  <c r="B70" i="1"/>
  <c r="E70" i="1" s="1"/>
  <c r="D69" i="1"/>
  <c r="B69" i="1"/>
  <c r="D67" i="1"/>
  <c r="B67" i="1"/>
  <c r="E64" i="1"/>
  <c r="D64" i="1"/>
  <c r="B64" i="1"/>
  <c r="D63" i="1"/>
  <c r="B63" i="1"/>
  <c r="E62" i="1"/>
  <c r="D62" i="1"/>
  <c r="E57" i="1"/>
  <c r="E56" i="1"/>
  <c r="E55" i="1"/>
  <c r="E54" i="1"/>
  <c r="E53" i="1"/>
  <c r="B52" i="1"/>
  <c r="E51" i="1"/>
  <c r="E50" i="1"/>
  <c r="E49" i="1"/>
  <c r="E48" i="1"/>
  <c r="E47" i="1"/>
  <c r="E44" i="1"/>
  <c r="E43" i="1"/>
  <c r="E42" i="1"/>
  <c r="E40" i="1"/>
  <c r="E39" i="1"/>
  <c r="E38" i="1"/>
  <c r="E36" i="1"/>
  <c r="E35" i="1"/>
  <c r="E34" i="1"/>
  <c r="E33" i="1"/>
  <c r="E29" i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E13" i="1"/>
  <c r="E10" i="1"/>
  <c r="E9" i="1"/>
  <c r="E86" i="1" l="1"/>
  <c r="B87" i="1"/>
  <c r="D87" i="1"/>
  <c r="D83" i="1"/>
  <c r="B83" i="1"/>
  <c r="E83" i="1" s="1"/>
  <c r="E82" i="1"/>
  <c r="G21" i="2"/>
  <c r="E81" i="1"/>
  <c r="C20" i="2"/>
  <c r="F20" i="2" s="1"/>
  <c r="E77" i="1"/>
  <c r="D78" i="1"/>
  <c r="B78" i="1"/>
  <c r="E15" i="2"/>
  <c r="G15" i="2"/>
  <c r="D71" i="1"/>
  <c r="E69" i="1"/>
  <c r="B71" i="1"/>
  <c r="E71" i="1" s="1"/>
  <c r="D68" i="1"/>
  <c r="B68" i="1"/>
  <c r="E67" i="1"/>
  <c r="G40" i="2"/>
  <c r="G8" i="2"/>
  <c r="C8" i="2"/>
  <c r="F8" i="2" s="1"/>
  <c r="E63" i="1"/>
  <c r="C7" i="2"/>
  <c r="F7" i="2" s="1"/>
  <c r="F9" i="2" s="1"/>
  <c r="G7" i="2"/>
  <c r="D90" i="1"/>
  <c r="B90" i="1"/>
  <c r="E90" i="1" s="1"/>
  <c r="E52" i="1"/>
  <c r="B85" i="1" l="1"/>
  <c r="D85" i="1"/>
  <c r="E78" i="1"/>
  <c r="B80" i="1"/>
  <c r="E80" i="1" s="1"/>
  <c r="D80" i="1"/>
  <c r="C19" i="2"/>
  <c r="F19" i="2" s="1"/>
  <c r="D72" i="1"/>
  <c r="B73" i="1"/>
  <c r="C13" i="2"/>
  <c r="F13" i="2" s="1"/>
  <c r="G13" i="2"/>
  <c r="G39" i="2"/>
  <c r="B72" i="1"/>
  <c r="D73" i="1"/>
  <c r="E68" i="1"/>
  <c r="B91" i="1"/>
  <c r="E91" i="1" s="1"/>
  <c r="D91" i="1"/>
  <c r="D97" i="1"/>
  <c r="B98" i="1"/>
  <c r="C31" i="2" s="1"/>
  <c r="F31" i="2" s="1"/>
  <c r="E98" i="1"/>
  <c r="B94" i="1"/>
  <c r="D94" i="1"/>
  <c r="E94" i="1"/>
  <c r="B97" i="1"/>
  <c r="C30" i="2" s="1"/>
  <c r="F30" i="2" s="1"/>
  <c r="E97" i="1"/>
  <c r="D98" i="1"/>
  <c r="G27" i="2"/>
  <c r="G29" i="2"/>
  <c r="G30" i="2"/>
  <c r="G31" i="2"/>
  <c r="G42" i="2"/>
  <c r="C22" i="2"/>
  <c r="F22" i="2" s="1"/>
  <c r="E87" i="1"/>
  <c r="C21" i="2" l="1"/>
  <c r="F21" i="2" s="1"/>
  <c r="E85" i="1"/>
  <c r="F24" i="2"/>
  <c r="C14" i="2"/>
  <c r="F14" i="2" s="1"/>
  <c r="G14" i="2"/>
  <c r="C15" i="2"/>
  <c r="F15" i="2" s="1"/>
  <c r="E73" i="1"/>
  <c r="E72" i="1"/>
  <c r="C12" i="2"/>
  <c r="F12" i="2" s="1"/>
  <c r="F16" i="2" s="1"/>
  <c r="B93" i="1"/>
  <c r="D93" i="1"/>
  <c r="C27" i="2"/>
  <c r="F27" i="2" s="1"/>
  <c r="D96" i="1"/>
  <c r="C29" i="2"/>
  <c r="F29" i="2" s="1"/>
  <c r="B96" i="1"/>
  <c r="E96" i="1" s="1"/>
  <c r="E93" i="1" l="1"/>
  <c r="C28" i="2"/>
  <c r="F28" i="2" s="1"/>
  <c r="F32" i="2" s="1"/>
  <c r="G28" i="2"/>
  <c r="F42" i="2" l="1"/>
  <c r="F34" i="2"/>
  <c r="F41" i="2" l="1"/>
  <c r="F40" i="2"/>
  <c r="F39" i="2"/>
  <c r="F35" i="2"/>
  <c r="F36" i="2" s="1"/>
</calcChain>
</file>

<file path=xl/sharedStrings.xml><?xml version="1.0" encoding="utf-8"?>
<sst xmlns="http://schemas.openxmlformats.org/spreadsheetml/2006/main" count="375" uniqueCount="268">
  <si>
    <t>ΕΡΓΟ: TOFARCO "ΑΘΗΝΑΙΟΝ" (TIVOLI PROPERTY LTD) — BERLIN WALL &amp; ΑΓΚΥΡΩΣΕΙΣ</t>
  </si>
  <si>
    <t>ΦΥΛΛΟ 1: ΣΤΟΙΧΕΙΑ ΜΕΛΕΤΗΣ, ΠΗΓΕΣ (CITATIONS) &amp; ΥΠΟΛΟΓΙΣΜΟΙ  |  ΑΠΟΛΥΤΩΣ ΚΑΝΕΝΑ ΕΥΡΩ (€) ΣΕ ΑΥΤΗ ΤΗ ΣΕΛΙΔΑ</t>
  </si>
  <si>
    <t>🏛️ ΚΕΦΑΛΑΙΟ Α: ΜΟΝΟ ΣΤΟΙΧΕΙΑ ΠΟΥ ΔΙΑΒΑΣΤΗΚΑΝ ΑΠΟ ΤΗ ΜΕΛΕΤΗ (RAW INPUTS &amp; CITATIONS)</t>
  </si>
  <si>
    <t>Περιγραφή Στοιχείου Μελέτης</t>
  </si>
  <si>
    <t>Τιμή Μελέτης</t>
  </si>
  <si>
    <t>Μονάδα</t>
  </si>
  <si>
    <t>Πηγή Μελέτης (Σχέδιο / Σελίδα)</t>
  </si>
  <si>
    <t>Τεχνική Σημείωση / Έλεγχος Κανόνα</t>
  </si>
  <si>
    <t>Α.1 Τοποθεσία Εργοταξίου, Έδρα &amp; Σειρές Αγκυρώσεων</t>
  </si>
  <si>
    <t>Έδρα Εταιρείας (Βάση Υπολογισμού Αποστάσεων)</t>
  </si>
  <si>
    <t>Άγιος Συλάς, Σπύρου Κυπριανού 32, Λεμεσός</t>
  </si>
  <si>
    <t>έδρα</t>
  </si>
  <si>
    <t>Πολιτική Εταιρείας</t>
  </si>
  <si>
    <t>Αφετηρία μηχανημάτων &amp; μετακινήσεων</t>
  </si>
  <si>
    <t>Τοποθεσία Εργοταξίου Μελέτης</t>
  </si>
  <si>
    <t>Λευκωσία (Ευαγόρου / Μενάνδρου / Ανδρέα Δημητρίου)</t>
  </si>
  <si>
    <t>πόλη</t>
  </si>
  <si>
    <t>Σχέδιο Σ01.1, Πινακίδα Μελέτης</t>
  </si>
  <si>
    <t>Τεμάχιο 873, απέναντι από Βουλή</t>
  </si>
  <si>
    <t>Χιλιομετρική Απόσταση από Έδρα</t>
  </si>
  <si>
    <t>km</t>
  </si>
  <si>
    <t>Google Maps / Χιλιομετρικός Πίνακας</t>
  </si>
  <si>
    <t>Πλήθος Οριζόντιων Σειρών Αγκυρώσεων Μελέτης</t>
  </si>
  <si>
    <t>σειρές</t>
  </si>
  <si>
    <t>Σχέδιο Σ02.1, Τομή 1-1</t>
  </si>
  <si>
    <t>Α.2 Γεωμετρία Μετώπου Εκσκαφής (Διαστήματα &amp; Μήκη ανά Πλευρά)</t>
  </si>
  <si>
    <t>Μήκος Δυτικής Πλευράς (Κάθετο τμήμα SW)</t>
  </si>
  <si>
    <t>m</t>
  </si>
  <si>
    <t>Σχέδιο Σ01.1, Κάτοψη -12.50m</t>
  </si>
  <si>
    <t>Μήκος Βορειοδυτικής Πλευράς (Πλάγιο τμήμα Ευαγόρου)</t>
  </si>
  <si>
    <t>Μήκος Βόρειας Πλευράς (Κατά μήκος Μενάνδρου)</t>
  </si>
  <si>
    <t>Μήκος Ανατολικής Πλευράς (Ανατολικό όριο)</t>
  </si>
  <si>
    <t>Μήκος Νότιας Πλευράς (Κατά μήκος Ανδρέα Δημητρίου)</t>
  </si>
  <si>
    <t>Ελεύθερο Ύψος Εκσκαφής Μετώπου (H_exc)</t>
  </si>
  <si>
    <t>Βάθος Πάκτωσης Πασσάλων κάτω από Εκσκαφή (H_embed)</t>
  </si>
  <si>
    <t>Σχέδιο Σ01.1 &amp; Σ02.1</t>
  </si>
  <si>
    <t>Α.3 Σχάρες Οπλισμού &amp; Εκτοξευόμενο Σκυρόδεμα (Gunite / Shotcrete)</t>
  </si>
  <si>
    <t>Οριζόντιος Οπλισμός Σχάρας Μελέτης</t>
  </si>
  <si>
    <t>Y20 / 200</t>
  </si>
  <si>
    <t>διατομή</t>
  </si>
  <si>
    <t>Διάμετρος Οριζόντιων Ράβδων</t>
  </si>
  <si>
    <t>mm</t>
  </si>
  <si>
    <t>Βήμα Οριζόντιων Ράβδων</t>
  </si>
  <si>
    <t>Κατακόρυφος Οπλισμός Σχάρας Μελέτης</t>
  </si>
  <si>
    <t>Y14 / 200</t>
  </si>
  <si>
    <t>Διάμετρος Κατακόρυφων Ράβδων</t>
  </si>
  <si>
    <t>Βήμα Κατακόρυφων Ράβδων</t>
  </si>
  <si>
    <t>Ονομαστικό Πάχος Shotcrete Μελέτης (t_nom)</t>
  </si>
  <si>
    <t>Πάγια Απώλεια / Αναπήδηση Εταιρείας</t>
  </si>
  <si>
    <t>Πολιτική Εταιρείας v2</t>
  </si>
  <si>
    <t>Κατηγορία Σκυροδέματος Μελέτης</t>
  </si>
  <si>
    <t>C30/40 CEMII 42.5</t>
  </si>
  <si>
    <t>κατηγορία</t>
  </si>
  <si>
    <t>Σχέδιο Σ02.1, Σημειώσεις Υλικών</t>
  </si>
  <si>
    <t>Πρόσμικτα RHEOMAC SE 100 56 &amp; Sigunit L 22E</t>
  </si>
  <si>
    <t>Α.4 H-Beams (Πασσαλοκολώνες 2×UPN 350, Διάτρηση Ø800 &amp; Λάμες)</t>
  </si>
  <si>
    <t>Αξονική Απόσταση Πασσάλων (s_beam)</t>
  </si>
  <si>
    <t>Συνολικό Πλήθος Οπών / Πασσάλων Έργου</t>
  </si>
  <si>
    <t>οπές / πάσσαλοι</t>
  </si>
  <si>
    <t>Διάμετρος Διάτρησης Μεγάλου Τρυπανιού (min Ø800 mm)</t>
  </si>
  <si>
    <t>Σχέδιο Σ02.1 &amp; Κανόνας v2</t>
  </si>
  <si>
    <t>Συνολικό Βάθος Διάτρησης Μεγάλου Τρυπανιού</t>
  </si>
  <si>
    <t>Τύπος Μεταλλικού Προφίλ Νέφκας</t>
  </si>
  <si>
    <t>2xUPN 350x100</t>
  </si>
  <si>
    <t>προφίλ</t>
  </si>
  <si>
    <t>2 κοιλοδοκοί UPN 350 ανά οπή</t>
  </si>
  <si>
    <t>Μήκος Μεταλλικής Κολώνας (h)</t>
  </si>
  <si>
    <t>Πλήθος Προφίλ ανά Οπή</t>
  </si>
  <si>
    <t>προφίλ / οπή</t>
  </si>
  <si>
    <t>Θεωρητικό Βάρος Προφίλ ανά Μέτρο</t>
  </si>
  <si>
    <t>kg / m</t>
  </si>
  <si>
    <t>Πίνακας Διατομών UPN 350</t>
  </si>
  <si>
    <t>Διαστάσεις Συνδετικής Λάμας (Πλάτος W x Μήκος L x Πάχος t)</t>
  </si>
  <si>
    <t>350 x 100 x 12</t>
  </si>
  <si>
    <t>Σχέδιο Σ02.1, Λεπτομέρεια Νέφκας</t>
  </si>
  <si>
    <t>PLT 350x100x12 mm</t>
  </si>
  <si>
    <t>Βήμα Τοποθέτησης Λαμών κατά Ύψος (s_plate)</t>
  </si>
  <si>
    <t>Ύψος Σκυροδέματος Πάκτωσης Πασσάλου</t>
  </si>
  <si>
    <t>Κατηγορία Σκυροδέματος Πάκτωσης (Κανόνας v2)</t>
  </si>
  <si>
    <t>C35/45</t>
  </si>
  <si>
    <t>Α.5 Αγκυρώσεις (Prestressed Tieback Anchors)</t>
  </si>
  <si>
    <t>Πλήθος Σειρών Αγκυρώσεων</t>
  </si>
  <si>
    <t>Μήκος / Βάθος Διάτρησης 1ης Σειράς (15°)</t>
  </si>
  <si>
    <t>Μήκος / Βάθος Διάτρησης 2ης Σειράς (30°)</t>
  </si>
  <si>
    <t>Μήκος / Βάθος Διάτρησης 3ης Σειράς (30°)</t>
  </si>
  <si>
    <t>Μήκος / Βάθος Διάτρησης 4ης Σειράς (30°)</t>
  </si>
  <si>
    <t>Πλήθος Αγκυρώσεων ανά Σειρά</t>
  </si>
  <si>
    <t>τεμάχια / σειρά</t>
  </si>
  <si>
    <t>Πλήθος Τενόντων ανά Οπή Αγκύρωσης</t>
  </si>
  <si>
    <t>strands / οπή</t>
  </si>
  <si>
    <t>Σχέδιο Σ02.1, Λεπτομέρεια Αγκύρωσης</t>
  </si>
  <si>
    <t>Διάμετρος Οπής Διάτρησης Αγκύρωσης</t>
  </si>
  <si>
    <t>Σχέδιο Σ02.1, Σημειώσεις</t>
  </si>
  <si>
    <t>Μήκος Grout Πάκτωσης ανά Αγκύρωση</t>
  </si>
  <si>
    <t>Συντελεστής Υπερκατανάλωσης Grout</t>
  </si>
  <si>
    <t>συντελεστής</t>
  </si>
  <si>
    <t>Επιπλέον Μήκος Τένοντα για Τάνυση</t>
  </si>
  <si>
    <t>⚙️ ΚΕΦΑΛΑΙΟ Β: ΟΛΟΙ ΟΙ ΥΠΟΛΟΓΙΣΜΟΙ ΦΥΣΙΚΩΝ ΜΕΓΕΘΩΝ (100% ΔΥΝΑΜΙΚΗ ΣΥΝΔΕΣΗ ΜΕ ΤΟ ΚΕΦ. Α)</t>
  </si>
  <si>
    <t>Περιγραφή Υπολογισμού</t>
  </si>
  <si>
    <t>Αποτέλεσμα</t>
  </si>
  <si>
    <t>Αναλυτικός Τύπος &amp; Δυναμική Επαλήθευση</t>
  </si>
  <si>
    <t>Σημείωση Εφαρμογής Κανόνα</t>
  </si>
  <si>
    <t>Β.1 Υπολογισμοί Στρατών Μετακίνησης (3 Είδη)</t>
  </si>
  <si>
    <t>Υπολογισμός Στρατών Μεγάλου Τρυπανιού (Piling Rig)</t>
  </si>
  <si>
    <t>στράτες</t>
  </si>
  <si>
    <t>Υπολογισμός Στρατών Εξοπλισμού Αγκυρώσεων</t>
  </si>
  <si>
    <t>Υπολογισμός Στρατών Συνεργείου Shotcrete</t>
  </si>
  <si>
    <t>Β.2 Υπολογισμοί Επιφανειών Μετώπου, Σχαρών &amp; Shotcrete</t>
  </si>
  <si>
    <t>Συνολική Περίμετρος / Μήκος Μετώπου Εκσκαφής</t>
  </si>
  <si>
    <t>ΣΥΝΟΛΙΚΟ ΕΜΒΑΔΟΝ ΜΕΤΩΠΟΥ (A = L x H_exc)</t>
  </si>
  <si>
    <t>m²</t>
  </si>
  <si>
    <t>Βάρος Οριζόντιων Ράβδων Σχάρας (Y20/200)</t>
  </si>
  <si>
    <t>kg / m²</t>
  </si>
  <si>
    <t>Βάρος Κατακόρυφων Ράβδων Σχάρας (Y14/200)</t>
  </si>
  <si>
    <t>Συνολικό Θεωρητικό Βάρος Σχάρας ανά m²</t>
  </si>
  <si>
    <t>ΣΥΝΟΛΙΚΟ ΒΑΡΟΣ ΧΑΛΥΒΑ ΣΧΑΡΩΝ ΕΡΓΟΥ</t>
  </si>
  <si>
    <t>kg</t>
  </si>
  <si>
    <t>Ονομαστικός Όγκος Shotcrete Μελέτης</t>
  </si>
  <si>
    <t>m³</t>
  </si>
  <si>
    <t>Ποσοστό Απώλειας επί του Ονομαστικού Πάχους</t>
  </si>
  <si>
    <t>ποσοστό</t>
  </si>
  <si>
    <t>Β.3 Υπολογισμοί H-Beams (Πασσαλοκολώνες, Λάμες &amp; Κουγκρί Πάκτωσης)</t>
  </si>
  <si>
    <t>Συνολικό Μήκος Διάτρησης ανά Οπή</t>
  </si>
  <si>
    <t>m / οπή</t>
  </si>
  <si>
    <t>ΣΥΝΟΛΙΚΑ ΜΕΤΡΑ ΔΙΑΤΡΗΣΗΣ ΜΕΓΑΛΟΥ ΤΡΥΠΑΝΙΟΥ</t>
  </si>
  <si>
    <t>Κυβικά Εκσκαφής Οπής ανά Μέτρο (Κανόνας v2: Ø800 mm)</t>
  </si>
  <si>
    <t>m³ / m</t>
  </si>
  <si>
    <t>Συνολικά Κυβικά Εκσκαφής Οπών Τρυπανιού</t>
  </si>
  <si>
    <t>ΣΥΝΟΛΙΚΟ ΒΑΡΟΣ ΧΑΛΥΒΑ ΝΕΦΚΩΝ (2xUPN 350)</t>
  </si>
  <si>
    <t>Πλήθος Λαμών ανά Πάσσαλο (Κανόνας v2: L/s)</t>
  </si>
  <si>
    <t>λάμες / πάσσαλο</t>
  </si>
  <si>
    <t>ΣΥΝΟΛΙΚΟ ΠΛΗΘΟΣ ΛΑΜΩΝ ΣΥΝΔΕΣΗΣ ΕΡΓΟΥ</t>
  </si>
  <si>
    <t>τεμάχια</t>
  </si>
  <si>
    <t>Βάρος Μίας Λάμας PLT 350x100x12 mm</t>
  </si>
  <si>
    <t>kg / λάμα</t>
  </si>
  <si>
    <t>ΣΥΝΟΛΙΚΟ ΒΑΡΟΣ ΛΑΜΩΝ ΣΥΝΔΕΣΗΣ ΕΡΓΟΥ</t>
  </si>
  <si>
    <t>Όγκος Κουγκριού Πάκτωσης ανά Πάσσαλο (Κανόνας v2: Ø800 mm)</t>
  </si>
  <si>
    <t>m³ / πάσσαλο</t>
  </si>
  <si>
    <t>ΣΥΝΟΛΙΚΟΣ ΟΓΚΟΣ ΚΟΥΓΚΡΙΟΥ ΠΑΚΤΩΣΗΣ</t>
  </si>
  <si>
    <t>Β.4 Υπολογισμοί Αγκυρώσεων (Διάτρηση, Grout, Τένοντες &amp; Κεφαλές)</t>
  </si>
  <si>
    <t>ΣΥΝΟΛΙΚΟ ΠΛΗΘΟΣ ΑΓΚΥΡΩΣΕΩΝ ΕΡΓΟΥ</t>
  </si>
  <si>
    <t>ΣΥΝΟΛΙΚΑ ΜΕΤΡΑ ΔΙΑΤΡΗΣΗΣ ΑΓΚΥΡΩΣΕΩΝ</t>
  </si>
  <si>
    <t>Όγκος Grout ανά Μέτρο Διάτρησης (Ø150mm)</t>
  </si>
  <si>
    <t>ΣΥΝΟΛΙΚΟΣ ΟΓΚΟΣ GROUT ΑΓΚΥΡΩΣΕΩΝ</t>
  </si>
  <si>
    <t>ΣΥΝΟΛΙΚΟ ΜΗΚΟΣ ΤΕΝΟΝΤΩΝ (STRANDS 0.6 in)</t>
  </si>
  <si>
    <t>Θεωρητικό Βάρος Τενόντων ανά Μέτρο</t>
  </si>
  <si>
    <t>ΣΥΝΟΛΙΚΟ ΒΑΡΟΣ ΤΕΝΟΝΤΩΝ ΕΡΓΟΥ</t>
  </si>
  <si>
    <t>ΣΥΝΟΛΙΚΟ ΠΛΗΘΟΣ ΣΕΤ ΠΡΟΕΝΤΑΣΗΣ &amp; LOCK-OFF</t>
  </si>
  <si>
    <t>ΣΥΝΟΛΙΚΟ ΠΛΗΘΟΣ ΚΕΦΑΛΩΝ ΑΓΚΥΡΩΣΗΣ &amp; ΠΛΑΚΩΝ</t>
  </si>
  <si>
    <t>ΦΥΛΛΟ 2: ΟΙΚΟΝΟΜΙΚΗ ΚΟΣΤΟΛΟΓΗΣΗ &amp; ΠΡΟΣΦΟΡΑ (4 ΠΥΛΩΝΕΣ)  |  ΟΛΑ ΤΑ ΠΟΣΑ ΣΕ ΕΥΡΩ (€)</t>
  </si>
  <si>
    <t>Α/Α</t>
  </si>
  <si>
    <t>Περιγραφή Εργασίας / Υλικού</t>
  </si>
  <si>
    <t>Ποσότητα Μελέτης
[ΑΠΟ ΦΥΛΛΟ 1]</t>
  </si>
  <si>
    <t>Τιμή Μονάδας (€)
[ΚΙΤΡΙΝΟ = ΑΛΛΑΖΕΙ]</t>
  </si>
  <si>
    <t>Σύνολο (€)</t>
  </si>
  <si>
    <t>Τεχνική Σημείωση / Παραπομπή</t>
  </si>
  <si>
    <t>ΠΥΛΩΝΑΣ 1: ΜΕΤΑΚΙΝΗΣΕΙΣ ΕΞΟΠΛΙΣΜΟΥ (3 ΕΙΔΗ ΜΕΤΑΚΙΝΗΣΕΩΝ)</t>
  </si>
  <si>
    <t>1.1</t>
  </si>
  <si>
    <t>Μετακίνηση Μεγάλου Τρυπανιού (Piling Rig)</t>
  </si>
  <si>
    <t>1.2</t>
  </si>
  <si>
    <t>Μετακινήσεις Εξοπλισμού Αγκυρώσεων</t>
  </si>
  <si>
    <t>1.3</t>
  </si>
  <si>
    <t>Μετακινήσεις Συνεργείου &amp; Αντλίας Shotcrete</t>
  </si>
  <si>
    <t>ΜΕΡΙΚΟ ΣΥΝΟΛΟ ΠΥΛΩΝΑ 1 (ΜΕΤΑΚΙΝΗΣΕΙΣ):</t>
  </si>
  <si>
    <t>ΠΥΛΩΝΑΣ 2: ΣΧΑΡΕΣ ΟΠΛΙΣΜΟΥ &amp; ΕΚΤΟΞΕΥΟΜΕΝΟ ΣΚΥΡΟΔΕΜΑ (GUNITE / SHOTCRETE)</t>
  </si>
  <si>
    <t>2.1</t>
  </si>
  <si>
    <t>2.2</t>
  </si>
  <si>
    <t>Τοποθέτηση &amp; Εργατικά Σχάρας Μετώπου</t>
  </si>
  <si>
    <t>2.3</t>
  </si>
  <si>
    <t>Αγορά Σκυροδέματος Shotcrete C30/40</t>
  </si>
  <si>
    <t>2.4</t>
  </si>
  <si>
    <t>Εφαρμογή, Άντληση &amp; Εκτόξευση Shotcrete</t>
  </si>
  <si>
    <t>ΜΕΡΙΚΟ ΣΥΝΟΛΟ ΠΥΛΩΝΑ 2 (ΣΧΑΡΕΣ &amp; SHOTCRETE):</t>
  </si>
  <si>
    <t>ΠΥΛΩΝΑΣ 3: ΜΕΤΑΛΛΙΚΕΣ ΚΟΛΩΝΕΣ (H-BEAMS) &amp; ΠΑΣΣΑΛΟΙ BERLIN WALL</t>
  </si>
  <si>
    <t>3.1</t>
  </si>
  <si>
    <t>3.2</t>
  </si>
  <si>
    <t>3.3</t>
  </si>
  <si>
    <t>Λάμες Σύνδεσης / Ενίσχυσης PLT 350x100x12 mm</t>
  </si>
  <si>
    <t>3.4</t>
  </si>
  <si>
    <t>Κουγκρί Πάκτωσης Πασσάλων (H=3.0 m, Ø800 mm)</t>
  </si>
  <si>
    <t>3.5</t>
  </si>
  <si>
    <t>Γωνιές Στήριξης (Equal Angles L)</t>
  </si>
  <si>
    <t>Δεν ζητήθηκαν γωνιές στήριξης στα σχέδια</t>
  </si>
  <si>
    <t>ΜΕΡΙΚΟ ΣΥΝΟΛΟ ΠΥΛΩΝΑ 3 (H-BEAMS &amp; ΠΑΣΣΑΛΟΙ):</t>
  </si>
  <si>
    <t>ΠΥΛΩΝΑΣ 4: ΠΡΟΕΝΤΕΤΑΜΕΝΕΣ ΑΓΚΥΡΩΣΕΙΣ ΕΔΑΦΟΥΣ (TIEBACK ANCHORS)</t>
  </si>
  <si>
    <t>4.1</t>
  </si>
  <si>
    <t>4.2</t>
  </si>
  <si>
    <t>Grout Τσιμεντενέματος Πλήρωσης Αγκυρώσεων</t>
  </si>
  <si>
    <t>4.3</t>
  </si>
  <si>
    <t>Τένοντες Προέντασης (5 Strands 15.2 mm - 1.10 kg/m)</t>
  </si>
  <si>
    <t>4.4</t>
  </si>
  <si>
    <t>Προένταση Αγκυρώσεων (Stressing &amp; Lock-off)</t>
  </si>
  <si>
    <t>τεμ</t>
  </si>
  <si>
    <t>4.5</t>
  </si>
  <si>
    <t>Κεφαλή Αγκύρωσης, Σφήνες &amp; Πλάκα Έδρασης</t>
  </si>
  <si>
    <t>ΜΕΡΙΚΟ ΣΥΝΟΛΟ ΠΥΛΩΝΑ 4 (ΑΓΚΥΡΩΣΕΙΣ):</t>
  </si>
  <si>
    <t>ΚΑΘΑΡΟ ΣΥΝΟΛΟ ΕΡΓΟΥ (ΑΘΡΟΙΣΜΑ 4 ΠΥΛΩΝΩΝ):</t>
  </si>
  <si>
    <t>Φ.Π.Α. (19%):</t>
  </si>
  <si>
    <t>ΤΕΛΙΚΟ ΣΥΝΟΛΟ ΜΕ Φ.Π.Α. (ΠΛΗΡΩΤΕΟ):</t>
  </si>
  <si>
    <t>ΒΑΣΙΚΟΙ ΔΕΙΚΤΕΣ ΚΟΣΤΟΥΣ ΕΡΓΟΥ (KEY PERFORMANCE INDICATORS - KPIs)</t>
  </si>
  <si>
    <t>Κόστος ανά m² Μετώπου Αντιστήριξης</t>
  </si>
  <si>
    <t>€ / m²</t>
  </si>
  <si>
    <t>Κόστος ανά Τρέχον Μέτρο Περιμέτρου Εκσκαφής</t>
  </si>
  <si>
    <t>€ / m</t>
  </si>
  <si>
    <t>Κόστος ανά Πάσσαλο / Οπή Berlin Wall</t>
  </si>
  <si>
    <t>€ / πάσσαλο</t>
  </si>
  <si>
    <t>Κόστος ανά Αγκύρωση Έργου (Πυλώνας 4)</t>
  </si>
  <si>
    <t>€ / αγκύρωση</t>
  </si>
  <si>
    <t>ΒΙΒΛΙΟΘΗΚΗ ΔΙΑΤΟΜΩΝ ΧΑΛΥΒΑ BERLIN WALL &amp; ΑΓΚΥΡΩΣΕΙΩΝ</t>
  </si>
  <si>
    <t>ΤΥΠΟΠΟΙΗΜΕΝΕΣ ΔΙΑΤΟΜΕΣ HEA, HEB, HEM, UPN, IPE &amp; ΙΣΟΣΚΕΛΕΙΣ ΓΩΝΙΕΣ (L)</t>
  </si>
  <si>
    <t>Διατομή</t>
  </si>
  <si>
    <t>Ύψος h (mm)</t>
  </si>
  <si>
    <t>Πλάτος b (mm)</t>
  </si>
  <si>
    <t>Πάχος tw (mm)</t>
  </si>
  <si>
    <t>Πάχος tf (mm)</t>
  </si>
  <si>
    <t>Βάρος (kg/m)</t>
  </si>
  <si>
    <t>Χρήση / Εφαρμογή Berlin Wall</t>
  </si>
  <si>
    <t>ΚΟΙΛΟΔΟΚΟΙ UPN (EN 10365) — ΤΥΠΙΚΗ ΕΦΑΡΜΟΓΗ TOFARCO</t>
  </si>
  <si>
    <t>UPN 160</t>
  </si>
  <si>
    <t>Ελαφριές πασσαλοκολώνες</t>
  </si>
  <si>
    <t>UPN 180</t>
  </si>
  <si>
    <t>UPN 200</t>
  </si>
  <si>
    <t>Συνήθης διατομή Berlin Wall</t>
  </si>
  <si>
    <t>UPN 220</t>
  </si>
  <si>
    <t>Μεσαίο βάθος αντιστήριξης</t>
  </si>
  <si>
    <t>UPN 240</t>
  </si>
  <si>
    <t>UPN 260</t>
  </si>
  <si>
    <t>Βαριά αντιστήριξη</t>
  </si>
  <si>
    <t>UPN 280</t>
  </si>
  <si>
    <t>UPN 300</t>
  </si>
  <si>
    <t>UPN 350</t>
  </si>
  <si>
    <t>⭐ TOFARCO ATHENION (2xUPN 350)</t>
  </si>
  <si>
    <t>UPN 400</t>
  </si>
  <si>
    <t>Πολύ μεγάλα βάθη</t>
  </si>
  <si>
    <t>ΔΙΑΤΟΜΕΣ HEB (IPB / EN 10365) — ΠΑΣΣΑΛΟΚΟΛΩΝΕΣ ΜΕΓΑΛΗΣ ΔΥΣΚΑΜΨΙΑΣ</t>
  </si>
  <si>
    <t>HEB 180</t>
  </si>
  <si>
    <t>Μικρό/Μεσαίο βάθος</t>
  </si>
  <si>
    <t>HEB 200</t>
  </si>
  <si>
    <t>Συνήθης πασσαλοκολώνα</t>
  </si>
  <si>
    <t>HEB 220</t>
  </si>
  <si>
    <t>HEB 240</t>
  </si>
  <si>
    <t>Μεγάλα βάθη &amp; ωθήσεις</t>
  </si>
  <si>
    <t>HEB 260</t>
  </si>
  <si>
    <t>HEB 280</t>
  </si>
  <si>
    <t>Πολύ βαριά αντιστήριξη</t>
  </si>
  <si>
    <t>HEB 300</t>
  </si>
  <si>
    <t>ΔΙΑΤΟΜΕΣ HEA (IPBl / EN 10365) — ΕΛΑΦΡΙΑ ΣΕΙΡΑ</t>
  </si>
  <si>
    <t>HEA 180</t>
  </si>
  <si>
    <t>Ελαφριά αντιστήριξη</t>
  </si>
  <si>
    <t>HEA 200</t>
  </si>
  <si>
    <t>HEA 220</t>
  </si>
  <si>
    <t>Μεσαίο βάθος</t>
  </si>
  <si>
    <t>HEA 240</t>
  </si>
  <si>
    <t>HEA 260</t>
  </si>
  <si>
    <t>Μεγάλο βάθος</t>
  </si>
  <si>
    <t>HEA 280</t>
  </si>
  <si>
    <t>HEA 300</t>
  </si>
  <si>
    <t>ΙΣΟΣΚΕΛΕΙΣ ΓΩΝΙΕΣ L (EN 10056) — ΓΩΝΙΕΣ ΣΤΗΡΙΞΗΣ &amp; ΣΥΝΔΕΣΕΙΣ</t>
  </si>
  <si>
    <t>L 50x50x5</t>
  </si>
  <si>
    <t>Ελαφριές συνδέσεις</t>
  </si>
  <si>
    <t>L 60x60x6</t>
  </si>
  <si>
    <t>Συνδέσεις λαμών</t>
  </si>
  <si>
    <t>L 70x70x7</t>
  </si>
  <si>
    <t>Συνδέσεις λαμών &amp; σχαρών</t>
  </si>
  <si>
    <t>L 80x80x8</t>
  </si>
  <si>
    <t>Βαριές συνδέσεις</t>
  </si>
  <si>
    <t>L 100x100x10</t>
  </si>
  <si>
    <t>Στηρίξεις κεφαλών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</si>
</sst>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#,##0.000000"/>
    <numFmt numFmtId="167" formatCode="#,##0.00\ \€"/>
  </numFmts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9"/>
      <color rgb="FF1B365D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9"/>
      <color rgb="FF9C0006"/>
      <name val="Segoe UI"/>
    </font>
    <font>
      <b/>
      <sz val="11"/>
      <color rgb="FF000000"/>
      <name val="Segoe UI"/>
    </font>
    <font>
      <b/>
      <sz val="10"/>
      <color rgb="FF1F4E79"/>
      <name val="Segoe UI"/>
    </font>
    <font>
      <b/>
      <sz val="11"/>
      <color rgb="FF1F4E79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E4D2B"/>
        <bgColor rgb="FF1E4D2B"/>
      </patternFill>
    </fill>
    <fill>
      <patternFill patternType="solid">
        <fgColor rgb="FF3B3838"/>
        <bgColor rgb="FF3B3838"/>
      </patternFill>
    </fill>
    <fill>
      <patternFill patternType="solid">
        <fgColor rgb="FF41719C"/>
        <bgColor rgb="FF41719C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E9EEF4"/>
        <bgColor rgb="FFE9EEF4"/>
      </patternFill>
    </fill>
    <fill>
      <patternFill patternType="solid">
        <fgColor rgb="FFFFE699"/>
        <bgColor rgb="FFFFE699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7" fillId="5" borderId="1" xfId="0" applyNumberFormat="1" applyFont="1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7" fillId="7" borderId="1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" fontId="7" fillId="8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center" vertical="center"/>
    </xf>
    <xf numFmtId="10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166" fontId="7" fillId="7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3" fontId="0" fillId="0" borderId="1" xfId="0" applyNumberFormat="1" applyBorder="1" applyAlignment="1">
      <alignment horizontal="center" vertical="center"/>
    </xf>
    <xf numFmtId="167" fontId="9" fillId="9" borderId="1" xfId="0" applyNumberFormat="1" applyFont="1" applyFill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10" borderId="2" xfId="0" applyFill="1" applyBorder="1"/>
    <xf numFmtId="0" fontId="10" fillId="10" borderId="2" xfId="0" applyFont="1" applyFill="1" applyBorder="1"/>
    <xf numFmtId="167" fontId="10" fillId="10" borderId="2" xfId="0" applyNumberFormat="1" applyFont="1" applyFill="1" applyBorder="1" applyAlignment="1">
      <alignment horizontal="right" vertical="center"/>
    </xf>
    <xf numFmtId="4" fontId="0" fillId="0" borderId="1" xfId="0" applyNumberFormat="1" applyBorder="1" applyAlignment="1">
      <alignment horizontal="center" vertical="center"/>
    </xf>
    <xf numFmtId="167" fontId="9" fillId="11" borderId="1" xfId="0" applyNumberFormat="1" applyFont="1" applyFill="1" applyBorder="1" applyAlignment="1">
      <alignment horizontal="right" vertical="center"/>
    </xf>
    <xf numFmtId="0" fontId="0" fillId="12" borderId="3" xfId="0" applyFill="1" applyBorder="1"/>
    <xf numFmtId="0" fontId="11" fillId="12" borderId="3" xfId="0" applyFont="1" applyFill="1" applyBorder="1"/>
    <xf numFmtId="167" fontId="11" fillId="12" borderId="3" xfId="0" applyNumberFormat="1" applyFont="1" applyFill="1" applyBorder="1" applyAlignment="1">
      <alignment horizontal="right" vertical="center"/>
    </xf>
    <xf numFmtId="0" fontId="0" fillId="0" borderId="1" xfId="0" applyBorder="1"/>
    <xf numFmtId="0" fontId="7" fillId="0" borderId="1" xfId="0" applyFont="1" applyBorder="1"/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4" fillId="4" borderId="0" xfId="0" applyFont="1" applyFill="1"/>
    <xf numFmtId="0" fontId="0" fillId="0" borderId="0" xfId="0"/>
    <xf numFmtId="0" fontId="3" fillId="2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topLeftCell="A91" workbookViewId="0">
      <selection activeCell="B103" sqref="B103"/>
    </sheetView>
  </sheetViews>
  <sheetFormatPr defaultRowHeight="14.5" x14ac:dyDescent="0.35"/>
  <cols>
    <col min="1" max="1" width="52" customWidth="1"/>
    <col min="2" max="2" width="20" customWidth="1"/>
    <col min="3" max="3" width="15" customWidth="1"/>
    <col min="4" max="4" width="42" customWidth="1"/>
    <col min="5" max="5" width="52" customWidth="1"/>
  </cols>
  <sheetData>
    <row r="1" spans="1:5" ht="21" x14ac:dyDescent="0.55000000000000004">
      <c r="A1" s="1" t="s">
        <v>0</v>
      </c>
    </row>
    <row r="2" spans="1:5" ht="16" x14ac:dyDescent="0.45">
      <c r="A2" s="2" t="s">
        <v>1</v>
      </c>
    </row>
    <row r="4" spans="1:5" ht="25" customHeight="1" x14ac:dyDescent="0.45">
      <c r="A4" s="47" t="s">
        <v>2</v>
      </c>
      <c r="B4" s="46"/>
      <c r="C4" s="46"/>
      <c r="D4" s="46"/>
      <c r="E4" s="46"/>
    </row>
    <row r="5" spans="1:5" ht="22" customHeight="1" x14ac:dyDescent="0.35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</row>
    <row r="6" spans="1:5" ht="20" customHeight="1" x14ac:dyDescent="0.45">
      <c r="A6" s="45" t="s">
        <v>8</v>
      </c>
      <c r="B6" s="46"/>
      <c r="C6" s="46"/>
      <c r="D6" s="46"/>
      <c r="E6" s="46"/>
    </row>
    <row r="7" spans="1:5" ht="20" customHeight="1" x14ac:dyDescent="0.35">
      <c r="A7" s="5" t="s">
        <v>9</v>
      </c>
      <c r="B7" s="6" t="s">
        <v>10</v>
      </c>
      <c r="C7" s="7" t="s">
        <v>11</v>
      </c>
      <c r="D7" s="8" t="s">
        <v>12</v>
      </c>
      <c r="E7" s="9" t="s">
        <v>13</v>
      </c>
    </row>
    <row r="8" spans="1:5" ht="20" customHeight="1" x14ac:dyDescent="0.35">
      <c r="A8" s="5" t="s">
        <v>14</v>
      </c>
      <c r="B8" s="6" t="s">
        <v>15</v>
      </c>
      <c r="C8" s="7" t="s">
        <v>16</v>
      </c>
      <c r="D8" s="8" t="s">
        <v>17</v>
      </c>
      <c r="E8" s="9" t="s">
        <v>18</v>
      </c>
    </row>
    <row r="9" spans="1:5" ht="20" customHeight="1" x14ac:dyDescent="0.35">
      <c r="A9" s="5" t="s">
        <v>19</v>
      </c>
      <c r="B9" s="10">
        <v>85</v>
      </c>
      <c r="C9" s="7" t="s">
        <v>20</v>
      </c>
      <c r="D9" s="8" t="s">
        <v>21</v>
      </c>
      <c r="E9" s="9" t="str">
        <f>"Απόσταση " &amp; B9 &amp; " km (&gt; 80 km, κατηγορία Λευκωσίας)"</f>
        <v>Απόσταση 85 km (&gt; 80 km, κατηγορία Λευκωσίας)</v>
      </c>
    </row>
    <row r="10" spans="1:5" ht="20" customHeight="1" x14ac:dyDescent="0.35">
      <c r="A10" s="5" t="s">
        <v>22</v>
      </c>
      <c r="B10" s="10">
        <v>4</v>
      </c>
      <c r="C10" s="7" t="s">
        <v>23</v>
      </c>
      <c r="D10" s="8" t="s">
        <v>24</v>
      </c>
      <c r="E10" s="9" t="str">
        <f>B10 &amp; " σειρές αγκυρώσεων σε όλο το μέτωπο (1x15° + 3x30°)"</f>
        <v>4 σειρές αγκυρώσεων σε όλο το μέτωπο (1x15° + 3x30°)</v>
      </c>
    </row>
    <row r="12" spans="1:5" ht="20" customHeight="1" x14ac:dyDescent="0.45">
      <c r="A12" s="45" t="s">
        <v>25</v>
      </c>
      <c r="B12" s="46"/>
      <c r="C12" s="46"/>
      <c r="D12" s="46"/>
      <c r="E12" s="46"/>
    </row>
    <row r="13" spans="1:5" ht="20" customHeight="1" x14ac:dyDescent="0.35">
      <c r="A13" s="5" t="s">
        <v>26</v>
      </c>
      <c r="B13" s="11">
        <v>16</v>
      </c>
      <c r="C13" s="7" t="s">
        <v>27</v>
      </c>
      <c r="D13" s="8" t="s">
        <v>28</v>
      </c>
      <c r="E13" s="9" t="str">
        <f>"8 διαστήματα των " &amp; TEXT(B33, "0.0") &amp; "m c/c = " &amp; TEXT(B13, "0.0") &amp; "m"</f>
        <v>8 διαστήματα των 2.0m c/c = 16.0m</v>
      </c>
    </row>
    <row r="14" spans="1:5" ht="20" customHeight="1" x14ac:dyDescent="0.35">
      <c r="A14" s="5" t="s">
        <v>29</v>
      </c>
      <c r="B14" s="11">
        <v>18</v>
      </c>
      <c r="C14" s="7" t="s">
        <v>27</v>
      </c>
      <c r="D14" s="8" t="s">
        <v>28</v>
      </c>
      <c r="E14" s="9" t="str">
        <f>"9 διαστήματα των " &amp; TEXT(B33, "0.0") &amp; "m c/c = " &amp; TEXT(B14, "0.0") &amp; "m"</f>
        <v>9 διαστήματα των 2.0m c/c = 18.0m</v>
      </c>
    </row>
    <row r="15" spans="1:5" ht="20" customHeight="1" x14ac:dyDescent="0.35">
      <c r="A15" s="5" t="s">
        <v>30</v>
      </c>
      <c r="B15" s="11">
        <v>54</v>
      </c>
      <c r="C15" s="7" t="s">
        <v>27</v>
      </c>
      <c r="D15" s="8" t="s">
        <v>28</v>
      </c>
      <c r="E15" s="9" t="str">
        <f>"27 διαστήματα των " &amp; TEXT(B33, "0.0") &amp; "m c/c = " &amp; TEXT(B15, "0.0") &amp; "m"</f>
        <v>27 διαστήματα των 2.0m c/c = 54.0m</v>
      </c>
    </row>
    <row r="16" spans="1:5" ht="20" customHeight="1" x14ac:dyDescent="0.35">
      <c r="A16" s="5" t="s">
        <v>31</v>
      </c>
      <c r="B16" s="11">
        <v>22</v>
      </c>
      <c r="C16" s="7" t="s">
        <v>27</v>
      </c>
      <c r="D16" s="8" t="s">
        <v>28</v>
      </c>
      <c r="E16" s="9" t="str">
        <f>"11 διαστήματα των " &amp; TEXT(B33, "0.0") &amp; "m c/c = " &amp; TEXT(B16, "0.0") &amp; "m"</f>
        <v>11 διαστήματα των 2.0m c/c = 22.0m</v>
      </c>
    </row>
    <row r="17" spans="1:5" ht="20" customHeight="1" x14ac:dyDescent="0.35">
      <c r="A17" s="5" t="s">
        <v>32</v>
      </c>
      <c r="B17" s="11">
        <v>86</v>
      </c>
      <c r="C17" s="7" t="s">
        <v>27</v>
      </c>
      <c r="D17" s="8" t="s">
        <v>28</v>
      </c>
      <c r="E17" s="9" t="str">
        <f>"43 διαστήματα των " &amp; TEXT(B33, "0.0") &amp; "m c/c = " &amp; TEXT(B17, "0.0") &amp; "m"</f>
        <v>43 διαστήματα των 2.0m c/c = 86.0m</v>
      </c>
    </row>
    <row r="18" spans="1:5" ht="20" customHeight="1" x14ac:dyDescent="0.35">
      <c r="A18" s="5" t="s">
        <v>33</v>
      </c>
      <c r="B18" s="11">
        <v>12.5</v>
      </c>
      <c r="C18" s="7" t="s">
        <v>27</v>
      </c>
      <c r="D18" s="8" t="s">
        <v>24</v>
      </c>
      <c r="E18" s="9" t="str">
        <f>TEXT(B36, "0.00") &amp; "m βάθος διάτρησης μείον " &amp; TEXT(B19, "0.00") &amp; "m πάκτωση = " &amp; TEXT(B18, "0.00") &amp; "m"</f>
        <v>15.50m βάθος διάτρησης μείον 3.00m πάκτωση = 12.50m</v>
      </c>
    </row>
    <row r="19" spans="1:5" ht="20" customHeight="1" x14ac:dyDescent="0.35">
      <c r="A19" s="12" t="s">
        <v>34</v>
      </c>
      <c r="B19" s="11">
        <v>3</v>
      </c>
      <c r="C19" s="13" t="s">
        <v>27</v>
      </c>
      <c r="D19" s="8" t="s">
        <v>35</v>
      </c>
      <c r="E19" s="14" t="str">
        <f>"[ΣΥΓΚΡΟΥΣΗ ΜΕΛΕΤΗΣ]: " &amp; TEXT(B19, "0.00") &amp; "m στο Σ01.1 vs 2.50m στο Σ02.1. Επιλογή ασφαλέστερου " &amp; TEXT(B19, "0.00") &amp; "m."</f>
        <v>[ΣΥΓΚΡΟΥΣΗ ΜΕΛΕΤΗΣ]: 3.00m στο Σ01.1 vs 2.50m στο Σ02.1. Επιλογή ασφαλέστερου 3.00m.</v>
      </c>
    </row>
    <row r="21" spans="1:5" ht="20" customHeight="1" x14ac:dyDescent="0.45">
      <c r="A21" s="45" t="s">
        <v>36</v>
      </c>
      <c r="B21" s="46"/>
      <c r="C21" s="46"/>
      <c r="D21" s="46"/>
      <c r="E21" s="46"/>
    </row>
    <row r="22" spans="1:5" ht="20" customHeight="1" x14ac:dyDescent="0.35">
      <c r="A22" s="5" t="s">
        <v>37</v>
      </c>
      <c r="B22" s="6" t="s">
        <v>38</v>
      </c>
      <c r="C22" s="7" t="s">
        <v>39</v>
      </c>
      <c r="D22" s="8" t="s">
        <v>24</v>
      </c>
      <c r="E22" s="9" t="str">
        <f>"Διάμετρος " &amp; B23 &amp; " mm ανά " &amp; B24 &amp; " mm c/c"</f>
        <v>Διάμετρος 20 mm ανά 200 mm c/c</v>
      </c>
    </row>
    <row r="23" spans="1:5" ht="20" customHeight="1" x14ac:dyDescent="0.35">
      <c r="A23" s="5" t="s">
        <v>40</v>
      </c>
      <c r="B23" s="10">
        <v>20</v>
      </c>
      <c r="C23" s="7" t="s">
        <v>41</v>
      </c>
      <c r="D23" s="8" t="s">
        <v>24</v>
      </c>
      <c r="E23" s="9" t="str">
        <f>"Ράβδοι B500C Ø" &amp; B23</f>
        <v>Ράβδοι B500C Ø20</v>
      </c>
    </row>
    <row r="24" spans="1:5" ht="20" customHeight="1" x14ac:dyDescent="0.35">
      <c r="A24" s="5" t="s">
        <v>42</v>
      </c>
      <c r="B24" s="10">
        <v>200</v>
      </c>
      <c r="C24" s="7" t="s">
        <v>41</v>
      </c>
      <c r="D24" s="8" t="s">
        <v>24</v>
      </c>
      <c r="E24" s="9" t="str">
        <f>ROUND(1000/B24, 0) &amp; " ράβδοι ανά μέτρο ύψους"</f>
        <v>5 ράβδοι ανά μέτρο ύψους</v>
      </c>
    </row>
    <row r="25" spans="1:5" ht="20" customHeight="1" x14ac:dyDescent="0.35">
      <c r="A25" s="5" t="s">
        <v>43</v>
      </c>
      <c r="B25" s="6" t="s">
        <v>44</v>
      </c>
      <c r="C25" s="7" t="s">
        <v>39</v>
      </c>
      <c r="D25" s="8" t="s">
        <v>24</v>
      </c>
      <c r="E25" s="9" t="str">
        <f>"Διάμετρος " &amp; B26 &amp; " mm ανά " &amp; B27 &amp; " mm c/c"</f>
        <v>Διάμετρος 14 mm ανά 200 mm c/c</v>
      </c>
    </row>
    <row r="26" spans="1:5" ht="20" customHeight="1" x14ac:dyDescent="0.35">
      <c r="A26" s="5" t="s">
        <v>45</v>
      </c>
      <c r="B26" s="10">
        <v>14</v>
      </c>
      <c r="C26" s="7" t="s">
        <v>41</v>
      </c>
      <c r="D26" s="8" t="s">
        <v>24</v>
      </c>
      <c r="E26" s="9" t="str">
        <f>"Ράβδοι B500C Ø" &amp; B26</f>
        <v>Ράβδοι B500C Ø14</v>
      </c>
    </row>
    <row r="27" spans="1:5" ht="20" customHeight="1" x14ac:dyDescent="0.35">
      <c r="A27" s="5" t="s">
        <v>46</v>
      </c>
      <c r="B27" s="10">
        <v>200</v>
      </c>
      <c r="C27" s="7" t="s">
        <v>41</v>
      </c>
      <c r="D27" s="8" t="s">
        <v>24</v>
      </c>
      <c r="E27" s="9" t="str">
        <f>ROUND(1000/B27, 0) &amp; " ράβδοι ανά μέτρο μήκους"</f>
        <v>5 ράβδοι ανά μέτρο μήκους</v>
      </c>
    </row>
    <row r="28" spans="1:5" ht="20" customHeight="1" x14ac:dyDescent="0.35">
      <c r="A28" s="5" t="s">
        <v>47</v>
      </c>
      <c r="B28" s="11">
        <v>0.15</v>
      </c>
      <c r="C28" s="7" t="s">
        <v>27</v>
      </c>
      <c r="D28" s="8" t="s">
        <v>24</v>
      </c>
      <c r="E28" s="9" t="str">
        <f>TEXT(B28*1000, "0") &amp; " mm ελάχιστο πάχος επικάλυψης σχεδίου"</f>
        <v>150 mm ελάχιστο πάχος επικάλυψης σχεδίου</v>
      </c>
    </row>
    <row r="29" spans="1:5" ht="20" customHeight="1" x14ac:dyDescent="0.35">
      <c r="A29" s="5" t="s">
        <v>48</v>
      </c>
      <c r="B29" s="11">
        <v>0.05</v>
      </c>
      <c r="C29" s="7" t="s">
        <v>27</v>
      </c>
      <c r="D29" s="8" t="s">
        <v>49</v>
      </c>
      <c r="E29" s="9" t="str">
        <f>"+" &amp; TEXT(B29*100, "0") &amp; " cm πάγια προσαύξηση εταιρείας"</f>
        <v>+5 cm πάγια προσαύξηση εταιρείας</v>
      </c>
    </row>
    <row r="30" spans="1:5" ht="20" customHeight="1" x14ac:dyDescent="0.35">
      <c r="A30" s="5" t="s">
        <v>50</v>
      </c>
      <c r="B30" s="6" t="s">
        <v>51</v>
      </c>
      <c r="C30" s="7" t="s">
        <v>52</v>
      </c>
      <c r="D30" s="8" t="s">
        <v>53</v>
      </c>
      <c r="E30" s="9" t="s">
        <v>54</v>
      </c>
    </row>
    <row r="32" spans="1:5" ht="20" customHeight="1" x14ac:dyDescent="0.45">
      <c r="A32" s="45" t="s">
        <v>55</v>
      </c>
      <c r="B32" s="46"/>
      <c r="C32" s="46"/>
      <c r="D32" s="46"/>
      <c r="E32" s="46"/>
    </row>
    <row r="33" spans="1:5" ht="20" customHeight="1" x14ac:dyDescent="0.35">
      <c r="A33" s="5" t="s">
        <v>56</v>
      </c>
      <c r="B33" s="11">
        <v>2</v>
      </c>
      <c r="C33" s="7" t="s">
        <v>27</v>
      </c>
      <c r="D33" s="8" t="s">
        <v>28</v>
      </c>
      <c r="E33" s="9" t="str">
        <f>"Ανά " &amp; TEXT(B33, "0.00") &amp; " m c/c στην περίμετρο"</f>
        <v>Ανά 2.00 m c/c στην περίμετρο</v>
      </c>
    </row>
    <row r="34" spans="1:5" ht="20" customHeight="1" x14ac:dyDescent="0.35">
      <c r="A34" s="5" t="s">
        <v>57</v>
      </c>
      <c r="B34" s="10">
        <v>109</v>
      </c>
      <c r="C34" s="7" t="s">
        <v>58</v>
      </c>
      <c r="D34" s="8" t="s">
        <v>28</v>
      </c>
      <c r="E34" s="9" t="str">
        <f>B34 &amp; " διαστήματα των " &amp; TEXT(B33, "0.0") &amp; "m c/c (" &amp; TEXT(B34*B33, "#,##0.0") &amp; "m περίμετρος)"</f>
        <v>109 διαστήματα των 2.0m c/c (218.0m περίμετρος)</v>
      </c>
    </row>
    <row r="35" spans="1:5" ht="20" customHeight="1" x14ac:dyDescent="0.35">
      <c r="A35" s="12" t="s">
        <v>59</v>
      </c>
      <c r="B35" s="11">
        <v>0.8</v>
      </c>
      <c r="C35" s="13" t="s">
        <v>27</v>
      </c>
      <c r="D35" s="8" t="s">
        <v>60</v>
      </c>
      <c r="E35" s="14" t="str">
        <f>"[OVERRIDE ΚΑΝΟΝΑ v2]: Ζητήθηκε Ø600 mm. Εφαρμόζεται υποχρεωτικά Ø" &amp; TEXT(B35*1000, "0") &amp; " mm."</f>
        <v>[OVERRIDE ΚΑΝΟΝΑ v2]: Ζητήθηκε Ø600 mm. Εφαρμόζεται υποχρεωτικά Ø800 mm.</v>
      </c>
    </row>
    <row r="36" spans="1:5" ht="20" customHeight="1" x14ac:dyDescent="0.35">
      <c r="A36" s="5" t="s">
        <v>61</v>
      </c>
      <c r="B36" s="11">
        <v>15.5</v>
      </c>
      <c r="C36" s="7" t="s">
        <v>27</v>
      </c>
      <c r="D36" s="8" t="s">
        <v>24</v>
      </c>
      <c r="E36" s="9" t="str">
        <f>"Βάθος κάτω από δημόσιο δρόμο &gt; " &amp; TEXT(B36, "0.00") &amp; " m"</f>
        <v>Βάθος κάτω από δημόσιο δρόμο &gt; 15.50 m</v>
      </c>
    </row>
    <row r="37" spans="1:5" ht="20" customHeight="1" x14ac:dyDescent="0.35">
      <c r="A37" s="5" t="s">
        <v>62</v>
      </c>
      <c r="B37" s="6" t="s">
        <v>63</v>
      </c>
      <c r="C37" s="7" t="s">
        <v>64</v>
      </c>
      <c r="D37" s="8" t="s">
        <v>24</v>
      </c>
      <c r="E37" s="9" t="s">
        <v>65</v>
      </c>
    </row>
    <row r="38" spans="1:5" ht="20" customHeight="1" x14ac:dyDescent="0.35">
      <c r="A38" s="5" t="s">
        <v>66</v>
      </c>
      <c r="B38" s="11">
        <v>15</v>
      </c>
      <c r="C38" s="7" t="s">
        <v>27</v>
      </c>
      <c r="D38" s="8" t="s">
        <v>24</v>
      </c>
      <c r="E38" s="9" t="str">
        <f>TEXT(B38, "0.00") &amp; "m (βυθίζεται 0.50m κάτω από ισόγειο)"</f>
        <v>15.00m (βυθίζεται 0.50m κάτω από ισόγειο)</v>
      </c>
    </row>
    <row r="39" spans="1:5" ht="20" customHeight="1" x14ac:dyDescent="0.35">
      <c r="A39" s="5" t="s">
        <v>67</v>
      </c>
      <c r="B39" s="10">
        <v>2</v>
      </c>
      <c r="C39" s="7" t="s">
        <v>68</v>
      </c>
      <c r="D39" s="8" t="s">
        <v>24</v>
      </c>
      <c r="E39" s="9" t="str">
        <f>B39 &amp; " προφίλ ανά οπή"</f>
        <v>2 προφίλ ανά οπή</v>
      </c>
    </row>
    <row r="40" spans="1:5" ht="20" customHeight="1" x14ac:dyDescent="0.35">
      <c r="A40" s="5" t="s">
        <v>69</v>
      </c>
      <c r="B40" s="11">
        <v>60.6</v>
      </c>
      <c r="C40" s="7" t="s">
        <v>70</v>
      </c>
      <c r="D40" s="8" t="s">
        <v>71</v>
      </c>
      <c r="E40" s="9" t="str">
        <f>TEXT(B40, "0.0") &amp; " kg/m ανά UPN (Σύνολο " &amp; TEXT(B39*B40, "0.0") &amp; " kg/m)"</f>
        <v>60.6 kg/m ανά UPN (Σύνολο 121.2 kg/m)</v>
      </c>
    </row>
    <row r="41" spans="1:5" ht="20" customHeight="1" x14ac:dyDescent="0.35">
      <c r="A41" s="5" t="s">
        <v>72</v>
      </c>
      <c r="B41" s="6" t="s">
        <v>73</v>
      </c>
      <c r="C41" s="7" t="s">
        <v>41</v>
      </c>
      <c r="D41" s="8" t="s">
        <v>74</v>
      </c>
      <c r="E41" s="9" t="s">
        <v>75</v>
      </c>
    </row>
    <row r="42" spans="1:5" ht="20" customHeight="1" x14ac:dyDescent="0.35">
      <c r="A42" s="5" t="s">
        <v>76</v>
      </c>
      <c r="B42" s="11">
        <v>0.6</v>
      </c>
      <c r="C42" s="7" t="s">
        <v>27</v>
      </c>
      <c r="D42" s="8" t="s">
        <v>24</v>
      </c>
      <c r="E42" s="9" t="str">
        <f>"Απόσταση που ζητά ο μελετητής ανά " &amp; TEXT(B42, "0.00") &amp; " m"</f>
        <v>Απόσταση που ζητά ο μελετητής ανά 0.60 m</v>
      </c>
    </row>
    <row r="43" spans="1:5" ht="20" customHeight="1" x14ac:dyDescent="0.35">
      <c r="A43" s="12" t="s">
        <v>77</v>
      </c>
      <c r="B43" s="11">
        <v>3</v>
      </c>
      <c r="C43" s="13" t="s">
        <v>27</v>
      </c>
      <c r="D43" s="8" t="s">
        <v>35</v>
      </c>
      <c r="E43" s="14" t="str">
        <f>"[ΣΥΓΚΡΟΥΣΗ ΜΕΛΕΤΗΣ]: " &amp; TEXT(B43, "0.00") &amp; "m στο Σ01.1 vs 2.50m στο Σ02.1. Επιλογή " &amp; TEXT(B43, "0.00") &amp; "m."</f>
        <v>[ΣΥΓΚΡΟΥΣΗ ΜΕΛΕΤΗΣ]: 3.00m στο Σ01.1 vs 2.50m στο Σ02.1. Επιλογή 3.00m.</v>
      </c>
    </row>
    <row r="44" spans="1:5" ht="20" customHeight="1" x14ac:dyDescent="0.35">
      <c r="A44" s="12" t="s">
        <v>78</v>
      </c>
      <c r="B44" s="6" t="s">
        <v>79</v>
      </c>
      <c r="C44" s="13" t="s">
        <v>52</v>
      </c>
      <c r="D44" s="8" t="s">
        <v>35</v>
      </c>
      <c r="E44" s="14" t="str">
        <f>"[ΣΥΓΚΡΟΥΣΗ ΜΕΛΕΤΗΣ]: Επιλογή ανώτερου " &amp; B44 &amp; " (Σ01.1) έναντι C30/37 (Σ02.1)."</f>
        <v>[ΣΥΓΚΡΟΥΣΗ ΜΕΛΕΤΗΣ]: Επιλογή ανώτερου C35/45 (Σ01.1) έναντι C30/37 (Σ02.1).</v>
      </c>
    </row>
    <row r="46" spans="1:5" ht="20" customHeight="1" x14ac:dyDescent="0.45">
      <c r="A46" s="45" t="s">
        <v>80</v>
      </c>
      <c r="B46" s="46"/>
      <c r="C46" s="46"/>
      <c r="D46" s="46"/>
      <c r="E46" s="46"/>
    </row>
    <row r="47" spans="1:5" ht="20" customHeight="1" x14ac:dyDescent="0.35">
      <c r="A47" s="5" t="s">
        <v>81</v>
      </c>
      <c r="B47" s="10">
        <v>4</v>
      </c>
      <c r="C47" s="7" t="s">
        <v>23</v>
      </c>
      <c r="D47" s="8" t="s">
        <v>24</v>
      </c>
      <c r="E47" s="9" t="str">
        <f>B47 &amp; " σειρές ανά πάσσαλο"</f>
        <v>4 σειρές ανά πάσσαλο</v>
      </c>
    </row>
    <row r="48" spans="1:5" ht="20" customHeight="1" x14ac:dyDescent="0.35">
      <c r="A48" s="5" t="s">
        <v>82</v>
      </c>
      <c r="B48" s="11">
        <v>13.3</v>
      </c>
      <c r="C48" s="7" t="s">
        <v>27</v>
      </c>
      <c r="D48" s="8" t="s">
        <v>24</v>
      </c>
      <c r="E48" s="9" t="str">
        <f>"Στάθμη -2.00m, 13.0m + 0.30m επιπλέον = " &amp; TEXT(B48, "0.00") &amp; " m"</f>
        <v>Στάθμη -2.00m, 13.0m + 0.30m επιπλέον = 13.30 m</v>
      </c>
    </row>
    <row r="49" spans="1:5" ht="20" customHeight="1" x14ac:dyDescent="0.35">
      <c r="A49" s="5" t="s">
        <v>83</v>
      </c>
      <c r="B49" s="11">
        <v>13.3</v>
      </c>
      <c r="C49" s="7" t="s">
        <v>27</v>
      </c>
      <c r="D49" s="8" t="s">
        <v>24</v>
      </c>
      <c r="E49" s="9" t="str">
        <f>"13.0m + 0.30m επιπλέον βάθος = " &amp; TEXT(B49, "0.00") &amp; " m"</f>
        <v>13.0m + 0.30m επιπλέον βάθος = 13.30 m</v>
      </c>
    </row>
    <row r="50" spans="1:5" ht="20" customHeight="1" x14ac:dyDescent="0.35">
      <c r="A50" s="5" t="s">
        <v>84</v>
      </c>
      <c r="B50" s="11">
        <v>13.3</v>
      </c>
      <c r="C50" s="7" t="s">
        <v>27</v>
      </c>
      <c r="D50" s="8" t="s">
        <v>24</v>
      </c>
      <c r="E50" s="9" t="str">
        <f>"13.0m + 0.30m επιπλέον βάθος = " &amp; TEXT(B50, "0.00") &amp; " m"</f>
        <v>13.0m + 0.30m επιπλέον βάθος = 13.30 m</v>
      </c>
    </row>
    <row r="51" spans="1:5" ht="20" customHeight="1" x14ac:dyDescent="0.35">
      <c r="A51" s="5" t="s">
        <v>85</v>
      </c>
      <c r="B51" s="11">
        <v>13.3</v>
      </c>
      <c r="C51" s="7" t="s">
        <v>27</v>
      </c>
      <c r="D51" s="8" t="s">
        <v>24</v>
      </c>
      <c r="E51" s="9" t="str">
        <f>"13.0m + 0.30m επιπλέον βάθος = " &amp; TEXT(B51, "0.00") &amp; " m"</f>
        <v>13.0m + 0.30m επιπλέον βάθος = 13.30 m</v>
      </c>
    </row>
    <row r="52" spans="1:5" ht="20" customHeight="1" x14ac:dyDescent="0.35">
      <c r="A52" s="5" t="s">
        <v>86</v>
      </c>
      <c r="B52" s="10">
        <f>B34</f>
        <v>109</v>
      </c>
      <c r="C52" s="7" t="s">
        <v>87</v>
      </c>
      <c r="D52" s="8" t="s">
        <v>35</v>
      </c>
      <c r="E52" s="9" t="str">
        <f>"1 αγκύρωση ανά πάσσαλο σε κάθε σειρά (Σύνολο: " &amp; B52 &amp; " αγκυρώσεις/σειρά)"</f>
        <v>1 αγκύρωση ανά πάσσαλο σε κάθε σειρά (Σύνολο: 109 αγκυρώσεις/σειρά)</v>
      </c>
    </row>
    <row r="53" spans="1:5" ht="20" customHeight="1" x14ac:dyDescent="0.35">
      <c r="A53" s="5" t="s">
        <v>88</v>
      </c>
      <c r="B53" s="10">
        <v>5</v>
      </c>
      <c r="C53" s="7" t="s">
        <v>89</v>
      </c>
      <c r="D53" s="8" t="s">
        <v>90</v>
      </c>
      <c r="E53" s="9" t="str">
        <f>B53 &amp; "x14mm wire rope (fpk=1860 MPa)"</f>
        <v>5x14mm wire rope (fpk=1860 MPa)</v>
      </c>
    </row>
    <row r="54" spans="1:5" ht="20" customHeight="1" x14ac:dyDescent="0.35">
      <c r="A54" s="5" t="s">
        <v>91</v>
      </c>
      <c r="B54" s="11">
        <v>0.15</v>
      </c>
      <c r="C54" s="7" t="s">
        <v>27</v>
      </c>
      <c r="D54" s="8" t="s">
        <v>92</v>
      </c>
      <c r="E54" s="9" t="str">
        <f>"Minimum Drill Hole Diameter Ø" &amp; TEXT(B54*1000, "0") &amp; " mm"</f>
        <v>Minimum Drill Hole Diameter Ø150 mm</v>
      </c>
    </row>
    <row r="55" spans="1:5" ht="20" customHeight="1" x14ac:dyDescent="0.35">
      <c r="A55" s="5" t="s">
        <v>93</v>
      </c>
      <c r="B55" s="11">
        <v>5.3</v>
      </c>
      <c r="C55" s="7" t="s">
        <v>27</v>
      </c>
      <c r="D55" s="8" t="s">
        <v>90</v>
      </c>
      <c r="E55" s="9" t="str">
        <f>TEXT(B55, "0.00") &amp; " m cement grouting fcu &gt; 80 N/mm²"</f>
        <v>5.30 m cement grouting fcu &gt; 80 N/mm²</v>
      </c>
    </row>
    <row r="56" spans="1:5" ht="20" customHeight="1" x14ac:dyDescent="0.35">
      <c r="A56" s="5" t="s">
        <v>94</v>
      </c>
      <c r="B56" s="11">
        <v>1.2</v>
      </c>
      <c r="C56" s="7" t="s">
        <v>95</v>
      </c>
      <c r="D56" s="8" t="s">
        <v>49</v>
      </c>
      <c r="E56" s="9" t="str">
        <f>"+" &amp; TEXT((B56-1)*100, "0") &amp; "% απώλεια / υπερκατανάλωση"</f>
        <v>+20% απώλεια / υπερκατανάλωση</v>
      </c>
    </row>
    <row r="57" spans="1:5" ht="20" customHeight="1" x14ac:dyDescent="0.35">
      <c r="A57" s="5" t="s">
        <v>96</v>
      </c>
      <c r="B57" s="11">
        <v>1</v>
      </c>
      <c r="C57" s="7" t="s">
        <v>27</v>
      </c>
      <c r="D57" s="8" t="s">
        <v>49</v>
      </c>
      <c r="E57" s="9" t="str">
        <f>"+" &amp; TEXT(B57, "0.0") &amp; " m ανά τένοντα έξω από το μέτωπο"</f>
        <v>+1.0 m ανά τένοντα έξω από το μέτωπο</v>
      </c>
    </row>
    <row r="59" spans="1:5" ht="25" customHeight="1" x14ac:dyDescent="0.45">
      <c r="A59" s="48" t="s">
        <v>97</v>
      </c>
      <c r="B59" s="46"/>
      <c r="C59" s="46"/>
      <c r="D59" s="46"/>
      <c r="E59" s="46"/>
    </row>
    <row r="60" spans="1:5" ht="22" customHeight="1" x14ac:dyDescent="0.35">
      <c r="A60" s="3" t="s">
        <v>98</v>
      </c>
      <c r="B60" s="4" t="s">
        <v>99</v>
      </c>
      <c r="C60" s="4" t="s">
        <v>5</v>
      </c>
      <c r="D60" s="3" t="s">
        <v>100</v>
      </c>
      <c r="E60" s="3" t="s">
        <v>101</v>
      </c>
    </row>
    <row r="61" spans="1:5" ht="20" customHeight="1" x14ac:dyDescent="0.45">
      <c r="A61" s="45" t="s">
        <v>102</v>
      </c>
      <c r="B61" s="46"/>
      <c r="C61" s="46"/>
      <c r="D61" s="46"/>
      <c r="E61" s="46"/>
    </row>
    <row r="62" spans="1:5" ht="20" customHeight="1" x14ac:dyDescent="0.35">
      <c r="A62" s="5" t="s">
        <v>103</v>
      </c>
      <c r="B62" s="15">
        <v>1</v>
      </c>
      <c r="C62" s="7" t="s">
        <v>104</v>
      </c>
      <c r="D62" s="9" t="str">
        <f>"1 στράτα ανά έργο (Λευκωσία &gt; 80 km)"</f>
        <v>1 στράτα ανά έργο (Λευκωσία &gt; 80 km)</v>
      </c>
      <c r="E62" s="9" t="str">
        <f>B62 &amp; " στράτα μεταφοράς βαρέος ερπυστριοφόρου"</f>
        <v>1 στράτα μεταφοράς βαρέος ερπυστριοφόρου</v>
      </c>
    </row>
    <row r="63" spans="1:5" ht="20" customHeight="1" x14ac:dyDescent="0.35">
      <c r="A63" s="5" t="s">
        <v>105</v>
      </c>
      <c r="B63" s="15">
        <f>B47</f>
        <v>4</v>
      </c>
      <c r="C63" s="7" t="s">
        <v>104</v>
      </c>
      <c r="D63" s="9" t="str">
        <f>B47 &amp; " στράτες (όσες οι σειρές αγκυρώσεων)"</f>
        <v>4 στράτες (όσες οι σειρές αγκυρώσεων)</v>
      </c>
      <c r="E63" s="9" t="str">
        <f>"Στράτες = Σειρές αγκυρώσεων (" &amp; B63 &amp; " στράτες)"</f>
        <v>Στράτες = Σειρές αγκυρώσεων (4 στράτες)</v>
      </c>
    </row>
    <row r="64" spans="1:5" ht="20" customHeight="1" x14ac:dyDescent="0.35">
      <c r="A64" s="5" t="s">
        <v>106</v>
      </c>
      <c r="B64" s="15">
        <f>B47+1</f>
        <v>5</v>
      </c>
      <c r="C64" s="7" t="s">
        <v>104</v>
      </c>
      <c r="D64" s="9" t="str">
        <f>B47 &amp; " + 1 = " &amp; (B47+1) &amp; " στράτες"</f>
        <v>4 + 1 = 5 στράτες</v>
      </c>
      <c r="E64" s="9" t="str">
        <f>"Στράτες = Σειρές αγκυρώσεων + 1 (" &amp; B64 &amp; " στράτες)"</f>
        <v>Στράτες = Σειρές αγκυρώσεων + 1 (5 στράτες)</v>
      </c>
    </row>
    <row r="66" spans="1:5" ht="20" customHeight="1" x14ac:dyDescent="0.45">
      <c r="A66" s="45" t="s">
        <v>107</v>
      </c>
      <c r="B66" s="46"/>
      <c r="C66" s="46"/>
      <c r="D66" s="46"/>
      <c r="E66" s="46"/>
    </row>
    <row r="67" spans="1:5" ht="20" customHeight="1" x14ac:dyDescent="0.35">
      <c r="A67" s="5" t="s">
        <v>108</v>
      </c>
      <c r="B67" s="16">
        <f>SUM(B13:B17)</f>
        <v>196</v>
      </c>
      <c r="C67" s="7" t="s">
        <v>27</v>
      </c>
      <c r="D67" s="9" t="str">
        <f>B13 &amp; " + " &amp; B14 &amp; " + " &amp; B15 &amp; " + " &amp; B16 &amp; " + " &amp; B17 &amp; " m"</f>
        <v>16 + 18 + 54 + 22 + 86 m</v>
      </c>
      <c r="E67" s="9" t="str">
        <f>"Άθροισμα 5 πλευρών μετώπου = " &amp; TEXT(B67, "#,##0.00") &amp; " m"</f>
        <v>Άθροισμα 5 πλευρών μετώπου = 196.00 m</v>
      </c>
    </row>
    <row r="68" spans="1:5" ht="20" customHeight="1" x14ac:dyDescent="0.35">
      <c r="A68" s="17" t="s">
        <v>109</v>
      </c>
      <c r="B68" s="18">
        <f>ROUND(B67*B18, 2)</f>
        <v>2450</v>
      </c>
      <c r="C68" s="19" t="s">
        <v>110</v>
      </c>
      <c r="D68" s="20" t="str">
        <f>TEXT(B67, "#,##0.00") &amp; " m x " &amp; TEXT(B18, "#,##0.00") &amp; " m"</f>
        <v>196.00 m x 12.50 m</v>
      </c>
      <c r="E68" s="20" t="str">
        <f>"Περίμετρος x Ελεύθερο Ύψος = " &amp; TEXT(B68, "#,##0.00") &amp; " m²"</f>
        <v>Περίμετρος x Ελεύθερο Ύψος = 2,450.00 m²</v>
      </c>
    </row>
    <row r="69" spans="1:5" ht="20" customHeight="1" x14ac:dyDescent="0.35">
      <c r="A69" s="5" t="s">
        <v>111</v>
      </c>
      <c r="B69" s="21">
        <f>ROUND((1000/B24)*PI()*((B23/1000/2)^2)*7850, 3)</f>
        <v>12.331</v>
      </c>
      <c r="C69" s="7" t="s">
        <v>112</v>
      </c>
      <c r="D69" s="9" t="str">
        <f>"1000/" &amp; B24 &amp; " x " &amp; TEXT(PI()*((B23/1000/2)^2)*7850, "0.000") &amp; " kg/m"</f>
        <v>1000/200 x 2.466 kg/m</v>
      </c>
      <c r="E69" s="9" t="str">
        <f>ROUND(1000/B24, 0) &amp; " ράβδοι Y20 x 2.466 kg/m = " &amp; TEXT(B69, "0.000") &amp; " kg/m²"</f>
        <v>5 ράβδοι Y20 x 2.466 kg/m = 12.331 kg/m²</v>
      </c>
    </row>
    <row r="70" spans="1:5" ht="20" customHeight="1" x14ac:dyDescent="0.35">
      <c r="A70" s="5" t="s">
        <v>113</v>
      </c>
      <c r="B70" s="21">
        <f>ROUND((1000/B27)*PI()*((B26/1000/2)^2)*7850, 3)</f>
        <v>6.0419999999999998</v>
      </c>
      <c r="C70" s="7" t="s">
        <v>112</v>
      </c>
      <c r="D70" s="9" t="str">
        <f>"1000/" &amp; B27 &amp; " x " &amp; TEXT(PI()*((B26/1000/2)^2)*7850, "0.000") &amp; " kg/m"</f>
        <v>1000/200 x 1.208 kg/m</v>
      </c>
      <c r="E70" s="9" t="str">
        <f>ROUND(1000/B27, 0) &amp; " ράβδοι Y14 x 1.208 kg/m = " &amp; TEXT(B70, "0.000") &amp; " kg/m²"</f>
        <v>5 ράβδοι Y14 x 1.208 kg/m = 6.042 kg/m²</v>
      </c>
    </row>
    <row r="71" spans="1:5" ht="20" customHeight="1" x14ac:dyDescent="0.35">
      <c r="A71" s="5" t="s">
        <v>114</v>
      </c>
      <c r="B71" s="21">
        <f>B69+B70</f>
        <v>18.372999999999998</v>
      </c>
      <c r="C71" s="7" t="s">
        <v>112</v>
      </c>
      <c r="D71" s="9" t="str">
        <f>TEXT(B69, "0.000") &amp; " + " &amp; TEXT(B70, "0.000") &amp; " kg/m²"</f>
        <v>12.331 + 6.042 kg/m²</v>
      </c>
      <c r="E71" s="9" t="str">
        <f>"Άθροισμα οριζόντιων και κατακόρυφων = " &amp; TEXT(B71, "0.000") &amp; " kg/m²"</f>
        <v>Άθροισμα οριζόντιων και κατακόρυφων = 18.373 kg/m²</v>
      </c>
    </row>
    <row r="72" spans="1:5" ht="20" customHeight="1" x14ac:dyDescent="0.35">
      <c r="A72" s="17" t="s">
        <v>115</v>
      </c>
      <c r="B72" s="18">
        <f>ROUND(B68*B71, 2)</f>
        <v>45013.85</v>
      </c>
      <c r="C72" s="19" t="s">
        <v>116</v>
      </c>
      <c r="D72" s="20" t="str">
        <f>TEXT(B68, "#,##0.00") &amp; " m² x " &amp; TEXT(B71, "0.000") &amp; " kg/m²"</f>
        <v>2,450.00 m² x 18.373 kg/m²</v>
      </c>
      <c r="E72" s="20" t="str">
        <f>"Συνολικό βάρος σχάρας = " &amp; TEXT(B72, "#,##0.00") &amp; " kg"</f>
        <v>Συνολικό βάρος σχάρας = 45,013.85 kg</v>
      </c>
    </row>
    <row r="73" spans="1:5" ht="20" customHeight="1" x14ac:dyDescent="0.35">
      <c r="A73" s="5" t="s">
        <v>117</v>
      </c>
      <c r="B73" s="16">
        <f>ROUND(B68*B28, 2)</f>
        <v>367.5</v>
      </c>
      <c r="C73" s="7" t="s">
        <v>118</v>
      </c>
      <c r="D73" s="9" t="str">
        <f>TEXT(B68, "#,##0.00") &amp; " m² x " &amp; TEXT(B28, "0.00") &amp; " m"</f>
        <v>2,450.00 m² x 0.15 m</v>
      </c>
      <c r="E73" s="9" t="str">
        <f>"Ονομαστικός όγκος (χωρίς απώλεια) = " &amp; TEXT(B73, "#,##0.00") &amp; " m³"</f>
        <v>Ονομαστικός όγκος (χωρίς απώλεια) = 367.50 m³</v>
      </c>
    </row>
    <row r="74" spans="1:5" ht="20" customHeight="1" x14ac:dyDescent="0.35">
      <c r="A74" s="5" t="s">
        <v>119</v>
      </c>
      <c r="B74" s="22">
        <f>ROUND(B29/B28, 4)</f>
        <v>0.33329999999999999</v>
      </c>
      <c r="C74" s="7" t="s">
        <v>120</v>
      </c>
      <c r="D74" s="9" t="str">
        <f>TEXT(B29, "0.00") &amp; " m / " &amp; TEXT(B28, "0.00") &amp; " m"</f>
        <v>0.05 m / 0.15 m</v>
      </c>
      <c r="E74" s="9" t="str">
        <f>TEXT(B29, "0.00") &amp; "m / " &amp; TEXT(B28, "0.00") &amp; "m = " &amp; TEXT(B74, "0.00%") &amp; " (μπαίνει στα € τοποθέτησης)"</f>
        <v>0.05m / 0.15m = 33.33% (μπαίνει στα € τοποθέτησης)</v>
      </c>
    </row>
    <row r="76" spans="1:5" ht="20" customHeight="1" x14ac:dyDescent="0.45">
      <c r="A76" s="45" t="s">
        <v>121</v>
      </c>
      <c r="B76" s="46"/>
      <c r="C76" s="46"/>
      <c r="D76" s="46"/>
      <c r="E76" s="46"/>
    </row>
    <row r="77" spans="1:5" ht="20" customHeight="1" x14ac:dyDescent="0.35">
      <c r="A77" s="5" t="s">
        <v>122</v>
      </c>
      <c r="B77" s="16">
        <f>B36</f>
        <v>15.5</v>
      </c>
      <c r="C77" s="7" t="s">
        <v>123</v>
      </c>
      <c r="D77" s="9" t="str">
        <f>TEXT(B36, "0.00") &amp; " m βάθος διάτρησης"</f>
        <v>15.50 m βάθος διάτρησης</v>
      </c>
      <c r="E77" s="9" t="str">
        <f>"Από στάθμη οδοστρώματος = " &amp; TEXT(B77, "0.00") &amp; " m"</f>
        <v>Από στάθμη οδοστρώματος = 15.50 m</v>
      </c>
    </row>
    <row r="78" spans="1:5" ht="20" customHeight="1" x14ac:dyDescent="0.35">
      <c r="A78" s="17" t="s">
        <v>124</v>
      </c>
      <c r="B78" s="18">
        <f>B34*B77</f>
        <v>1689.5</v>
      </c>
      <c r="C78" s="19" t="s">
        <v>27</v>
      </c>
      <c r="D78" s="20" t="str">
        <f>B34 &amp; " οπές x " &amp; TEXT(B77, "0.00") &amp; " m"</f>
        <v>109 οπές x 15.50 m</v>
      </c>
      <c r="E78" s="20" t="str">
        <f>B34 &amp; " οπές x " &amp; TEXT(B77, "0.00") &amp; "m = " &amp; TEXT(B78, "#,##0.00") &amp; " m"</f>
        <v>109 οπές x 15.50m = 1,689.50 m</v>
      </c>
    </row>
    <row r="79" spans="1:5" ht="20" customHeight="1" x14ac:dyDescent="0.35">
      <c r="A79" s="5" t="s">
        <v>125</v>
      </c>
      <c r="B79" s="23">
        <f>PI()*((B35/2)^2)</f>
        <v>0.50265482457436694</v>
      </c>
      <c r="C79" s="7" t="s">
        <v>126</v>
      </c>
      <c r="D79" s="9" t="str">
        <f>"π x (" &amp; TEXT(B35, "0.00") &amp; "/2)²"</f>
        <v>π x (0.80/2)²</v>
      </c>
      <c r="E79" s="9" t="str">
        <f>"Υπολογισμός με ελάχιστη διάμετρο Ø" &amp; TEXT(B35*1000, "0") &amp; " mm = " &amp; TEXT(B79, "0.0000") &amp; " m³/m"</f>
        <v>Υπολογισμός με ελάχιστη διάμετρο Ø800 mm = 0.5027 m³/m</v>
      </c>
    </row>
    <row r="80" spans="1:5" ht="20" customHeight="1" x14ac:dyDescent="0.35">
      <c r="A80" s="5" t="s">
        <v>127</v>
      </c>
      <c r="B80" s="16">
        <f>ROUND(B78*B79, 2)</f>
        <v>849.24</v>
      </c>
      <c r="C80" s="7" t="s">
        <v>118</v>
      </c>
      <c r="D80" s="9" t="str">
        <f>TEXT(B78, "#,##0.00") &amp; " m x " &amp; TEXT(B79, "0.0000") &amp; " m³/m"</f>
        <v>1,689.50 m x 0.5027 m³/m</v>
      </c>
      <c r="E80" s="9" t="str">
        <f>"Συνολικά κυβικά διάτρησης = " &amp; TEXT(B80, "#,##0.00") &amp; " m³"</f>
        <v>Συνολικά κυβικά διάτρησης = 849.24 m³</v>
      </c>
    </row>
    <row r="81" spans="1:5" ht="20" customHeight="1" x14ac:dyDescent="0.35">
      <c r="A81" s="17" t="s">
        <v>128</v>
      </c>
      <c r="B81" s="18">
        <f>ROUND(B34*B39*B38*B40, 2)</f>
        <v>198162</v>
      </c>
      <c r="C81" s="19" t="s">
        <v>116</v>
      </c>
      <c r="D81" s="20" t="str">
        <f>B34 &amp; " οπές x " &amp; B39 &amp; " προφίλ x " &amp; TEXT(B38, "0.00") &amp; " m x " &amp; TEXT(B40, "0.0") &amp; " kg/m"</f>
        <v>109 οπές x 2 προφίλ x 15.00 m x 60.6 kg/m</v>
      </c>
      <c r="E81" s="20" t="str">
        <f>B34 &amp; " οπές x " &amp; B39 &amp; " x " &amp; TEXT(B38, "0.0") &amp; "m x " &amp; TEXT(B40, "0.0") &amp; " kg/m = " &amp; TEXT(B81, "#,##0.00") &amp; " kg"</f>
        <v>109 οπές x 2 x 15.0m x 60.6 kg/m = 198,162.00 kg</v>
      </c>
    </row>
    <row r="82" spans="1:5" ht="20" customHeight="1" x14ac:dyDescent="0.35">
      <c r="A82" s="5" t="s">
        <v>129</v>
      </c>
      <c r="B82" s="15">
        <f>ROUND(B38/B42, 0)</f>
        <v>25</v>
      </c>
      <c r="C82" s="7" t="s">
        <v>130</v>
      </c>
      <c r="D82" s="9" t="str">
        <f>TEXT(B38, "0.00") &amp; " m / " &amp; TEXT(B42, "0.00") &amp; " m (Κανόνας v2)"</f>
        <v>15.00 m / 0.60 m (Κανόνας v2)</v>
      </c>
      <c r="E82" s="9" t="str">
        <f>"Μήκος " &amp; TEXT(B38, "0.0") &amp; "m / βήμα " &amp; TEXT(B42, "0.00") &amp; "m = " &amp; B82 &amp; " λάμες/κολώνα"</f>
        <v>Μήκος 15.0m / βήμα 0.60m = 25 λάμες/κολώνα</v>
      </c>
    </row>
    <row r="83" spans="1:5" ht="20" customHeight="1" x14ac:dyDescent="0.35">
      <c r="A83" s="17" t="s">
        <v>131</v>
      </c>
      <c r="B83" s="24">
        <f>B34*B82</f>
        <v>2725</v>
      </c>
      <c r="C83" s="19" t="s">
        <v>132</v>
      </c>
      <c r="D83" s="20" t="str">
        <f>B34 &amp; " πάσσαλοι x " &amp; B82 &amp; " λάμες/πάσσαλο"</f>
        <v>109 πάσσαλοι x 25 λάμες/πάσσαλο</v>
      </c>
      <c r="E83" s="20" t="str">
        <f>B34 &amp; " πάσσαλοι x " &amp; B82 &amp; " λάμες = " &amp; TEXT(B83, "#,##0") &amp; " λάμες"</f>
        <v>109 πάσσαλοι x 25 λάμες = 2,725 λάμες</v>
      </c>
    </row>
    <row r="84" spans="1:5" ht="20" customHeight="1" x14ac:dyDescent="0.35">
      <c r="A84" s="5" t="s">
        <v>133</v>
      </c>
      <c r="B84" s="23">
        <f>ROUND(0.35*0.1*0.012*7850, 3)</f>
        <v>3.2970000000000002</v>
      </c>
      <c r="C84" s="7" t="s">
        <v>134</v>
      </c>
      <c r="D84" s="9" t="str">
        <f>"0.35 x 0.10 x 0.012 m³ x 7850 kg/m³"</f>
        <v>0.35 x 0.10 x 0.012 m³ x 7850 kg/m³</v>
      </c>
      <c r="E84" s="9" t="str">
        <f>"Βάρος 1 λάμας = " &amp; TEXT(B84, "0.000") &amp; " kg"</f>
        <v>Βάρος 1 λάμας = 3.297 kg</v>
      </c>
    </row>
    <row r="85" spans="1:5" ht="20" customHeight="1" x14ac:dyDescent="0.35">
      <c r="A85" s="17" t="s">
        <v>135</v>
      </c>
      <c r="B85" s="18">
        <f>ROUND(B83*B84, 2)</f>
        <v>8984.33</v>
      </c>
      <c r="C85" s="19" t="s">
        <v>116</v>
      </c>
      <c r="D85" s="20" t="str">
        <f>TEXT(B83, "#,##0") &amp; " λάμες x " &amp; TEXT(B84, "0.000") &amp; " kg/λάμα"</f>
        <v>2,725 λάμες x 3.297 kg/λάμα</v>
      </c>
      <c r="E85" s="20" t="str">
        <f>TEXT(B83, "#,##0") &amp; " λάμες x " &amp; TEXT(B84, "0.000") &amp; " kg = " &amp; TEXT(B85, "#,##0.00") &amp; " kg"</f>
        <v>2,725 λάμες x 3.297 kg = 8,984.33 kg</v>
      </c>
    </row>
    <row r="86" spans="1:5" ht="20" customHeight="1" x14ac:dyDescent="0.35">
      <c r="A86" s="5" t="s">
        <v>136</v>
      </c>
      <c r="B86" s="23">
        <f>ROUND(PI()*((B35/2)^2)*B43, 4)</f>
        <v>1.508</v>
      </c>
      <c r="C86" s="7" t="s">
        <v>137</v>
      </c>
      <c r="D86" s="9" t="str">
        <f>"π x (" &amp; TEXT(B35, "0.00") &amp; "/2)² x " &amp; TEXT(B43, "0.00") &amp; " m"</f>
        <v>π x (0.80/2)² x 3.00 m</v>
      </c>
      <c r="E86" s="9" t="str">
        <f>"Εμβαδόν Ø" &amp; TEXT(B35*1000, "0") &amp; "mm x Ύψος " &amp; TEXT(B43, "0.00") &amp; "m = " &amp; TEXT(B86, "0.0000") &amp; " m³/πάσσαλο"</f>
        <v>Εμβαδόν Ø800mm x Ύψος 3.00m = 1.5080 m³/πάσσαλο</v>
      </c>
    </row>
    <row r="87" spans="1:5" ht="20" customHeight="1" x14ac:dyDescent="0.35">
      <c r="A87" s="17" t="s">
        <v>138</v>
      </c>
      <c r="B87" s="18">
        <f>ROUND(B34*B86, 2)</f>
        <v>164.37</v>
      </c>
      <c r="C87" s="19" t="s">
        <v>118</v>
      </c>
      <c r="D87" s="20" t="str">
        <f>B34 &amp; " πάσσαλοι x " &amp; TEXT(B86, "0.0000") &amp; " m³/πάσσαλο"</f>
        <v>109 πάσσαλοι x 1.5080 m³/πάσσαλο</v>
      </c>
      <c r="E87" s="20" t="str">
        <f>B34 &amp; " πάσσαλοι x " &amp; TEXT(B86, "0.0000") &amp; " m³ = " &amp; TEXT(B87, "#,##0.00") &amp; " m³ (" &amp; B44 &amp; ")"</f>
        <v>109 πάσσαλοι x 1.5080 m³ = 164.37 m³ (C35/45)</v>
      </c>
    </row>
    <row r="89" spans="1:5" ht="20" customHeight="1" x14ac:dyDescent="0.45">
      <c r="A89" s="45" t="s">
        <v>139</v>
      </c>
      <c r="B89" s="46"/>
      <c r="C89" s="46"/>
      <c r="D89" s="46"/>
      <c r="E89" s="46"/>
    </row>
    <row r="90" spans="1:5" ht="20" customHeight="1" x14ac:dyDescent="0.35">
      <c r="A90" s="17" t="s">
        <v>140</v>
      </c>
      <c r="B90" s="24">
        <f>B47*B52</f>
        <v>436</v>
      </c>
      <c r="C90" s="19" t="s">
        <v>132</v>
      </c>
      <c r="D90" s="20" t="str">
        <f>B47 &amp; " σειρές x " &amp; B52 &amp; " αγκυρώσεις/σειρά"</f>
        <v>4 σειρές x 109 αγκυρώσεις/σειρά</v>
      </c>
      <c r="E90" s="20" t="str">
        <f>B47 &amp; " σειρές x " &amp; B52 &amp; " αγκυρώσεις/σειρά = " &amp; TEXT(B90, "#,##0") &amp; " αγκυρώσεις"</f>
        <v>4 σειρές x 109 αγκυρώσεις/σειρά = 436 αγκυρώσεις</v>
      </c>
    </row>
    <row r="91" spans="1:5" ht="20" customHeight="1" x14ac:dyDescent="0.35">
      <c r="A91" s="17" t="s">
        <v>141</v>
      </c>
      <c r="B91" s="18">
        <f>B90*B48</f>
        <v>5798.8</v>
      </c>
      <c r="C91" s="19" t="s">
        <v>27</v>
      </c>
      <c r="D91" s="20" t="str">
        <f>B90 &amp; " αγκυρώσεις x " &amp; TEXT(B48, "0.00") &amp; " m"</f>
        <v>436 αγκυρώσεις x 13.30 m</v>
      </c>
      <c r="E91" s="20" t="str">
        <f>B90 &amp; " αγκυρώσεις x " &amp; TEXT(B48, "0.00") &amp; "m = " &amp; TEXT(B91, "#,##0.00") &amp; " m"</f>
        <v>436 αγκυρώσεις x 13.30m = 5,798.80 m</v>
      </c>
    </row>
    <row r="92" spans="1:5" ht="20" customHeight="1" x14ac:dyDescent="0.35">
      <c r="A92" s="5" t="s">
        <v>142</v>
      </c>
      <c r="B92" s="25">
        <f>PI()*((B54/2)^2)*B56</f>
        <v>2.1205750411731103E-2</v>
      </c>
      <c r="C92" s="7" t="s">
        <v>126</v>
      </c>
      <c r="D92" s="9" t="str">
        <f>"π x (" &amp; TEXT(B54, "0.00") &amp; "/2)² x " &amp; TEXT(B56, "0.00")</f>
        <v>π x (0.15/2)² x 1.20</v>
      </c>
      <c r="E92" s="9" t="str">
        <f>"Οπή Ø" &amp; TEXT(B54*1000, "0") &amp; "mm x " &amp; TEXT(B56, "0.00") &amp; " πλήρωση = " &amp; TEXT(B92, "0.000000") &amp; " m³/m"</f>
        <v>Οπή Ø150mm x 1.20 πλήρωση = 0.021206 m³/m</v>
      </c>
    </row>
    <row r="93" spans="1:5" ht="20" customHeight="1" x14ac:dyDescent="0.35">
      <c r="A93" s="17" t="s">
        <v>143</v>
      </c>
      <c r="B93" s="18">
        <f>ROUND(B91*B92, 2)</f>
        <v>122.97</v>
      </c>
      <c r="C93" s="19" t="s">
        <v>118</v>
      </c>
      <c r="D93" s="20" t="str">
        <f>TEXT(B91, "#,##0.00") &amp; " m x " &amp; TEXT(B92, "0.000000") &amp; " m³/m"</f>
        <v>5,798.80 m x 0.021206 m³/m</v>
      </c>
      <c r="E93" s="20" t="str">
        <f>"Συνολικός όγκος grout = " &amp; TEXT(B93, "#,##0.00") &amp; " m³"</f>
        <v>Συνολικός όγκος grout = 122.97 m³</v>
      </c>
    </row>
    <row r="94" spans="1:5" ht="20" customHeight="1" x14ac:dyDescent="0.35">
      <c r="A94" s="17" t="s">
        <v>144</v>
      </c>
      <c r="B94" s="18">
        <f>ROUND(B90*(B48+B57)*B53, 2)</f>
        <v>31174</v>
      </c>
      <c r="C94" s="19" t="s">
        <v>27</v>
      </c>
      <c r="D94" s="20" t="str">
        <f>B90 &amp; " οπές x (" &amp; TEXT(B48, "0.00") &amp; " + " &amp; TEXT(B57, "0.0") &amp; "m) x " &amp; B53 &amp; " strands"</f>
        <v>436 οπές x (13.30 + 1.0m) x 5 strands</v>
      </c>
      <c r="E94" s="20" t="str">
        <f>B90 &amp; " οπές x " &amp; TEXT(B48+B57, "0.00") &amp; "m x " &amp; B53 &amp; " = " &amp; TEXT(B94, "#,##0") &amp; " m"</f>
        <v>436 οπές x 14.30m x 5 = 31,174 m</v>
      </c>
    </row>
    <row r="95" spans="1:5" ht="20" customHeight="1" x14ac:dyDescent="0.35">
      <c r="A95" s="5" t="s">
        <v>145</v>
      </c>
      <c r="B95" s="16">
        <v>1.1000000000000001</v>
      </c>
      <c r="C95" s="7" t="s">
        <v>70</v>
      </c>
      <c r="D95" s="9" t="str">
        <f>"1.10 kg/m ανά strand 15.2 mm (0.6 in)"</f>
        <v>1.10 kg/m ανά strand 15.2 mm (0.6 in)</v>
      </c>
      <c r="E95" s="9" t="str">
        <f>"Τυπικό βάρος τένοντα = " &amp; TEXT(B95, "0.00") &amp; " kg/m"</f>
        <v>Τυπικό βάρος τένοντα = 1.10 kg/m</v>
      </c>
    </row>
    <row r="96" spans="1:5" ht="20" customHeight="1" x14ac:dyDescent="0.35">
      <c r="A96" s="17" t="s">
        <v>146</v>
      </c>
      <c r="B96" s="18">
        <f>ROUND(B94*B95, 2)</f>
        <v>34291.4</v>
      </c>
      <c r="C96" s="19" t="s">
        <v>116</v>
      </c>
      <c r="D96" s="20" t="str">
        <f>TEXT(B94, "#,##0") &amp; " m x " &amp; TEXT(B95, "0.00") &amp; " kg/m"</f>
        <v>31,174 m x 1.10 kg/m</v>
      </c>
      <c r="E96" s="20" t="str">
        <f>"Συνολικό βάρος τενόντων = " &amp; TEXT(B96, "#,##0.00") &amp; " kg"</f>
        <v>Συνολικό βάρος τενόντων = 34,291.40 kg</v>
      </c>
    </row>
    <row r="97" spans="1:5" ht="20" customHeight="1" x14ac:dyDescent="0.35">
      <c r="A97" s="17" t="s">
        <v>147</v>
      </c>
      <c r="B97" s="24">
        <f>B90</f>
        <v>436</v>
      </c>
      <c r="C97" s="19" t="s">
        <v>132</v>
      </c>
      <c r="D97" s="20" t="str">
        <f>B90 &amp; " αγκυρώσεις (1 δοκιμή &amp; τάνυση ανά αγκύρωση)"</f>
        <v>436 αγκυρώσεις (1 δοκιμή &amp; τάνυση ανά αγκύρωση)</v>
      </c>
      <c r="E97" s="20" t="str">
        <f>"1 δοκιμή &amp; κλείδωμα για καθεμία από τις " &amp; B90 &amp; " αγκυρώσεις"</f>
        <v>1 δοκιμή &amp; κλείδωμα για καθεμία από τις 436 αγκυρώσεις</v>
      </c>
    </row>
    <row r="98" spans="1:5" ht="20" customHeight="1" x14ac:dyDescent="0.35">
      <c r="A98" s="17" t="s">
        <v>148</v>
      </c>
      <c r="B98" s="24">
        <f>B90</f>
        <v>436</v>
      </c>
      <c r="C98" s="19" t="s">
        <v>132</v>
      </c>
      <c r="D98" s="20" t="str">
        <f>B90 &amp; " αγκυρώσεις (1 πλήρες σετ ανά αγκύρωση)"</f>
        <v>436 αγκυρώσεις (1 πλήρες σετ ανά αγκύρωση)</v>
      </c>
      <c r="E98" s="20" t="str">
        <f>"1 πλήρες σετ κεφαλής για καθεμία από τις " &amp; B90 &amp; " αγκυρώσεις"</f>
        <v>1 πλήρες σετ κεφαλής για καθεμία από τις 436 αγκυρώσεις</v>
      </c>
    </row>
  </sheetData>
  <mergeCells count="11">
    <mergeCell ref="A21:E21"/>
    <mergeCell ref="A12:E12"/>
    <mergeCell ref="A4:E4"/>
    <mergeCell ref="A59:E59"/>
    <mergeCell ref="A89:E89"/>
    <mergeCell ref="A76:E76"/>
    <mergeCell ref="A46:E46"/>
    <mergeCell ref="A32:E32"/>
    <mergeCell ref="A66:E66"/>
    <mergeCell ref="A61:E6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opLeftCell="A25" workbookViewId="0">
      <selection activeCell="H21" sqref="H21"/>
    </sheetView>
  </sheetViews>
  <sheetFormatPr defaultRowHeight="14.5" x14ac:dyDescent="0.35"/>
  <cols>
    <col min="1" max="1" width="8" customWidth="1"/>
    <col min="2" max="2" width="50" customWidth="1"/>
    <col min="3" max="3" width="20" customWidth="1"/>
    <col min="4" max="4" width="12" customWidth="1"/>
    <col min="5" max="6" width="22" customWidth="1"/>
    <col min="7" max="7" width="50" customWidth="1"/>
  </cols>
  <sheetData>
    <row r="1" spans="1:7" ht="21" x14ac:dyDescent="0.55000000000000004">
      <c r="A1" s="1" t="s">
        <v>0</v>
      </c>
    </row>
    <row r="2" spans="1:7" ht="16" x14ac:dyDescent="0.45">
      <c r="A2" s="2" t="s">
        <v>149</v>
      </c>
    </row>
    <row r="4" spans="1:7" ht="28" customHeight="1" x14ac:dyDescent="0.35">
      <c r="A4" s="26" t="s">
        <v>150</v>
      </c>
      <c r="B4" s="27" t="s">
        <v>151</v>
      </c>
      <c r="C4" s="26" t="s">
        <v>152</v>
      </c>
      <c r="D4" s="26" t="s">
        <v>5</v>
      </c>
      <c r="E4" s="26" t="s">
        <v>153</v>
      </c>
      <c r="F4" s="28" t="s">
        <v>154</v>
      </c>
      <c r="G4" s="27" t="s">
        <v>155</v>
      </c>
    </row>
    <row r="5" spans="1:7" ht="20" customHeight="1" x14ac:dyDescent="0.45">
      <c r="A5" s="45" t="s">
        <v>156</v>
      </c>
      <c r="B5" s="46"/>
      <c r="C5" s="46"/>
      <c r="D5" s="46"/>
      <c r="E5" s="46"/>
      <c r="F5" s="46"/>
      <c r="G5" s="46"/>
    </row>
    <row r="6" spans="1:7" ht="20" customHeight="1" x14ac:dyDescent="0.35">
      <c r="A6" s="13" t="s">
        <v>157</v>
      </c>
      <c r="B6" s="12" t="s">
        <v>158</v>
      </c>
      <c r="C6" s="29">
        <f>'1_Στοιχεία_Μελέτης_&amp;_Ποσότητες'!B62</f>
        <v>1</v>
      </c>
      <c r="D6" s="13" t="s">
        <v>104</v>
      </c>
      <c r="E6" s="30">
        <v>3000</v>
      </c>
      <c r="F6" s="31">
        <f>C6*E6</f>
        <v>3000</v>
      </c>
      <c r="G6" s="32" t="str">
        <f>'1_Στοιχεία_Μελέτης_&amp;_Ποσότητες'!B62 &amp; " στράτα (Λευκωσία &gt;80 km από έδρα Αγίου Συλά)"</f>
        <v>1 στράτα (Λευκωσία &gt;80 km από έδρα Αγίου Συλά)</v>
      </c>
    </row>
    <row r="7" spans="1:7" ht="20" customHeight="1" x14ac:dyDescent="0.35">
      <c r="A7" s="13" t="s">
        <v>159</v>
      </c>
      <c r="B7" s="12" t="s">
        <v>160</v>
      </c>
      <c r="C7" s="29">
        <f>'1_Στοιχεία_Μελέτης_&amp;_Ποσότητες'!B63</f>
        <v>4</v>
      </c>
      <c r="D7" s="13" t="s">
        <v>104</v>
      </c>
      <c r="E7" s="30">
        <v>400</v>
      </c>
      <c r="F7" s="31">
        <f>C7*E7</f>
        <v>1600</v>
      </c>
      <c r="G7" s="32" t="str">
        <f>'1_Στοιχεία_Μελέτης_&amp;_Ποσότητες'!B63 &amp; " στράτες (όσες οι σειρές αγκυρώσεων)"</f>
        <v>4 στράτες (όσες οι σειρές αγκυρώσεων)</v>
      </c>
    </row>
    <row r="8" spans="1:7" ht="20" customHeight="1" x14ac:dyDescent="0.35">
      <c r="A8" s="13" t="s">
        <v>161</v>
      </c>
      <c r="B8" s="12" t="s">
        <v>162</v>
      </c>
      <c r="C8" s="29">
        <f>'1_Στοιχεία_Μελέτης_&amp;_Ποσότητες'!B64</f>
        <v>5</v>
      </c>
      <c r="D8" s="13" t="s">
        <v>104</v>
      </c>
      <c r="E8" s="30">
        <v>300</v>
      </c>
      <c r="F8" s="31">
        <f>C8*E8</f>
        <v>1500</v>
      </c>
      <c r="G8" s="32" t="str">
        <f>'1_Στοιχεία_Μελέτης_&amp;_Ποσότητες'!B64 &amp; " στράτες (σειρές αγκυρώσεων + 1)"</f>
        <v>5 στράτες (σειρές αγκυρώσεων + 1)</v>
      </c>
    </row>
    <row r="9" spans="1:7" ht="21" customHeight="1" x14ac:dyDescent="0.45">
      <c r="A9" s="33"/>
      <c r="B9" s="34" t="s">
        <v>163</v>
      </c>
      <c r="C9" s="33"/>
      <c r="D9" s="33"/>
      <c r="E9" s="33"/>
      <c r="F9" s="35">
        <f>SUM(F6:F8)</f>
        <v>6100</v>
      </c>
      <c r="G9" s="33"/>
    </row>
    <row r="11" spans="1:7" ht="20" customHeight="1" x14ac:dyDescent="0.45">
      <c r="A11" s="45" t="s">
        <v>164</v>
      </c>
      <c r="B11" s="46"/>
      <c r="C11" s="46"/>
      <c r="D11" s="46"/>
      <c r="E11" s="46"/>
      <c r="F11" s="46"/>
      <c r="G11" s="46"/>
    </row>
    <row r="12" spans="1:7" ht="20" customHeight="1" x14ac:dyDescent="0.35">
      <c r="A12" s="13" t="s">
        <v>165</v>
      </c>
      <c r="B12" s="12" t="str">
        <f>"Αγορά Χάλυβα Σχάρας (" &amp; '1_Στοιχεία_Μελέτης_&amp;_Ποσότητες'!B22 &amp; " + " &amp; '1_Στοιχεία_Μελέτης_&amp;_Ποσότητες'!B25 &amp; ")"</f>
        <v>Αγορά Χάλυβα Σχάρας (Y20 / 200 + Y14 / 200)</v>
      </c>
      <c r="C12" s="36">
        <f>'1_Στοιχεία_Μελέτης_&amp;_Ποσότητες'!B72</f>
        <v>45013.85</v>
      </c>
      <c r="D12" s="13" t="s">
        <v>116</v>
      </c>
      <c r="E12" s="30">
        <v>2.5</v>
      </c>
      <c r="F12" s="31">
        <f>C12*E12</f>
        <v>112534.625</v>
      </c>
      <c r="G12" s="32" t="str">
        <f>'1_Στοιχεία_Μελέτης_&amp;_Ποσότητες'!B22 &amp; " + " &amp; '1_Στοιχεία_Μελέτης_&amp;_Ποσότητες'!B25 &amp; " (B500C)"</f>
        <v>Y20 / 200 + Y14 / 200 (B500C)</v>
      </c>
    </row>
    <row r="13" spans="1:7" ht="20" customHeight="1" x14ac:dyDescent="0.35">
      <c r="A13" s="13" t="s">
        <v>166</v>
      </c>
      <c r="B13" s="12" t="s">
        <v>167</v>
      </c>
      <c r="C13" s="36">
        <f>'1_Στοιχεία_Μελέτης_&amp;_Ποσότητες'!B68</f>
        <v>2450</v>
      </c>
      <c r="D13" s="13" t="s">
        <v>110</v>
      </c>
      <c r="E13" s="30">
        <v>15</v>
      </c>
      <c r="F13" s="31">
        <f>C13*E13</f>
        <v>36750</v>
      </c>
      <c r="G13" s="32" t="str">
        <f>"Εργατικά τοποθέτησης σε επιφάνεια " &amp; TEXT('1_Στοιχεία_Μελέτης_&amp;_Ποσότητες'!B68, "#,##0.00") &amp; " m²"</f>
        <v>Εργατικά τοποθέτησης σε επιφάνεια 2,450.00 m²</v>
      </c>
    </row>
    <row r="14" spans="1:7" ht="20" customHeight="1" x14ac:dyDescent="0.35">
      <c r="A14" s="13" t="s">
        <v>168</v>
      </c>
      <c r="B14" s="12" t="s">
        <v>169</v>
      </c>
      <c r="C14" s="36">
        <f>'1_Στοιχεία_Μελέτης_&amp;_Ποσότητες'!B73</f>
        <v>367.5</v>
      </c>
      <c r="D14" s="13" t="s">
        <v>118</v>
      </c>
      <c r="E14" s="30">
        <v>90</v>
      </c>
      <c r="F14" s="31">
        <f>C14*E14</f>
        <v>33075</v>
      </c>
      <c r="G14" s="32" t="str">
        <f>"Πάγια τιμή αγοράς 90 €/m³ για " &amp; TEXT('1_Στοιχεία_Μελέτης_&amp;_Ποσότητες'!B73, "#,##0.00") &amp; " m³"</f>
        <v>Πάγια τιμή αγοράς 90 €/m³ για 367.50 m³</v>
      </c>
    </row>
    <row r="15" spans="1:7" ht="20" customHeight="1" x14ac:dyDescent="0.35">
      <c r="A15" s="13" t="s">
        <v>170</v>
      </c>
      <c r="B15" s="12" t="s">
        <v>171</v>
      </c>
      <c r="C15" s="36">
        <f>'1_Στοιχεία_Μελέτης_&amp;_Ποσότητες'!B73</f>
        <v>367.5</v>
      </c>
      <c r="D15" s="13" t="s">
        <v>118</v>
      </c>
      <c r="E15" s="30">
        <f>ROUND((200*(1+'1_Στοιχεία_Μελέτης_&amp;_Ποσότητες'!B74))-90, 2)</f>
        <v>176.66</v>
      </c>
      <c r="F15" s="31">
        <f>C15*E15</f>
        <v>64922.549999999996</v>
      </c>
      <c r="G15" s="32" t="str">
        <f>"Εφαρμογή βάσει 200€ + " &amp; TEXT('1_Στοιχεία_Μελέτης_&amp;_Ποσότητες'!B74, "0.0%") &amp; " απώλεια μείον 90€"</f>
        <v>Εφαρμογή βάσει 200€ + 33.3% απώλεια μείον 90€</v>
      </c>
    </row>
    <row r="16" spans="1:7" ht="21" customHeight="1" x14ac:dyDescent="0.45">
      <c r="A16" s="33"/>
      <c r="B16" s="34" t="s">
        <v>172</v>
      </c>
      <c r="C16" s="33"/>
      <c r="D16" s="33"/>
      <c r="E16" s="33"/>
      <c r="F16" s="35">
        <f>SUM(F12:F15)</f>
        <v>247282.17499999999</v>
      </c>
      <c r="G16" s="33"/>
    </row>
    <row r="18" spans="1:7" ht="20" customHeight="1" x14ac:dyDescent="0.45">
      <c r="A18" s="45" t="s">
        <v>173</v>
      </c>
      <c r="B18" s="46"/>
      <c r="C18" s="46"/>
      <c r="D18" s="46"/>
      <c r="E18" s="46"/>
      <c r="F18" s="46"/>
      <c r="G18" s="46"/>
    </row>
    <row r="19" spans="1:7" ht="20" customHeight="1" x14ac:dyDescent="0.35">
      <c r="A19" s="13" t="s">
        <v>174</v>
      </c>
      <c r="B19" s="12" t="str">
        <f>"Διάτρηση Μεγάλου Τρυπανιού (Ø" &amp; TEXT('1_Στοιχεία_Μελέτης_&amp;_Ποσότητες'!B35*1000, "0") &amp; " mm)"</f>
        <v>Διάτρηση Μεγάλου Τρυπανιού (Ø800 mm)</v>
      </c>
      <c r="C19" s="36">
        <f>'1_Στοιχεία_Μελέτης_&amp;_Ποσότητες'!B78</f>
        <v>1689.5</v>
      </c>
      <c r="D19" s="13" t="s">
        <v>27</v>
      </c>
      <c r="E19" s="30">
        <v>75</v>
      </c>
      <c r="F19" s="31">
        <f>C19*E19</f>
        <v>126712.5</v>
      </c>
      <c r="G19" s="32" t="str">
        <f>"Ελάχιστη διάμετρος Ø" &amp; TEXT('1_Στοιχεία_Μελέτης_&amp;_Ποσότητες'!B35*1000, "0") &amp; " mm για " &amp; '1_Στοιχεία_Μελέτης_&amp;_Ποσότητες'!B34 &amp; " πασσάλους"</f>
        <v>Ελάχιστη διάμετρος Ø800 mm για 109 πασσάλους</v>
      </c>
    </row>
    <row r="20" spans="1:7" ht="20" customHeight="1" x14ac:dyDescent="0.35">
      <c r="A20" s="13" t="s">
        <v>175</v>
      </c>
      <c r="B20" s="12" t="str">
        <f>"Χάλυβας Νέφκων (" &amp; '1_Στοιχεία_Μελέτης_&amp;_Ποσότητες'!B37 &amp; " @ 60.6 kg/m)"</f>
        <v>Χάλυβας Νέφκων (2xUPN 350x100 @ 60.6 kg/m)</v>
      </c>
      <c r="C20" s="36">
        <f>'1_Στοιχεία_Μελέτης_&amp;_Ποσότητες'!B81</f>
        <v>198162</v>
      </c>
      <c r="D20" s="13" t="s">
        <v>116</v>
      </c>
      <c r="E20" s="30">
        <v>1.4</v>
      </c>
      <c r="F20" s="31">
        <f>C20*E20</f>
        <v>277426.8</v>
      </c>
      <c r="G20" s="32" t="str">
        <f>'1_Στοιχεία_Μελέτης_&amp;_Ποσότητες'!B34 &amp; " οπές x " &amp; '1_Στοιχεία_Μελέτης_&amp;_Ποσότητες'!B39 &amp; " x " &amp; TEXT('1_Στοιχεία_Μελέτης_&amp;_Ποσότητες'!B38, "0.0") &amp; "m x " &amp; TEXT('1_Στοιχεία_Μελέτης_&amp;_Ποσότητες'!B40, "0.0") &amp; " kg/m"</f>
        <v>109 οπές x 2 x 15.0m x 60.6 kg/m</v>
      </c>
    </row>
    <row r="21" spans="1:7" ht="20" customHeight="1" x14ac:dyDescent="0.35">
      <c r="A21" s="13" t="s">
        <v>176</v>
      </c>
      <c r="B21" s="12" t="s">
        <v>177</v>
      </c>
      <c r="C21" s="36">
        <f>'1_Στοιχεία_Μελέτης_&amp;_Ποσότητες'!B85</f>
        <v>8984.33</v>
      </c>
      <c r="D21" s="13" t="s">
        <v>116</v>
      </c>
      <c r="E21" s="30">
        <v>1.6</v>
      </c>
      <c r="F21" s="31">
        <f>C21*E21</f>
        <v>14374.928</v>
      </c>
      <c r="G21" s="32" t="str">
        <f>"Υπολογισμός " &amp; '1_Στοιχεία_Μελέτης_&amp;_Ποσότητες'!B82 &amp; " λάμες/κολώνα x " &amp; '1_Στοιχεία_Μελέτης_&amp;_Ποσότητες'!B34 &amp; " πασσάλους (L/s)"</f>
        <v>Υπολογισμός 25 λάμες/κολώνα x 109 πασσάλους (L/s)</v>
      </c>
    </row>
    <row r="22" spans="1:7" ht="20" customHeight="1" x14ac:dyDescent="0.35">
      <c r="A22" s="13" t="s">
        <v>178</v>
      </c>
      <c r="B22" s="12" t="s">
        <v>179</v>
      </c>
      <c r="C22" s="36">
        <f>'1_Στοιχεία_Μελέτης_&amp;_Ποσότητες'!B87</f>
        <v>164.37</v>
      </c>
      <c r="D22" s="13" t="s">
        <v>118</v>
      </c>
      <c r="E22" s="37">
        <v>120</v>
      </c>
      <c r="F22" s="31">
        <f>C22*E22</f>
        <v>19724.400000000001</v>
      </c>
      <c r="G22" s="14" t="str">
        <f>"[ΣΥΓΚΡΟΥΣΗ]: Επιλογή C35/45 στα " &amp; TEXT('1_Στοιχεία_Μελέτης_&amp;_Ποσότητες'!B43, "0.0") &amp; "m για " &amp; '1_Στοιχεία_Μελέτης_&amp;_Ποσότητες'!B34 &amp; " πασσάλους"</f>
        <v>[ΣΥΓΚΡΟΥΣΗ]: Επιλογή C35/45 στα 3.0m για 109 πασσάλους</v>
      </c>
    </row>
    <row r="23" spans="1:7" ht="20" customHeight="1" x14ac:dyDescent="0.35">
      <c r="A23" s="13" t="s">
        <v>180</v>
      </c>
      <c r="B23" s="12" t="s">
        <v>181</v>
      </c>
      <c r="C23" s="29">
        <v>0</v>
      </c>
      <c r="D23" s="13" t="s">
        <v>116</v>
      </c>
      <c r="E23" s="30">
        <v>1.6</v>
      </c>
      <c r="F23" s="31">
        <f>C23*E23</f>
        <v>0</v>
      </c>
      <c r="G23" s="32" t="s">
        <v>182</v>
      </c>
    </row>
    <row r="24" spans="1:7" ht="21" customHeight="1" x14ac:dyDescent="0.45">
      <c r="A24" s="33"/>
      <c r="B24" s="34" t="s">
        <v>183</v>
      </c>
      <c r="C24" s="33"/>
      <c r="D24" s="33"/>
      <c r="E24" s="33"/>
      <c r="F24" s="35">
        <f>SUM(F19:F23)</f>
        <v>438238.62800000003</v>
      </c>
      <c r="G24" s="33"/>
    </row>
    <row r="26" spans="1:7" ht="20" customHeight="1" x14ac:dyDescent="0.45">
      <c r="A26" s="45" t="s">
        <v>184</v>
      </c>
      <c r="B26" s="46"/>
      <c r="C26" s="46"/>
      <c r="D26" s="46"/>
      <c r="E26" s="46"/>
      <c r="F26" s="46"/>
      <c r="G26" s="46"/>
    </row>
    <row r="27" spans="1:7" ht="20" customHeight="1" x14ac:dyDescent="0.35">
      <c r="A27" s="13" t="s">
        <v>185</v>
      </c>
      <c r="B27" s="12" t="str">
        <f>"Διάτρηση Αγκυρώσεων (Ø" &amp; TEXT('1_Στοιχεία_Μελέτης_&amp;_Ποσότητες'!B54*1000, "0") &amp; " mm)"</f>
        <v>Διάτρηση Αγκυρώσεων (Ø150 mm)</v>
      </c>
      <c r="C27" s="36">
        <f>'1_Στοιχεία_Μελέτης_&amp;_Ποσότητες'!B91</f>
        <v>5798.8</v>
      </c>
      <c r="D27" s="13" t="s">
        <v>27</v>
      </c>
      <c r="E27" s="30">
        <v>30</v>
      </c>
      <c r="F27" s="31">
        <f>C27*E27</f>
        <v>173964</v>
      </c>
      <c r="G27" s="32" t="str">
        <f>"Διάτρηση Ø" &amp; TEXT('1_Στοιχεία_Μελέτης_&amp;_Ποσότητες'!B54*1000, "0") &amp; " mm σε βάθη " &amp; TEXT('1_Στοιχεία_Μελέτης_&amp;_Ποσότητες'!B48, "0.00") &amp; " m για " &amp; '1_Στοιχεία_Μελέτης_&amp;_Ποσότητες'!B90 &amp; " αγκυρώσεις"</f>
        <v>Διάτρηση Ø150 mm σε βάθη 13.30 m για 436 αγκυρώσεις</v>
      </c>
    </row>
    <row r="28" spans="1:7" ht="20" customHeight="1" x14ac:dyDescent="0.35">
      <c r="A28" s="13" t="s">
        <v>186</v>
      </c>
      <c r="B28" s="12" t="s">
        <v>187</v>
      </c>
      <c r="C28" s="36">
        <f>'1_Στοιχεία_Μελέτης_&amp;_Ποσότητες'!B93</f>
        <v>122.97</v>
      </c>
      <c r="D28" s="13" t="s">
        <v>118</v>
      </c>
      <c r="E28" s="30">
        <v>500</v>
      </c>
      <c r="F28" s="31">
        <f>C28*E28</f>
        <v>61485</v>
      </c>
      <c r="G28" s="32" t="str">
        <f>"Grout fcu &gt; 80 N/mm² για " &amp; TEXT('1_Στοιχεία_Μελέτης_&amp;_Ποσότητες'!B93, "#,##0.00") &amp; " m³"</f>
        <v>Grout fcu &gt; 80 N/mm² για 122.97 m³</v>
      </c>
    </row>
    <row r="29" spans="1:7" ht="20" customHeight="1" x14ac:dyDescent="0.35">
      <c r="A29" s="13" t="s">
        <v>188</v>
      </c>
      <c r="B29" s="12" t="s">
        <v>189</v>
      </c>
      <c r="C29" s="36">
        <f>'1_Στοιχεία_Μελέτης_&amp;_Ποσότητες'!B94</f>
        <v>31174</v>
      </c>
      <c r="D29" s="13" t="s">
        <v>27</v>
      </c>
      <c r="E29" s="30">
        <v>2.2799999999999998</v>
      </c>
      <c r="F29" s="31">
        <f>C29*E29</f>
        <v>71076.72</v>
      </c>
      <c r="G29" s="32" t="str">
        <f>'1_Στοιχεία_Μελέτης_&amp;_Ποσότητες'!B90 &amp; " οπές x " &amp; '1_Στοιχεία_Μελέτης_&amp;_Ποσότητες'!B53 &amp; " strands x " &amp; TEXT('1_Στοιχεία_Μελέτης_&amp;_Ποσότητες'!B48+'1_Στοιχεία_Μελέτης_&amp;_Ποσότητες'!B57, "0.0") &amp; "m"</f>
        <v>436 οπές x 5 strands x 14.3m</v>
      </c>
    </row>
    <row r="30" spans="1:7" ht="20" customHeight="1" x14ac:dyDescent="0.35">
      <c r="A30" s="13" t="s">
        <v>190</v>
      </c>
      <c r="B30" s="12" t="s">
        <v>191</v>
      </c>
      <c r="C30" s="29">
        <f>'1_Στοιχεία_Μελέτης_&amp;_Ποσότητες'!B97</f>
        <v>436</v>
      </c>
      <c r="D30" s="13" t="s">
        <v>192</v>
      </c>
      <c r="E30" s="30">
        <v>18</v>
      </c>
      <c r="F30" s="31">
        <f>C30*E30</f>
        <v>7848</v>
      </c>
      <c r="G30" s="32" t="str">
        <f>'1_Στοιχεία_Μελέτης_&amp;_Ποσότητες'!B90 &amp; " τανύσεις &amp; δοκιμές καταλληλότητας"</f>
        <v>436 τανύσεις &amp; δοκιμές καταλληλότητας</v>
      </c>
    </row>
    <row r="31" spans="1:7" ht="20" customHeight="1" x14ac:dyDescent="0.35">
      <c r="A31" s="13" t="s">
        <v>193</v>
      </c>
      <c r="B31" s="12" t="s">
        <v>194</v>
      </c>
      <c r="C31" s="29">
        <f>'1_Στοιχεία_Μελέτης_&amp;_Ποσότητες'!B98</f>
        <v>436</v>
      </c>
      <c r="D31" s="13" t="s">
        <v>192</v>
      </c>
      <c r="E31" s="30">
        <v>55</v>
      </c>
      <c r="F31" s="31">
        <f>C31*E31</f>
        <v>23980</v>
      </c>
      <c r="G31" s="32" t="str">
        <f>'1_Στοιχεία_Μελέτης_&amp;_Ποσότητες'!B90 &amp; " πλήρη σετ κεφαλών έδρασης"</f>
        <v>436 πλήρη σετ κεφαλών έδρασης</v>
      </c>
    </row>
    <row r="32" spans="1:7" ht="21" customHeight="1" x14ac:dyDescent="0.45">
      <c r="A32" s="33"/>
      <c r="B32" s="34" t="s">
        <v>195</v>
      </c>
      <c r="C32" s="33"/>
      <c r="D32" s="33"/>
      <c r="E32" s="33"/>
      <c r="F32" s="35">
        <f>SUM(F27:F31)</f>
        <v>338353.72</v>
      </c>
      <c r="G32" s="33"/>
    </row>
    <row r="34" spans="1:7" ht="24" customHeight="1" x14ac:dyDescent="0.45">
      <c r="A34" s="38"/>
      <c r="B34" s="39" t="s">
        <v>196</v>
      </c>
      <c r="C34" s="38"/>
      <c r="D34" s="38"/>
      <c r="E34" s="38"/>
      <c r="F34" s="40">
        <f>F9+F16+F24+F32</f>
        <v>1029974.523</v>
      </c>
      <c r="G34" s="38"/>
    </row>
    <row r="35" spans="1:7" ht="20" customHeight="1" x14ac:dyDescent="0.45">
      <c r="A35" s="41"/>
      <c r="B35" s="42" t="s">
        <v>197</v>
      </c>
      <c r="C35" s="41"/>
      <c r="D35" s="41"/>
      <c r="E35" s="41"/>
      <c r="F35" s="31">
        <f>ROUND(F34*0.19, 2)</f>
        <v>195695.16</v>
      </c>
      <c r="G35" s="41"/>
    </row>
    <row r="36" spans="1:7" ht="25" customHeight="1" x14ac:dyDescent="0.45">
      <c r="A36" s="38"/>
      <c r="B36" s="39" t="s">
        <v>198</v>
      </c>
      <c r="C36" s="38"/>
      <c r="D36" s="38"/>
      <c r="E36" s="38"/>
      <c r="F36" s="40">
        <f>F34+F35</f>
        <v>1225669.683</v>
      </c>
      <c r="G36" s="38"/>
    </row>
    <row r="38" spans="1:7" ht="20" customHeight="1" x14ac:dyDescent="0.45">
      <c r="A38" s="45" t="s">
        <v>199</v>
      </c>
      <c r="B38" s="46"/>
      <c r="C38" s="46"/>
      <c r="D38" s="46"/>
      <c r="E38" s="46"/>
      <c r="F38" s="46"/>
      <c r="G38" s="46"/>
    </row>
    <row r="39" spans="1:7" ht="20" customHeight="1" x14ac:dyDescent="0.35">
      <c r="A39" s="41"/>
      <c r="B39" s="17" t="s">
        <v>200</v>
      </c>
      <c r="C39" s="41"/>
      <c r="D39" s="19" t="s">
        <v>201</v>
      </c>
      <c r="E39" s="41"/>
      <c r="F39" s="31">
        <f>ROUND(F34/'1_Στοιχεία_Μελέτης_&amp;_Ποσότητες'!B68, 2)</f>
        <v>420.4</v>
      </c>
      <c r="G39" s="32" t="str">
        <f>"Καθαρό κόστος ανά m² για " &amp; TEXT('1_Στοιχεία_Μελέτης_&amp;_Ποσότητες'!B68, "#,##0.00") &amp; " m²"</f>
        <v>Καθαρό κόστος ανά m² για 2,450.00 m²</v>
      </c>
    </row>
    <row r="40" spans="1:7" ht="20" customHeight="1" x14ac:dyDescent="0.35">
      <c r="A40" s="41"/>
      <c r="B40" s="17" t="s">
        <v>202</v>
      </c>
      <c r="C40" s="41"/>
      <c r="D40" s="19" t="s">
        <v>203</v>
      </c>
      <c r="E40" s="41"/>
      <c r="F40" s="31">
        <f>ROUND(F34/'1_Στοιχεία_Μελέτης_&amp;_Ποσότητες'!B67, 2)</f>
        <v>5254.97</v>
      </c>
      <c r="G40" s="32" t="str">
        <f>"Καθαρό κόστος ανά τρέχον μέτρο για " &amp; TEXT('1_Στοιχεία_Μελέτης_&amp;_Ποσότητες'!B67, "#,##0.00") &amp; " m"</f>
        <v>Καθαρό κόστος ανά τρέχον μέτρο για 196.00 m</v>
      </c>
    </row>
    <row r="41" spans="1:7" ht="20" customHeight="1" x14ac:dyDescent="0.35">
      <c r="A41" s="41"/>
      <c r="B41" s="17" t="s">
        <v>204</v>
      </c>
      <c r="C41" s="41"/>
      <c r="D41" s="19" t="s">
        <v>205</v>
      </c>
      <c r="E41" s="41"/>
      <c r="F41" s="31">
        <f>ROUND(F34/'1_Στοιχεία_Μελέτης_&amp;_Ποσότητες'!B34, 2)</f>
        <v>9449.31</v>
      </c>
      <c r="G41" s="32" t="str">
        <f>"Συνολικό κόστος επιμερισμένο ανά πάσσαλο (" &amp; '1_Στοιχεία_Μελέτης_&amp;_Ποσότητες'!B34 &amp; " πάσσαλοι)"</f>
        <v>Συνολικό κόστος επιμερισμένο ανά πάσσαλο (109 πάσσαλοι)</v>
      </c>
    </row>
    <row r="42" spans="1:7" ht="20" customHeight="1" x14ac:dyDescent="0.35">
      <c r="A42" s="41"/>
      <c r="B42" s="17" t="s">
        <v>206</v>
      </c>
      <c r="C42" s="41"/>
      <c r="D42" s="19" t="s">
        <v>207</v>
      </c>
      <c r="E42" s="41"/>
      <c r="F42" s="31">
        <f>ROUND(F32/'1_Στοιχεία_Μελέτης_&amp;_Ποσότητες'!B90, 2)</f>
        <v>776.04</v>
      </c>
      <c r="G42" s="32" t="str">
        <f>"Κόστος αγκυρώσεων ανά αγκύρωση (" &amp; '1_Στοιχεία_Μελέτης_&amp;_Ποσότητες'!B90 &amp; " αγκυρώσεις)"</f>
        <v>Κόστος αγκυρώσεων ανά αγκύρωση (436 αγκυρώσεις)</v>
      </c>
    </row>
  </sheetData>
  <mergeCells count="5">
    <mergeCell ref="A18:G18"/>
    <mergeCell ref="A26:G26"/>
    <mergeCell ref="A38:G38"/>
    <mergeCell ref="A11:G1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/>
  </sheetViews>
  <sheetFormatPr defaultRowHeight="14.5" x14ac:dyDescent="0.35"/>
  <cols>
    <col min="1" max="1" width="18" customWidth="1"/>
    <col min="2" max="5" width="14" customWidth="1"/>
    <col min="6" max="6" width="16" customWidth="1"/>
    <col min="7" max="7" width="28" customWidth="1"/>
  </cols>
  <sheetData>
    <row r="1" spans="1:7" ht="21" x14ac:dyDescent="0.55000000000000004">
      <c r="A1" s="1" t="s">
        <v>208</v>
      </c>
    </row>
    <row r="2" spans="1:7" ht="16" x14ac:dyDescent="0.45">
      <c r="A2" s="2" t="s">
        <v>209</v>
      </c>
    </row>
    <row r="4" spans="1:7" ht="25" customHeight="1" x14ac:dyDescent="0.35">
      <c r="A4" s="3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F4" s="4" t="s">
        <v>215</v>
      </c>
      <c r="G4" s="3" t="s">
        <v>216</v>
      </c>
    </row>
    <row r="5" spans="1:7" ht="20" customHeight="1" x14ac:dyDescent="0.45">
      <c r="A5" s="45" t="s">
        <v>217</v>
      </c>
      <c r="B5" s="46"/>
      <c r="C5" s="46"/>
      <c r="D5" s="46"/>
      <c r="E5" s="46"/>
      <c r="F5" s="46"/>
      <c r="G5" s="46"/>
    </row>
    <row r="6" spans="1:7" ht="19" customHeight="1" x14ac:dyDescent="0.35">
      <c r="A6" s="5" t="s">
        <v>218</v>
      </c>
      <c r="B6" s="7">
        <v>160</v>
      </c>
      <c r="C6" s="7">
        <v>65</v>
      </c>
      <c r="D6" s="7">
        <v>7.5</v>
      </c>
      <c r="E6" s="7">
        <v>10.5</v>
      </c>
      <c r="F6" s="7">
        <v>18.8</v>
      </c>
      <c r="G6" s="5" t="s">
        <v>219</v>
      </c>
    </row>
    <row r="7" spans="1:7" ht="19" customHeight="1" x14ac:dyDescent="0.35">
      <c r="A7" s="5" t="s">
        <v>220</v>
      </c>
      <c r="B7" s="7">
        <v>180</v>
      </c>
      <c r="C7" s="7">
        <v>70</v>
      </c>
      <c r="D7" s="7">
        <v>8</v>
      </c>
      <c r="E7" s="7">
        <v>11</v>
      </c>
      <c r="F7" s="7">
        <v>22</v>
      </c>
      <c r="G7" s="5" t="s">
        <v>219</v>
      </c>
    </row>
    <row r="8" spans="1:7" ht="19" customHeight="1" x14ac:dyDescent="0.35">
      <c r="A8" s="5" t="s">
        <v>221</v>
      </c>
      <c r="B8" s="7">
        <v>200</v>
      </c>
      <c r="C8" s="7">
        <v>75</v>
      </c>
      <c r="D8" s="7">
        <v>8.5</v>
      </c>
      <c r="E8" s="7">
        <v>11.5</v>
      </c>
      <c r="F8" s="7">
        <v>25.3</v>
      </c>
      <c r="G8" s="5" t="s">
        <v>222</v>
      </c>
    </row>
    <row r="9" spans="1:7" ht="19" customHeight="1" x14ac:dyDescent="0.35">
      <c r="A9" s="5" t="s">
        <v>223</v>
      </c>
      <c r="B9" s="7">
        <v>220</v>
      </c>
      <c r="C9" s="7">
        <v>80</v>
      </c>
      <c r="D9" s="7">
        <v>9</v>
      </c>
      <c r="E9" s="7">
        <v>12.5</v>
      </c>
      <c r="F9" s="7">
        <v>29.4</v>
      </c>
      <c r="G9" s="5" t="s">
        <v>224</v>
      </c>
    </row>
    <row r="10" spans="1:7" ht="19" customHeight="1" x14ac:dyDescent="0.35">
      <c r="A10" s="5" t="s">
        <v>225</v>
      </c>
      <c r="B10" s="7">
        <v>240</v>
      </c>
      <c r="C10" s="7">
        <v>85</v>
      </c>
      <c r="D10" s="7">
        <v>9.5</v>
      </c>
      <c r="E10" s="7">
        <v>13</v>
      </c>
      <c r="F10" s="7">
        <v>33.200000000000003</v>
      </c>
      <c r="G10" s="5" t="s">
        <v>224</v>
      </c>
    </row>
    <row r="11" spans="1:7" ht="19" customHeight="1" x14ac:dyDescent="0.35">
      <c r="A11" s="5" t="s">
        <v>226</v>
      </c>
      <c r="B11" s="7">
        <v>260</v>
      </c>
      <c r="C11" s="7">
        <v>90</v>
      </c>
      <c r="D11" s="7">
        <v>10</v>
      </c>
      <c r="E11" s="7">
        <v>14</v>
      </c>
      <c r="F11" s="7">
        <v>37.9</v>
      </c>
      <c r="G11" s="5" t="s">
        <v>227</v>
      </c>
    </row>
    <row r="12" spans="1:7" ht="19" customHeight="1" x14ac:dyDescent="0.35">
      <c r="A12" s="5" t="s">
        <v>228</v>
      </c>
      <c r="B12" s="7">
        <v>280</v>
      </c>
      <c r="C12" s="7">
        <v>95</v>
      </c>
      <c r="D12" s="7">
        <v>10</v>
      </c>
      <c r="E12" s="7">
        <v>15</v>
      </c>
      <c r="F12" s="7">
        <v>41.8</v>
      </c>
      <c r="G12" s="5" t="s">
        <v>227</v>
      </c>
    </row>
    <row r="13" spans="1:7" ht="19" customHeight="1" x14ac:dyDescent="0.35">
      <c r="A13" s="5" t="s">
        <v>229</v>
      </c>
      <c r="B13" s="7">
        <v>300</v>
      </c>
      <c r="C13" s="7">
        <v>100</v>
      </c>
      <c r="D13" s="7">
        <v>10</v>
      </c>
      <c r="E13" s="7">
        <v>16</v>
      </c>
      <c r="F13" s="7">
        <v>46.2</v>
      </c>
      <c r="G13" s="5" t="s">
        <v>227</v>
      </c>
    </row>
    <row r="14" spans="1:7" ht="19" customHeight="1" x14ac:dyDescent="0.35">
      <c r="A14" s="43" t="s">
        <v>230</v>
      </c>
      <c r="B14" s="44">
        <v>350</v>
      </c>
      <c r="C14" s="44">
        <v>100</v>
      </c>
      <c r="D14" s="44">
        <v>14</v>
      </c>
      <c r="E14" s="44">
        <v>16</v>
      </c>
      <c r="F14" s="44">
        <v>60.6</v>
      </c>
      <c r="G14" s="43" t="s">
        <v>231</v>
      </c>
    </row>
    <row r="15" spans="1:7" ht="19" customHeight="1" x14ac:dyDescent="0.35">
      <c r="A15" s="5" t="s">
        <v>232</v>
      </c>
      <c r="B15" s="7">
        <v>400</v>
      </c>
      <c r="C15" s="7">
        <v>110</v>
      </c>
      <c r="D15" s="7">
        <v>14</v>
      </c>
      <c r="E15" s="7">
        <v>18</v>
      </c>
      <c r="F15" s="7">
        <v>71.8</v>
      </c>
      <c r="G15" s="5" t="s">
        <v>233</v>
      </c>
    </row>
    <row r="16" spans="1:7" ht="20" customHeight="1" x14ac:dyDescent="0.45">
      <c r="A16" s="45" t="s">
        <v>234</v>
      </c>
      <c r="B16" s="46"/>
      <c r="C16" s="46"/>
      <c r="D16" s="46"/>
      <c r="E16" s="46"/>
      <c r="F16" s="46"/>
      <c r="G16" s="46"/>
    </row>
    <row r="17" spans="1:7" ht="19" customHeight="1" x14ac:dyDescent="0.35">
      <c r="A17" s="5" t="s">
        <v>235</v>
      </c>
      <c r="B17" s="7">
        <v>180</v>
      </c>
      <c r="C17" s="7">
        <v>180</v>
      </c>
      <c r="D17" s="7">
        <v>8.5</v>
      </c>
      <c r="E17" s="7">
        <v>14</v>
      </c>
      <c r="F17" s="7">
        <v>51.2</v>
      </c>
      <c r="G17" s="5" t="s">
        <v>236</v>
      </c>
    </row>
    <row r="18" spans="1:7" ht="19" customHeight="1" x14ac:dyDescent="0.35">
      <c r="A18" s="5" t="s">
        <v>237</v>
      </c>
      <c r="B18" s="7">
        <v>200</v>
      </c>
      <c r="C18" s="7">
        <v>200</v>
      </c>
      <c r="D18" s="7">
        <v>9</v>
      </c>
      <c r="E18" s="7">
        <v>15</v>
      </c>
      <c r="F18" s="7">
        <v>61.3</v>
      </c>
      <c r="G18" s="5" t="s">
        <v>238</v>
      </c>
    </row>
    <row r="19" spans="1:7" ht="19" customHeight="1" x14ac:dyDescent="0.35">
      <c r="A19" s="5" t="s">
        <v>239</v>
      </c>
      <c r="B19" s="7">
        <v>220</v>
      </c>
      <c r="C19" s="7">
        <v>220</v>
      </c>
      <c r="D19" s="7">
        <v>9.5</v>
      </c>
      <c r="E19" s="7">
        <v>16</v>
      </c>
      <c r="F19" s="7">
        <v>71.5</v>
      </c>
      <c r="G19" s="5" t="s">
        <v>238</v>
      </c>
    </row>
    <row r="20" spans="1:7" ht="19" customHeight="1" x14ac:dyDescent="0.35">
      <c r="A20" s="5" t="s">
        <v>240</v>
      </c>
      <c r="B20" s="7">
        <v>240</v>
      </c>
      <c r="C20" s="7">
        <v>240</v>
      </c>
      <c r="D20" s="7">
        <v>10</v>
      </c>
      <c r="E20" s="7">
        <v>17</v>
      </c>
      <c r="F20" s="7">
        <v>83.2</v>
      </c>
      <c r="G20" s="5" t="s">
        <v>241</v>
      </c>
    </row>
    <row r="21" spans="1:7" ht="19" customHeight="1" x14ac:dyDescent="0.35">
      <c r="A21" s="5" t="s">
        <v>242</v>
      </c>
      <c r="B21" s="7">
        <v>260</v>
      </c>
      <c r="C21" s="7">
        <v>260</v>
      </c>
      <c r="D21" s="7">
        <v>10</v>
      </c>
      <c r="E21" s="7">
        <v>17.5</v>
      </c>
      <c r="F21" s="7">
        <v>93</v>
      </c>
      <c r="G21" s="5" t="s">
        <v>241</v>
      </c>
    </row>
    <row r="22" spans="1:7" ht="19" customHeight="1" x14ac:dyDescent="0.35">
      <c r="A22" s="5" t="s">
        <v>243</v>
      </c>
      <c r="B22" s="7">
        <v>280</v>
      </c>
      <c r="C22" s="7">
        <v>280</v>
      </c>
      <c r="D22" s="7">
        <v>10.5</v>
      </c>
      <c r="E22" s="7">
        <v>18</v>
      </c>
      <c r="F22" s="7">
        <v>103</v>
      </c>
      <c r="G22" s="5" t="s">
        <v>244</v>
      </c>
    </row>
    <row r="23" spans="1:7" ht="19" customHeight="1" x14ac:dyDescent="0.35">
      <c r="A23" s="5" t="s">
        <v>245</v>
      </c>
      <c r="B23" s="7">
        <v>300</v>
      </c>
      <c r="C23" s="7">
        <v>300</v>
      </c>
      <c r="D23" s="7">
        <v>11</v>
      </c>
      <c r="E23" s="7">
        <v>19</v>
      </c>
      <c r="F23" s="7">
        <v>117</v>
      </c>
      <c r="G23" s="5" t="s">
        <v>244</v>
      </c>
    </row>
    <row r="24" spans="1:7" ht="20" customHeight="1" x14ac:dyDescent="0.45">
      <c r="A24" s="45" t="s">
        <v>246</v>
      </c>
      <c r="B24" s="46"/>
      <c r="C24" s="46"/>
      <c r="D24" s="46"/>
      <c r="E24" s="46"/>
      <c r="F24" s="46"/>
      <c r="G24" s="46"/>
    </row>
    <row r="25" spans="1:7" ht="19" customHeight="1" x14ac:dyDescent="0.35">
      <c r="A25" s="5" t="s">
        <v>247</v>
      </c>
      <c r="B25" s="7">
        <v>171</v>
      </c>
      <c r="C25" s="7">
        <v>180</v>
      </c>
      <c r="D25" s="7">
        <v>6</v>
      </c>
      <c r="E25" s="7">
        <v>9.5</v>
      </c>
      <c r="F25" s="7">
        <v>35.5</v>
      </c>
      <c r="G25" s="5" t="s">
        <v>248</v>
      </c>
    </row>
    <row r="26" spans="1:7" ht="19" customHeight="1" x14ac:dyDescent="0.35">
      <c r="A26" s="5" t="s">
        <v>249</v>
      </c>
      <c r="B26" s="7">
        <v>190</v>
      </c>
      <c r="C26" s="7">
        <v>200</v>
      </c>
      <c r="D26" s="7">
        <v>6.5</v>
      </c>
      <c r="E26" s="7">
        <v>10</v>
      </c>
      <c r="F26" s="7">
        <v>42.3</v>
      </c>
      <c r="G26" s="5" t="s">
        <v>248</v>
      </c>
    </row>
    <row r="27" spans="1:7" ht="19" customHeight="1" x14ac:dyDescent="0.35">
      <c r="A27" s="5" t="s">
        <v>250</v>
      </c>
      <c r="B27" s="7">
        <v>210</v>
      </c>
      <c r="C27" s="7">
        <v>220</v>
      </c>
      <c r="D27" s="7">
        <v>7</v>
      </c>
      <c r="E27" s="7">
        <v>11</v>
      </c>
      <c r="F27" s="7">
        <v>50.5</v>
      </c>
      <c r="G27" s="5" t="s">
        <v>251</v>
      </c>
    </row>
    <row r="28" spans="1:7" ht="19" customHeight="1" x14ac:dyDescent="0.35">
      <c r="A28" s="5" t="s">
        <v>252</v>
      </c>
      <c r="B28" s="7">
        <v>230</v>
      </c>
      <c r="C28" s="7">
        <v>240</v>
      </c>
      <c r="D28" s="7">
        <v>7.5</v>
      </c>
      <c r="E28" s="7">
        <v>12</v>
      </c>
      <c r="F28" s="7">
        <v>60.3</v>
      </c>
      <c r="G28" s="5" t="s">
        <v>251</v>
      </c>
    </row>
    <row r="29" spans="1:7" ht="19" customHeight="1" x14ac:dyDescent="0.35">
      <c r="A29" s="5" t="s">
        <v>253</v>
      </c>
      <c r="B29" s="7">
        <v>250</v>
      </c>
      <c r="C29" s="7">
        <v>260</v>
      </c>
      <c r="D29" s="7">
        <v>7.5</v>
      </c>
      <c r="E29" s="7">
        <v>12.5</v>
      </c>
      <c r="F29" s="7">
        <v>68.2</v>
      </c>
      <c r="G29" s="5" t="s">
        <v>254</v>
      </c>
    </row>
    <row r="30" spans="1:7" ht="19" customHeight="1" x14ac:dyDescent="0.35">
      <c r="A30" s="5" t="s">
        <v>255</v>
      </c>
      <c r="B30" s="7">
        <v>270</v>
      </c>
      <c r="C30" s="7">
        <v>280</v>
      </c>
      <c r="D30" s="7">
        <v>8</v>
      </c>
      <c r="E30" s="7">
        <v>13</v>
      </c>
      <c r="F30" s="7">
        <v>76.400000000000006</v>
      </c>
      <c r="G30" s="5" t="s">
        <v>254</v>
      </c>
    </row>
    <row r="31" spans="1:7" ht="19" customHeight="1" x14ac:dyDescent="0.35">
      <c r="A31" s="5" t="s">
        <v>256</v>
      </c>
      <c r="B31" s="7">
        <v>290</v>
      </c>
      <c r="C31" s="7">
        <v>300</v>
      </c>
      <c r="D31" s="7">
        <v>8.5</v>
      </c>
      <c r="E31" s="7">
        <v>14</v>
      </c>
      <c r="F31" s="7">
        <v>88.3</v>
      </c>
      <c r="G31" s="5" t="s">
        <v>227</v>
      </c>
    </row>
    <row r="32" spans="1:7" ht="20" customHeight="1" x14ac:dyDescent="0.45">
      <c r="A32" s="45" t="s">
        <v>257</v>
      </c>
      <c r="B32" s="46"/>
      <c r="C32" s="46"/>
      <c r="D32" s="46"/>
      <c r="E32" s="46"/>
      <c r="F32" s="46"/>
      <c r="G32" s="46"/>
    </row>
    <row r="33" spans="1:7" ht="19" customHeight="1" x14ac:dyDescent="0.35">
      <c r="A33" s="5" t="s">
        <v>258</v>
      </c>
      <c r="B33" s="7">
        <v>50</v>
      </c>
      <c r="C33" s="7">
        <v>50</v>
      </c>
      <c r="D33" s="7">
        <v>5</v>
      </c>
      <c r="E33" s="7">
        <v>5</v>
      </c>
      <c r="F33" s="7">
        <v>3.77</v>
      </c>
      <c r="G33" s="5" t="s">
        <v>259</v>
      </c>
    </row>
    <row r="34" spans="1:7" ht="19" customHeight="1" x14ac:dyDescent="0.35">
      <c r="A34" s="5" t="s">
        <v>260</v>
      </c>
      <c r="B34" s="7">
        <v>60</v>
      </c>
      <c r="C34" s="7">
        <v>60</v>
      </c>
      <c r="D34" s="7">
        <v>6</v>
      </c>
      <c r="E34" s="7">
        <v>6</v>
      </c>
      <c r="F34" s="7">
        <v>5.42</v>
      </c>
      <c r="G34" s="5" t="s">
        <v>261</v>
      </c>
    </row>
    <row r="35" spans="1:7" ht="19" customHeight="1" x14ac:dyDescent="0.35">
      <c r="A35" s="5" t="s">
        <v>262</v>
      </c>
      <c r="B35" s="7">
        <v>70</v>
      </c>
      <c r="C35" s="7">
        <v>70</v>
      </c>
      <c r="D35" s="7">
        <v>7</v>
      </c>
      <c r="E35" s="7">
        <v>7</v>
      </c>
      <c r="F35" s="7">
        <v>7.38</v>
      </c>
      <c r="G35" s="5" t="s">
        <v>263</v>
      </c>
    </row>
    <row r="36" spans="1:7" ht="19" customHeight="1" x14ac:dyDescent="0.35">
      <c r="A36" s="5" t="s">
        <v>264</v>
      </c>
      <c r="B36" s="7">
        <v>80</v>
      </c>
      <c r="C36" s="7">
        <v>80</v>
      </c>
      <c r="D36" s="7">
        <v>8</v>
      </c>
      <c r="E36" s="7">
        <v>8</v>
      </c>
      <c r="F36" s="7">
        <v>9.6300000000000008</v>
      </c>
      <c r="G36" s="5" t="s">
        <v>265</v>
      </c>
    </row>
    <row r="37" spans="1:7" ht="19" customHeight="1" x14ac:dyDescent="0.35">
      <c r="A37" s="5" t="s">
        <v>266</v>
      </c>
      <c r="B37" s="7">
        <v>100</v>
      </c>
      <c r="C37" s="7">
        <v>100</v>
      </c>
      <c r="D37" s="7">
        <v>10</v>
      </c>
      <c r="E37" s="7">
        <v>10</v>
      </c>
      <c r="F37" s="7">
        <v>15</v>
      </c>
      <c r="G37" s="5" t="s">
        <v>267</v>
      </c>
    </row>
  </sheetData>
  <mergeCells count="4">
    <mergeCell ref="A32:G32"/>
    <mergeCell ref="A24:G24"/>
    <mergeCell ref="A16:G1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1_Στοιχεία_Μελέτης_&amp;_Ποσότητες</vt:lpstr>
      <vt:lpstr>2_Υπολογισμοί_&amp;_Κοστολόγηση</vt:lpstr>
      <vt:lpstr>3_Πίνακες_Διατομών_Χάλυβα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2026-10-14T06:56:25Z</dcterms:created>
  <dcterms:modified xsi:type="dcterms:W3CDTF">2026-10-14T13:16:31Z</dcterms:modified>
</cp:coreProperties>
</file>