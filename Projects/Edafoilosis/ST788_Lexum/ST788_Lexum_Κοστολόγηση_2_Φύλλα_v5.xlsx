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1F4E78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i val="1"/>
      <color rgb="00595959"/>
      <sz val="9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1E4D2B"/>
        <bgColor rgb="001E4D2B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  <fill>
      <patternFill patternType="solid">
        <fgColor rgb="00305496"/>
        <bgColor rgb="00305496"/>
      </patternFill>
    </fill>
    <fill>
      <patternFill patternType="solid">
        <fgColor rgb="0041719C"/>
        <bgColor rgb="0041719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1" pivotButton="0" quotePrefix="0" xfId="0"/>
    <xf numFmtId="0" fontId="5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8" fillId="9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center" vertical="center"/>
    </xf>
    <xf numFmtId="0" fontId="3" fillId="10" borderId="0" pivotButton="0" quotePrefix="0" xfId="0"/>
    <xf numFmtId="0" fontId="6" fillId="0" borderId="1" pivotButton="0" quotePrefix="0" xfId="0"/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5" fillId="4" borderId="0" pivotButton="0" quotePrefix="0" xfId="0"/>
    <xf numFmtId="164" fontId="5" fillId="4" borderId="2" applyAlignment="1" pivotButton="0" quotePrefix="0" xfId="0">
      <alignment horizontal="right" vertical="center"/>
    </xf>
    <xf numFmtId="165" fontId="5" fillId="6" borderId="1" applyAlignment="1" pivotButton="0" quotePrefix="0" xfId="0">
      <alignment horizontal="center" vertical="center"/>
    </xf>
    <xf numFmtId="0" fontId="5" fillId="8" borderId="1" pivotButton="0" quotePrefix="0" xfId="0"/>
    <xf numFmtId="164" fontId="5" fillId="8" borderId="2" applyAlignment="1" pivotButton="0" quotePrefix="0" xfId="0">
      <alignment horizontal="right" vertical="center"/>
    </xf>
    <xf numFmtId="0" fontId="7" fillId="0" borderId="0" pivotButton="0" quotePrefix="0" xfId="0"/>
    <xf numFmtId="0" fontId="8" fillId="9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55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ΕΡΓΟ: ST788 LEXUM — ΣΤΟΙΧΕΙΑ ΜΕΛΕΤΗΣ &amp; ΦΥΣΙΚΕΣ ΠΟΣΟΤΗΤΕΣ (ΧΩΡΙΣ ΕΥΡΩ)</t>
        </is>
      </c>
    </row>
    <row r="2">
      <c r="A2" s="2" t="inlineStr">
        <is>
          <t>ΧΩΡΙΣΜΕΝΟ ΣΕ 2 ΜΕΓΑΛΑ ΚΕΦΑΛΑΙΑ: [ΚΕΦΑΛΑΙΟ Α] = ΜΟΝΟ ΣΤΟΙΧΕΙΑ ΜΕΛΕΤΗΣ | [ΚΕΦΑΛΑΙΟ Β] = ΟΛΟΙ ΟΙ ΥΠΟΛΟΓΙΣΜΟΙ</t>
        </is>
      </c>
    </row>
    <row r="4">
      <c r="A4" s="3" t="inlineStr">
        <is>
          <t>🏛️ ΚΕΦΑΛΑΙΟ Α: ΜΟΝΟ ΣΤΟΙΧΕΙΑ ΠΟΥ ΔΙΑΒΑΣΤΗΚΑΝ ΑΠΟ ΤΗ ΜΕΛΕΤΗ (RAW INPUTS)</t>
        </is>
      </c>
    </row>
    <row r="5">
      <c r="A5" s="4" t="inlineStr">
        <is>
          <t>Α.1 Τοποθεσία Εργοταξίου, Έδρα &amp; Σειρές Μελέτης</t>
        </is>
      </c>
      <c r="B5" t="inlineStr"/>
      <c r="C5" t="inlineStr"/>
      <c r="D5" t="inlineStr"/>
    </row>
    <row r="6">
      <c r="A6" s="5" t="inlineStr">
        <is>
          <t>Έδρα Εταιρείας (Αφετηρία)</t>
        </is>
      </c>
      <c r="B6" s="6" t="inlineStr">
        <is>
          <t>Άγιος Συλάς, Σπύρου Κυπριανού 32, Λεμεσός</t>
        </is>
      </c>
      <c r="C6" s="7" t="inlineStr">
        <is>
          <t>-</t>
        </is>
      </c>
      <c r="D6" s="8" t="inlineStr">
        <is>
          <t>Σταθερή βάση εκκίνησης συνεργείων</t>
        </is>
      </c>
    </row>
    <row r="7">
      <c r="A7" s="5" t="inlineStr">
        <is>
          <t>Τοποθεσία Εργοταξίου</t>
        </is>
      </c>
      <c r="B7" s="6" t="inlineStr">
        <is>
          <t>ST788 Lexum</t>
        </is>
      </c>
      <c r="C7" s="7" t="inlineStr">
        <is>
          <t>-</t>
        </is>
      </c>
      <c r="D7" s="8" t="inlineStr">
        <is>
          <t>Από κατασκευαστική λεπτομέρεια ASD-ST788-GEO-NAIL-03</t>
        </is>
      </c>
    </row>
    <row r="8">
      <c r="A8" s="5" t="inlineStr">
        <is>
          <t>Χιλιομετρική Απόσταση από Έδρα</t>
        </is>
      </c>
      <c r="B8" s="9" t="n">
        <v>25</v>
      </c>
      <c r="C8" s="7" t="inlineStr">
        <is>
          <t>km</t>
        </is>
      </c>
      <c r="D8" s="8" t="inlineStr">
        <is>
          <t>Απόσταση &lt; 50 km από Άγιο Συλά (Ζώνη 1: 0–50 km)</t>
        </is>
      </c>
    </row>
    <row r="9">
      <c r="A9" s="5" t="inlineStr">
        <is>
          <t>Πλήθος Οριζόντιων Σειρών Ήλων Μελέτης</t>
        </is>
      </c>
      <c r="B9" s="9" t="n">
        <v>4</v>
      </c>
      <c r="C9" s="7" t="inlineStr">
        <is>
          <t>σειρές</t>
        </is>
      </c>
      <c r="D9" s="8" t="inlineStr">
        <is>
          <t>4 οριζόντιες σειρές/επίπεδα διάτρησης (Ζώνη Α: 4, Ζώνη Β: 2)</t>
        </is>
      </c>
    </row>
    <row r="11">
      <c r="A11" s="4" t="inlineStr">
        <is>
          <t>Α.2 Γεωμετρία Μετώπου Εκσκαφής (Ανά Ζώνη)</t>
        </is>
      </c>
      <c r="B11" t="inlineStr"/>
      <c r="C11" t="inlineStr"/>
      <c r="D11" t="inlineStr"/>
    </row>
    <row r="12">
      <c r="A12" s="5" t="inlineStr">
        <is>
          <t>Μήκος Μετώπου Ζώνης Α (L_A)</t>
        </is>
      </c>
      <c r="B12" s="9" t="n">
        <v>50</v>
      </c>
      <c r="C12" s="7" t="inlineStr">
        <is>
          <t>m</t>
        </is>
      </c>
      <c r="D12" s="8" t="inlineStr">
        <is>
          <t>Δόθηκε από χρήστη (50.00 τρέχοντα μέτρα)</t>
        </is>
      </c>
    </row>
    <row r="13">
      <c r="A13" s="5" t="inlineStr">
        <is>
          <t>Ύψος / Βάθος Ζώνης Α (H_A)</t>
        </is>
      </c>
      <c r="B13" s="9" t="n">
        <v>9</v>
      </c>
      <c r="C13" s="7" t="inlineStr">
        <is>
          <t>m</t>
        </is>
      </c>
      <c r="D13" s="8" t="inlineStr">
        <is>
          <t>Από σχέδιο (H = 9.0 m, q = 15 kPa τοίχος γείτονα)</t>
        </is>
      </c>
    </row>
    <row r="14">
      <c r="A14" s="5" t="inlineStr">
        <is>
          <t>Μήκος Μετώπου Ζώνης Β (L_B)</t>
        </is>
      </c>
      <c r="B14" s="9" t="n">
        <v>27</v>
      </c>
      <c r="C14" s="7" t="inlineStr">
        <is>
          <t>m</t>
        </is>
      </c>
      <c r="D14" s="8" t="inlineStr">
        <is>
          <t>Δόθηκε από χρήστη (27.00 τρέχοντα μέτρα)</t>
        </is>
      </c>
    </row>
    <row r="15">
      <c r="A15" s="5" t="inlineStr">
        <is>
          <t>Ύψος / Βάθος Ζώνης Β (H_B)</t>
        </is>
      </c>
      <c r="B15" s="9" t="n">
        <v>4</v>
      </c>
      <c r="C15" s="7" t="inlineStr">
        <is>
          <t>m</t>
        </is>
      </c>
      <c r="D15" s="8" t="inlineStr">
        <is>
          <t>Από σχέδιο (H = 4.0 m, q = 0 πλευρά δρόμου)</t>
        </is>
      </c>
    </row>
    <row r="17">
      <c r="A17" s="4" t="inlineStr">
        <is>
          <t>Α.3 Σχάρες Μετώπου (Wire Mesh Grid)</t>
        </is>
      </c>
      <c r="B17" t="inlineStr"/>
      <c r="C17" t="inlineStr"/>
      <c r="D17" t="inlineStr"/>
    </row>
    <row r="18">
      <c r="A18" s="5" t="inlineStr">
        <is>
          <t>Τύπος Χάλυβα Σχάρας</t>
        </is>
      </c>
      <c r="B18" s="6" t="inlineStr">
        <is>
          <t>B500A Δομικό Πλέγμα</t>
        </is>
      </c>
      <c r="C18" s="7" t="inlineStr">
        <is>
          <t>-</t>
        </is>
      </c>
      <c r="D18" s="8" t="inlineStr">
        <is>
          <t>Από λεπτομέρεια (Πλέγμα πλάκας Φ10/150mm αμφίδρομα)</t>
        </is>
      </c>
    </row>
    <row r="19">
      <c r="A19" s="5" t="inlineStr">
        <is>
          <t>Διάμετρος Ράβδων Σχάρας (mm)</t>
        </is>
      </c>
      <c r="B19" s="9" t="n">
        <v>10</v>
      </c>
      <c r="C19" s="7" t="inlineStr">
        <is>
          <t>mm</t>
        </is>
      </c>
      <c r="D19" s="8" t="inlineStr">
        <is>
          <t>Φ10 (Y10) αμφίδρομα</t>
        </is>
      </c>
    </row>
    <row r="20">
      <c r="A20" s="5" t="inlineStr">
        <is>
          <t>Οριζόντιο Βήμα Ράβδων (s_horiz)</t>
        </is>
      </c>
      <c r="B20" s="9" t="n">
        <v>150</v>
      </c>
      <c r="C20" s="7" t="inlineStr">
        <is>
          <t>mm</t>
        </is>
      </c>
      <c r="D20" s="8" t="inlineStr">
        <is>
          <t>Απόσταση οριζόντιων ράβδων 150 mm</t>
        </is>
      </c>
    </row>
    <row r="21">
      <c r="A21" s="5" t="inlineStr">
        <is>
          <t>Κάθετο Βήμα Ράβδων (s_vert)</t>
        </is>
      </c>
      <c r="B21" s="9" t="n">
        <v>150</v>
      </c>
      <c r="C21" s="7" t="inlineStr">
        <is>
          <t>mm</t>
        </is>
      </c>
      <c r="D21" s="8" t="inlineStr">
        <is>
          <t>Απόσταση κάθετων ράβδων 150 mm</t>
        </is>
      </c>
    </row>
    <row r="23">
      <c r="A23" s="4" t="inlineStr">
        <is>
          <t>Α.4 Εκτοξευόμενο Σκυρόδεμα (Shotcrete)</t>
        </is>
      </c>
      <c r="B23" t="inlineStr"/>
      <c r="C23" t="inlineStr"/>
      <c r="D23" t="inlineStr"/>
    </row>
    <row r="24">
      <c r="A24" s="5" t="inlineStr">
        <is>
          <t>Κατηγορία Σκυροδέματος Shotcrete</t>
        </is>
      </c>
      <c r="B24" s="10" t="inlineStr">
        <is>
          <t>C30/37</t>
        </is>
      </c>
      <c r="C24" s="7" t="inlineStr">
        <is>
          <t>-</t>
        </is>
      </c>
      <c r="D24" s="8" t="inlineStr">
        <is>
          <t>Καθορισμός Μάστρου/χρήστη (αντί C25/30 μελέτης)</t>
        </is>
      </c>
    </row>
    <row r="25">
      <c r="A25" s="5" t="inlineStr">
        <is>
          <t>Ονομαστικό Πάχος Σκυροδέματος Μελέτης</t>
        </is>
      </c>
      <c r="B25" s="9" t="n">
        <v>0.15</v>
      </c>
      <c r="C25" s="7" t="inlineStr">
        <is>
          <t>m</t>
        </is>
      </c>
      <c r="D25" s="8" t="inlineStr">
        <is>
          <t>150 mm ονομαστικό πάχος (2 στρώσεις ~75mm, Λεπτομέρεια Δ)</t>
        </is>
      </c>
    </row>
    <row r="26">
      <c r="A26" s="5" t="inlineStr">
        <is>
          <t>Πάγια Απώλεια / Αναπήδηση Εταιρείας</t>
        </is>
      </c>
      <c r="B26" s="11" t="n">
        <v>0.05</v>
      </c>
      <c r="C26" s="7" t="inlineStr">
        <is>
          <t>m</t>
        </is>
      </c>
      <c r="D26" s="8" t="inlineStr">
        <is>
          <t>+5 cm πάγια προσαύξηση εταιρείας (χρεώνεται στα €/m³)</t>
        </is>
      </c>
    </row>
    <row r="28">
      <c r="A28" s="4" t="inlineStr">
        <is>
          <t>Α.5 Εδαφοηλώσεις (Ράβδοι, Διατάξεις, Grout, Πλάκες &amp; Nuts)</t>
        </is>
      </c>
      <c r="B28" t="inlineStr"/>
      <c r="C28" t="inlineStr"/>
      <c r="D28" t="inlineStr"/>
    </row>
    <row r="29">
      <c r="A29" s="5" t="inlineStr">
        <is>
          <t>Διάμετρος Ράβδων Ήλωσης B500C (mm)</t>
        </is>
      </c>
      <c r="B29" s="9" t="n">
        <v>32</v>
      </c>
      <c r="C29" s="7" t="inlineStr">
        <is>
          <t>mm</t>
        </is>
      </c>
      <c r="D29" s="8" t="inlineStr">
        <is>
          <t>Ήλοι Τ32 B500C (Y32) από σχέδιο και λεπτομέρεια Δ</t>
        </is>
      </c>
    </row>
    <row r="30">
      <c r="A30" s="5" t="inlineStr">
        <is>
          <t>Ζώνη Α: Μήκος Ήλων Σειρών 1, 2, 4 (L &lt; 6m)</t>
        </is>
      </c>
      <c r="B30" s="9" t="n">
        <v>5.8</v>
      </c>
      <c r="C30" s="7" t="inlineStr">
        <is>
          <t>m</t>
        </is>
      </c>
      <c r="D30" s="8" t="inlineStr">
        <is>
          <t>3 σειρές των 5.80 m (βάθη 3.0m, 5.0m, 9.0m)</t>
        </is>
      </c>
    </row>
    <row r="31">
      <c r="A31" s="5" t="inlineStr">
        <is>
          <t>Ζώνη Α: Οριζόντιο Βήμα Σειρών 1, 2, 4</t>
        </is>
      </c>
      <c r="B31" s="9" t="n">
        <v>1.1</v>
      </c>
      <c r="C31" s="7" t="inlineStr">
        <is>
          <t>m</t>
        </is>
      </c>
      <c r="D31" s="8" t="inlineStr">
        <is>
          <t>Sh = 1.1 m από σχέδιο Ζώνης Α</t>
        </is>
      </c>
    </row>
    <row r="32">
      <c r="A32" s="5" t="inlineStr">
        <is>
          <t>Ζώνη Α: Μήκος Ήλων Σειράς 3 (L &gt;= 6m)</t>
        </is>
      </c>
      <c r="B32" s="9" t="n">
        <v>6.8</v>
      </c>
      <c r="C32" s="7" t="inlineStr">
        <is>
          <t>m</t>
        </is>
      </c>
      <c r="D32" s="8" t="inlineStr">
        <is>
          <t>1 σειρά των 6.80 m (βάθος 7.0m)</t>
        </is>
      </c>
    </row>
    <row r="33">
      <c r="A33" s="5" t="inlineStr">
        <is>
          <t>Ζώνη Α: Οριζόντιο Βήμα Σειράς 3</t>
        </is>
      </c>
      <c r="B33" s="9" t="n">
        <v>1.1</v>
      </c>
      <c r="C33" s="7" t="inlineStr">
        <is>
          <t>m</t>
        </is>
      </c>
      <c r="D33" s="8" t="inlineStr">
        <is>
          <t>Sh = 1.1 m από σχέδιο Ζώνης Α</t>
        </is>
      </c>
    </row>
    <row r="34">
      <c r="A34" s="5" t="inlineStr">
        <is>
          <t>Ζώνη Β: Μήκος Ήλων Σειρών 1, 2 (L &lt; 6m)</t>
        </is>
      </c>
      <c r="B34" s="9" t="n">
        <v>4.2</v>
      </c>
      <c r="C34" s="7" t="inlineStr">
        <is>
          <t>m</t>
        </is>
      </c>
      <c r="D34" s="8" t="inlineStr">
        <is>
          <t>2 σειρές των 4.20 m (βάθη 2.5m, 4.0m)</t>
        </is>
      </c>
    </row>
    <row r="35">
      <c r="A35" s="5" t="inlineStr">
        <is>
          <t>Ζώνη Β: Οριζόντιο Βήμα Σειρών 1, 2</t>
        </is>
      </c>
      <c r="B35" s="9" t="n">
        <v>1.5</v>
      </c>
      <c r="C35" s="7" t="inlineStr">
        <is>
          <t>m</t>
        </is>
      </c>
      <c r="D35" s="8" t="inlineStr">
        <is>
          <t>Sh = 1.5 m (αμετάβλητο) από σχέδιο Ζώνης Β</t>
        </is>
      </c>
    </row>
    <row r="36">
      <c r="A36" s="5" t="inlineStr">
        <is>
          <t>Διάμετρος Οπής Διάτρησης (D)</t>
        </is>
      </c>
      <c r="B36" s="11" t="n">
        <v>0.12</v>
      </c>
      <c r="C36" s="7" t="inlineStr">
        <is>
          <t>m</t>
        </is>
      </c>
      <c r="D36" s="8" t="inlineStr">
        <is>
          <t>ΠΑΝΤΑ 12 cm (ακτίνα R = 0.06 m) κανόνας μάστρου</t>
        </is>
      </c>
    </row>
    <row r="37">
      <c r="A37" s="5" t="inlineStr">
        <is>
          <t>Συντελεστής Απώλειας Grout στο Έδαφος</t>
        </is>
      </c>
      <c r="B37" s="11" t="n">
        <v>1.2</v>
      </c>
      <c r="C37" s="7" t="inlineStr">
        <is>
          <t>-</t>
        </is>
      </c>
      <c r="D37" s="8" t="inlineStr">
        <is>
          <t>ΠΑΝΤΑ * 1.20 (+20% απώλεια) κανόνας μάστρου</t>
        </is>
      </c>
    </row>
    <row r="38">
      <c r="A38" s="5" t="inlineStr">
        <is>
          <t>Ζώνη Α: Διαστάσεις Πλάκας Έδρασης (M, Π)</t>
        </is>
      </c>
      <c r="B38" s="9" t="n">
        <v>300</v>
      </c>
      <c r="C38" s="7" t="inlineStr">
        <is>
          <t>mm</t>
        </is>
      </c>
      <c r="D38" s="8" t="inlineStr">
        <is>
          <t>300x300 mm πλάκα S275 (Σημείωση 2 μελέτης)</t>
        </is>
      </c>
    </row>
    <row r="39">
      <c r="A39" s="5" t="inlineStr">
        <is>
          <t>Ζώνη Α: Πάχος Πλάκας Έδρασης</t>
        </is>
      </c>
      <c r="B39" s="9" t="n">
        <v>15</v>
      </c>
      <c r="C39" s="7" t="inlineStr">
        <is>
          <t>mm</t>
        </is>
      </c>
      <c r="D39" s="8" t="inlineStr">
        <is>
          <t>15 mm πάχος πλάκας Ζώνης Α (&gt;=15mm)</t>
        </is>
      </c>
    </row>
    <row r="40">
      <c r="A40" s="5" t="inlineStr">
        <is>
          <t>Ζώνη Β: Διαστάσεις Πλάκας Έδρασης (M, Π)</t>
        </is>
      </c>
      <c r="B40" s="9" t="n">
        <v>200</v>
      </c>
      <c r="C40" s="7" t="inlineStr">
        <is>
          <t>mm</t>
        </is>
      </c>
      <c r="D40" s="8" t="inlineStr">
        <is>
          <t>200x200 mm πλάκα S275</t>
        </is>
      </c>
    </row>
    <row r="41">
      <c r="A41" s="5" t="inlineStr">
        <is>
          <t>Ζώνη Β: Πάχος Πλάκας Έδρασης</t>
        </is>
      </c>
      <c r="B41" s="9" t="n">
        <v>15</v>
      </c>
      <c r="C41" s="7" t="inlineStr">
        <is>
          <t>mm</t>
        </is>
      </c>
      <c r="D41" s="8" t="inlineStr">
        <is>
          <t>15 mm πάχος πλάκας Ζώνης Β (&gt;=15mm)</t>
        </is>
      </c>
    </row>
    <row r="42">
      <c r="A42" s="5" t="inlineStr">
        <is>
          <t>Nuts &amp; Ροδέλες ανά Ήλο</t>
        </is>
      </c>
      <c r="B42" s="11" t="n">
        <v>1</v>
      </c>
      <c r="C42" s="7" t="inlineStr">
        <is>
          <t>σετ / ήλο</t>
        </is>
      </c>
      <c r="D42" s="8" t="inlineStr">
        <is>
          <t>1 κοχλιωτό nut &amp; ροδέλα σύσφιξης ανά ήλο (Λεπτομέρεια Δ)</t>
        </is>
      </c>
    </row>
    <row r="44">
      <c r="A44" s="12" t="inlineStr">
        <is>
          <t>⚙️ ΚΕΦΑΛΑΙΟ Β: ΟΛΟΙ ΟΙ ΥΠΟΛΟΓΙΣΜΟΙ ΦΥΣΙΚΩΝ ΜΕΓΕΘΩΝ (ΜΕ ΒΑΣΗ ΤΟ ΚΕΦΑΛΑΙΟ Α)</t>
        </is>
      </c>
    </row>
    <row r="45">
      <c r="A45" s="4" t="inlineStr">
        <is>
          <t>Β.1 Υπολογισμοί Στρατών Μετακίνησης</t>
        </is>
      </c>
      <c r="B45" t="inlineStr"/>
      <c r="C45" t="inlineStr"/>
      <c r="D45" t="inlineStr"/>
    </row>
    <row r="46">
      <c r="A46" s="5" t="inlineStr">
        <is>
          <t>Ζώνη Μετακίνησης (ακτίνα 50km)</t>
        </is>
      </c>
      <c r="B46" s="11" t="inlineStr">
        <is>
          <t>Ζώνη 1 (0 – 50 km)</t>
        </is>
      </c>
      <c r="C46" s="7" t="inlineStr">
        <is>
          <t>-</t>
        </is>
      </c>
      <c r="D46" s="8" t="inlineStr">
        <is>
          <t>Απόσταση &lt;= 50 km από Άγιο Συλά</t>
        </is>
      </c>
    </row>
    <row r="47">
      <c r="A47" s="5" t="inlineStr">
        <is>
          <t>Υπολογισμός Στρατών Shotcrete</t>
        </is>
      </c>
      <c r="B47" s="11">
        <f>B9+1</f>
        <v/>
      </c>
      <c r="C47" s="7" t="inlineStr">
        <is>
          <t>στράτες</t>
        </is>
      </c>
      <c r="D47" s="8" t="inlineStr">
        <is>
          <t>Σειρές ήλων + 1 στράτα (4 + 1 = 5)</t>
        </is>
      </c>
    </row>
    <row r="48">
      <c r="A48" s="5" t="inlineStr">
        <is>
          <t>Υπολογισμός Στρατών Εδαφοηλώσεων</t>
        </is>
      </c>
      <c r="B48" s="11">
        <f>B9</f>
        <v/>
      </c>
      <c r="C48" s="7" t="inlineStr">
        <is>
          <t>στράτες</t>
        </is>
      </c>
      <c r="D48" s="8" t="inlineStr">
        <is>
          <t>1 στράτα ανά οριζόντια σειρά/επίπεδο ήλων (4 στράτες)</t>
        </is>
      </c>
    </row>
    <row r="50">
      <c r="A50" s="4" t="inlineStr">
        <is>
          <t>Β.2 Υπολογισμοί Σχαρών (Μήκος, Εμβαδόν &amp; Κιλά Χάλυβα)</t>
        </is>
      </c>
      <c r="B50" t="inlineStr"/>
      <c r="C50" t="inlineStr"/>
      <c r="D50" t="inlineStr"/>
    </row>
    <row r="51">
      <c r="A51" s="5" t="inlineStr">
        <is>
          <t>Μήκος Μετώπου Ζώνης Α (L_A)</t>
        </is>
      </c>
      <c r="B51" s="11">
        <f>B12</f>
        <v/>
      </c>
      <c r="C51" s="7" t="inlineStr">
        <is>
          <t>m</t>
        </is>
      </c>
      <c r="D51" s="8" t="inlineStr">
        <is>
          <t>L_A = 50.00 m</t>
        </is>
      </c>
    </row>
    <row r="52">
      <c r="A52" s="5" t="inlineStr">
        <is>
          <t>Εμβαδόν Μετώπου Ζώνης Α (A_A = L_A × H_A)</t>
        </is>
      </c>
      <c r="B52" s="13">
        <f>ROUND(B51*B13, 2)</f>
        <v/>
      </c>
      <c r="C52" s="7" t="inlineStr">
        <is>
          <t>m²</t>
        </is>
      </c>
      <c r="D52" s="8" t="inlineStr">
        <is>
          <t>50.00 m × 9.00 m = 450.00 m²</t>
        </is>
      </c>
    </row>
    <row r="53">
      <c r="A53" s="5" t="inlineStr">
        <is>
          <t>Μήκος Μετώπου Ζώνης Β (L_B)</t>
        </is>
      </c>
      <c r="B53" s="11">
        <f>B14</f>
        <v/>
      </c>
      <c r="C53" s="7" t="inlineStr">
        <is>
          <t>m</t>
        </is>
      </c>
      <c r="D53" s="8" t="inlineStr">
        <is>
          <t>L_B = 27.00 m</t>
        </is>
      </c>
    </row>
    <row r="54">
      <c r="A54" s="5" t="inlineStr">
        <is>
          <t>Εμβαδόν Μετώπου Ζώνης Β (A_B = L_B × H_B)</t>
        </is>
      </c>
      <c r="B54" s="13">
        <f>ROUND(B53*B15, 2)</f>
        <v/>
      </c>
      <c r="C54" s="7" t="inlineStr">
        <is>
          <t>m²</t>
        </is>
      </c>
      <c r="D54" s="8" t="inlineStr">
        <is>
          <t>27.00 m × 4.00 m = 108.00 m²</t>
        </is>
      </c>
    </row>
    <row r="55">
      <c r="A55" s="5" t="inlineStr">
        <is>
          <t>ΣΥΝΟΛΙΚΟ ΜΗΚΟΣ ΜΕΤΩΠΟΥ (L = L_A + L_B)</t>
        </is>
      </c>
      <c r="B55" s="11">
        <f>B51+B53</f>
        <v/>
      </c>
      <c r="C55" s="7" t="inlineStr">
        <is>
          <t>m</t>
        </is>
      </c>
      <c r="D55" s="8" t="inlineStr">
        <is>
          <t>L = 50.00 + 27.00 = 77.00 m</t>
        </is>
      </c>
    </row>
    <row r="56">
      <c r="A56" s="5" t="inlineStr">
        <is>
          <t>ΣΥΝΟΛΙΚΟ ΕΜΒΑΔΟΝ ΜΕΤΩΠΟΥ (A = A_A + A_B)</t>
        </is>
      </c>
      <c r="B56" s="13">
        <f>ROUND(B52+B54, 2)</f>
        <v/>
      </c>
      <c r="C56" s="7" t="inlineStr">
        <is>
          <t>m²</t>
        </is>
      </c>
      <c r="D56" s="8" t="inlineStr">
        <is>
          <t>A = 450.00 + 108.00 = 558.00 m²</t>
        </is>
      </c>
    </row>
    <row r="57">
      <c r="A57" s="5">
        <f>"Τρέχοντα Μέτρα Ράβδων (" &amp; B20 &amp; "×" &amp; B21 &amp; " mm) σε 1 m²"</f>
        <v/>
      </c>
      <c r="B57" s="11">
        <f>(1000/B20)+(1000/B21)</f>
        <v/>
      </c>
      <c r="C57" s="7" t="inlineStr">
        <is>
          <t>m / m²</t>
        </is>
      </c>
      <c r="D57" s="8">
        <f>"1000/" &amp; B20 &amp; " + 1000/" &amp; B21 &amp; " m/m²"</f>
        <v/>
      </c>
    </row>
    <row r="58">
      <c r="A58" s="5">
        <f>"Θεωρητικό Βάρος Ράβδου Y" &amp; B19 &amp; " ανά Μέτρο"</f>
        <v/>
      </c>
      <c r="B58" s="11">
        <f>(PI()*((B19/1000)^2)/4)*7850</f>
        <v/>
      </c>
      <c r="C58" s="7" t="inlineStr">
        <is>
          <t>kg / m</t>
        </is>
      </c>
      <c r="D58" s="8">
        <f>"π * (" &amp; B19 &amp; "/1000)² / 4 * 7850"</f>
        <v/>
      </c>
    </row>
    <row r="59">
      <c r="A59" s="5" t="inlineStr">
        <is>
          <t>Υπολογιστικό Βάρος Σχάρας ανά m²</t>
        </is>
      </c>
      <c r="B59" s="11">
        <f>ROUND(B57*B58, 3)</f>
        <v/>
      </c>
      <c r="C59" s="7" t="inlineStr">
        <is>
          <t>kg / m²</t>
        </is>
      </c>
      <c r="D59" s="8" t="inlineStr">
        <is>
          <t>Μέτρα ανά m² × Βάρος ανά μέτρο</t>
        </is>
      </c>
    </row>
    <row r="60">
      <c r="A60" s="5">
        <f>"ΣΥΝΟΛΙΚΟ ΒΑΡΟΣ ΧΑΛΥΒΑ ΣΧΑΡΩΝ (Y" &amp; B19 &amp; ") ΕΡΓΟΥ"</f>
        <v/>
      </c>
      <c r="B60" s="13">
        <f>ROUND(B56*B59, 2)</f>
        <v/>
      </c>
      <c r="C60" s="7" t="inlineStr">
        <is>
          <t>kg</t>
        </is>
      </c>
      <c r="D60" s="8" t="inlineStr">
        <is>
          <t>Εμβαδόν A × Υπολογιστικό βάρος σχάρας/m²</t>
        </is>
      </c>
    </row>
    <row r="62">
      <c r="A62" s="4" t="inlineStr">
        <is>
          <t>Β.3 Υπολογισμοί Εκτοξευόμενου Σκυροδέματος (Shotcrete) — ΧΩΡΙΣ ΑΠΩΛΕΙΑ ΣΤΑ ΚΥΒΙΚΑ</t>
        </is>
      </c>
      <c r="B62" t="inlineStr"/>
      <c r="C62" t="inlineStr"/>
      <c r="D62" t="inlineStr"/>
    </row>
    <row r="63">
      <c r="A63" s="5" t="inlineStr">
        <is>
          <t>Ονομαστικό Πάχος Σκυροδέματος Μελέτης</t>
        </is>
      </c>
      <c r="B63" s="11">
        <f>B25</f>
        <v/>
      </c>
      <c r="C63" s="7" t="inlineStr">
        <is>
          <t>m</t>
        </is>
      </c>
      <c r="D63" s="8" t="inlineStr">
        <is>
          <t>150 mm ονομαστικό πάχος μελέτης</t>
        </is>
      </c>
    </row>
    <row r="64">
      <c r="A64" s="5" t="inlineStr">
        <is>
          <t>Ποσοστό Απώλειας επί του Ονομαστικού Πάχους</t>
        </is>
      </c>
      <c r="B64" s="14">
        <f>B26/B25</f>
        <v/>
      </c>
      <c r="C64" s="7" t="inlineStr">
        <is>
          <t>%</t>
        </is>
      </c>
      <c r="D64" s="8">
        <f>"Απώλεια " &amp; B26 &amp; "m / Ονομαστικό " &amp; B25 &amp; "m = +33.33% (χρεώνεται στα €/m³)"</f>
        <v/>
      </c>
    </row>
    <row r="65">
      <c r="A65" s="5">
        <f>"ΣΥΝΟΛΙΚΟΣ ΟΓΚΟΣ SHOTCRETE (" &amp; B24 &amp; ") ΕΡΓΟΥ (ΟΝΟΜΑΣΤΙΚΟΣ)"</f>
        <v/>
      </c>
      <c r="B65" s="13">
        <f>ROUND(B56*B25, 2)</f>
        <v/>
      </c>
      <c r="C65" s="7" t="inlineStr">
        <is>
          <t>m³</t>
        </is>
      </c>
      <c r="D65" s="8">
        <f>"Εμβαδόν " &amp; B56 &amp; " m² × " &amp; B25 &amp; " m ονομαστικό πάχος (η απώλεια χρεώνεται στα €)"</f>
        <v/>
      </c>
    </row>
    <row r="67">
      <c r="A67" s="4" t="inlineStr">
        <is>
          <t>Β.4 Υπολογισμοί Εδαφοηλώσεων (Ήλοι, Μέτρα, Grout, Σίδηρο, Πλάκες &amp; Nuts)</t>
        </is>
      </c>
      <c r="B67" t="inlineStr"/>
      <c r="C67" t="inlineStr"/>
      <c r="D67" t="inlineStr"/>
    </row>
    <row r="68">
      <c r="A68" s="5" t="inlineStr">
        <is>
          <t>Ζώνη Α: Πλήθος Ήλων ανά Σειρά (Sh=1.1m)</t>
        </is>
      </c>
      <c r="B68" s="11">
        <f>ROUNDUP(B51/B31, 0)</f>
        <v/>
      </c>
      <c r="C68" s="7" t="inlineStr">
        <is>
          <t>τεμ. / σειρά</t>
        </is>
      </c>
      <c r="D68" s="8">
        <f>"Μήκος " &amp; B51 &amp; "m / Βήμα " &amp; B31 &amp; "m = 46 ήλοι"</f>
        <v/>
      </c>
    </row>
    <row r="69">
      <c r="A69" s="5" t="inlineStr">
        <is>
          <t>Ζώνη Α: Πλήθος Ήλων Σειρών 1, 2, 4 (3 σειρές)</t>
        </is>
      </c>
      <c r="B69" s="11">
        <f>B68*3</f>
        <v/>
      </c>
      <c r="C69" s="7" t="inlineStr">
        <is>
          <t>τεμ.</t>
        </is>
      </c>
      <c r="D69" s="8" t="inlineStr">
        <is>
          <t>3 σειρές × 46 = 138 ήλοι (L = 5.80m)</t>
        </is>
      </c>
    </row>
    <row r="70">
      <c r="A70" s="5" t="inlineStr">
        <is>
          <t>Ζώνη Α: Μέτρα Διάτρησης Σειρών 1, 2, 4 (L &lt; 6m)</t>
        </is>
      </c>
      <c r="B70" s="11">
        <f>B69*B30</f>
        <v/>
      </c>
      <c r="C70" s="7" t="inlineStr">
        <is>
          <t>m</t>
        </is>
      </c>
      <c r="D70" s="8">
        <f>"138 ήλοι × " &amp; B30 &amp; " m = 800.40 m"</f>
        <v/>
      </c>
    </row>
    <row r="71">
      <c r="A71" s="5" t="inlineStr">
        <is>
          <t>Ζώνη Α: Πλήθος Ήλων Σειράς 3 (1 σειρά)</t>
        </is>
      </c>
      <c r="B71" s="11">
        <f>B68*1</f>
        <v/>
      </c>
      <c r="C71" s="7" t="inlineStr">
        <is>
          <t>τεμ.</t>
        </is>
      </c>
      <c r="D71" s="8" t="inlineStr">
        <is>
          <t>1 σειρά × 46 = 46 ήλοι (L = 6.80m)</t>
        </is>
      </c>
    </row>
    <row r="72">
      <c r="A72" s="5" t="inlineStr">
        <is>
          <t>Ζώνη Α: Μέτρα Διάτρησης Σειράς 3 (L &gt;= 6m)</t>
        </is>
      </c>
      <c r="B72" s="11">
        <f>B71*B32</f>
        <v/>
      </c>
      <c r="C72" s="7" t="inlineStr">
        <is>
          <t>m</t>
        </is>
      </c>
      <c r="D72" s="8">
        <f>"46 ήλοι × " &amp; B32 &amp; " m = 312.80 m"</f>
        <v/>
      </c>
    </row>
    <row r="73">
      <c r="A73" s="5" t="inlineStr">
        <is>
          <t>Ζώνη Β: Πλήθος Ήλων ανά Σειρά (Sh=1.5m)</t>
        </is>
      </c>
      <c r="B73" s="11">
        <f>ROUNDUP(B53/B35, 0)</f>
        <v/>
      </c>
      <c r="C73" s="7" t="inlineStr">
        <is>
          <t>τεμ. / σειρά</t>
        </is>
      </c>
      <c r="D73" s="8">
        <f>"Μήκος " &amp; B53 &amp; "m / Βήμα " &amp; B35 &amp; "m = 18 ήλοι"</f>
        <v/>
      </c>
    </row>
    <row r="74">
      <c r="A74" s="5" t="inlineStr">
        <is>
          <t>Ζώνη Β: Πλήθος Ήλων Σειρών 1, 2 (2 σειρές)</t>
        </is>
      </c>
      <c r="B74" s="11">
        <f>B73*2</f>
        <v/>
      </c>
      <c r="C74" s="7" t="inlineStr">
        <is>
          <t>τεμ.</t>
        </is>
      </c>
      <c r="D74" s="8" t="inlineStr">
        <is>
          <t>2 σειρές × 18 = 36 ήλοι (L = 4.20m)</t>
        </is>
      </c>
    </row>
    <row r="75">
      <c r="A75" s="5" t="inlineStr">
        <is>
          <t>Ζώνη Β: Μέτρα Διάτρησης Σειρών 1, 2 (L &lt; 6m)</t>
        </is>
      </c>
      <c r="B75" s="11">
        <f>B74*B34</f>
        <v/>
      </c>
      <c r="C75" s="7" t="inlineStr">
        <is>
          <t>m</t>
        </is>
      </c>
      <c r="D75" s="8">
        <f>"36 ήλοι × " &amp; B34 &amp; " m = 151.20 m"</f>
        <v/>
      </c>
    </row>
    <row r="76">
      <c r="A76" s="5" t="inlineStr">
        <is>
          <t>ΣΥΝΟΛΙΚΟ ΠΛΗΘΟΣ ΕΔΑΦΟΗΛΩΣΕΩΝ ΕΡΓΟΥ</t>
        </is>
      </c>
      <c r="B76" s="13">
        <f>B69+B71+B74</f>
        <v/>
      </c>
      <c r="C76" s="7" t="inlineStr">
        <is>
          <t>τεμ.</t>
        </is>
      </c>
      <c r="D76" s="8" t="inlineStr">
        <is>
          <t>138 + 46 + 36 = 220 εδαφοηλώσεις</t>
        </is>
      </c>
    </row>
    <row r="77">
      <c r="A77" s="5" t="inlineStr">
        <is>
          <t>ΣΥΝΟΛΙΚΑ ΜΕΤΡΑ ΔΙΑΤΡΗΣΗΣ ΕΡΓΟΥ</t>
        </is>
      </c>
      <c r="B77" s="13">
        <f>B70+B72+B75</f>
        <v/>
      </c>
      <c r="C77" s="7" t="inlineStr">
        <is>
          <t>m</t>
        </is>
      </c>
      <c r="D77" s="8" t="inlineStr">
        <is>
          <t>800.40 + 312.80 + 151.20 = 1,264.40 m διάτρησης</t>
        </is>
      </c>
    </row>
    <row r="78">
      <c r="A78" s="5" t="inlineStr">
        <is>
          <t>Μέτρα Διάτρησης Ήλων L &gt;= 6.0m</t>
        </is>
      </c>
      <c r="B78" s="11">
        <f>B72</f>
        <v/>
      </c>
      <c r="C78" s="7" t="inlineStr">
        <is>
          <t>m</t>
        </is>
      </c>
      <c r="D78" s="8" t="inlineStr">
        <is>
          <t>312.80 m (Σειρά 3 Ζώνης Α @ 25 €/m)</t>
        </is>
      </c>
    </row>
    <row r="79">
      <c r="A79" s="5" t="inlineStr">
        <is>
          <t>Μέτρα Διάτρησης Ήλων L &lt; 6.0m</t>
        </is>
      </c>
      <c r="B79" s="11">
        <f>B70+B75</f>
        <v/>
      </c>
      <c r="C79" s="7" t="inlineStr">
        <is>
          <t>m</t>
        </is>
      </c>
      <c r="D79" s="8" t="inlineStr">
        <is>
          <t>800.40 + 151.20 = 951.60 m (@ 30 €/m)</t>
        </is>
      </c>
    </row>
    <row r="80">
      <c r="A80" s="5">
        <f>"Θεωρητικό Βάρος Ράβδου Y" &amp; B29 &amp; " ανά Μέτρο"</f>
        <v/>
      </c>
      <c r="B80" s="11">
        <f>(PI()*((B29/1000)^2)/4)*7850</f>
        <v/>
      </c>
      <c r="C80" s="7" t="inlineStr">
        <is>
          <t>kg / m</t>
        </is>
      </c>
      <c r="D80" s="8">
        <f>"π * (" &amp; B29 &amp; "/1000)² / 4 * 7850"</f>
        <v/>
      </c>
    </row>
    <row r="81">
      <c r="A81" s="5">
        <f>"ΣΥΝΟΛΙΚΟ ΒΑΡΟΣ ΧΑΛΥΒΑ ΗΛΩΝ (Y" &amp; B29 &amp; ") ΕΡΓΟΥ"</f>
        <v/>
      </c>
      <c r="B81" s="13">
        <f>ROUND(B77*B80, 2)</f>
        <v/>
      </c>
      <c r="C81" s="7" t="inlineStr">
        <is>
          <t>kg</t>
        </is>
      </c>
      <c r="D81" s="8" t="inlineStr">
        <is>
          <t>Συνολικά μέτρα × Βάρος/m</t>
        </is>
      </c>
    </row>
    <row r="82">
      <c r="A82" s="5" t="inlineStr">
        <is>
          <t>Όγκος Grout ανά Τρέχον Μέτρο Διάτρησης</t>
        </is>
      </c>
      <c r="B82" s="11">
        <f>PI()*((B36/2)^2)*B37</f>
        <v/>
      </c>
      <c r="C82" s="7" t="inlineStr">
        <is>
          <t>m³ / m</t>
        </is>
      </c>
      <c r="D82" s="8" t="inlineStr">
        <is>
          <t>π * (0.06)² * 1.20 = 0.013572 m³/m</t>
        </is>
      </c>
    </row>
    <row r="83">
      <c r="A83" s="5" t="inlineStr">
        <is>
          <t>ΣΥΝΟΛΙΚΟΣ ΟΓΚΟΣ GROUT ΕΡΓΟΥ</t>
        </is>
      </c>
      <c r="B83" s="13">
        <f>ROUND(B77*B82, 2)</f>
        <v/>
      </c>
      <c r="C83" s="7" t="inlineStr">
        <is>
          <t>m³</t>
        </is>
      </c>
      <c r="D83" s="8">
        <f>"Μέτρα " &amp; B77 &amp; " m × " &amp; TEXT(B82, "0.0000") &amp; " m³/m"</f>
        <v/>
      </c>
    </row>
    <row r="84">
      <c r="A84" s="5" t="inlineStr">
        <is>
          <t>Ζώνη Α: Βάρος ανά Πλάκα Έδρασης (300×300×15mm)</t>
        </is>
      </c>
      <c r="B84" s="11">
        <f>ROUND((B38/1000)*(B38/1000)*(B39/1000)*7850, 3)</f>
        <v/>
      </c>
      <c r="C84" s="7" t="inlineStr">
        <is>
          <t>kg / τεμ.</t>
        </is>
      </c>
      <c r="D84" s="8" t="inlineStr">
        <is>
          <t>0.30 × 0.30 × 0.015 × 7850 = 10.598 kg</t>
        </is>
      </c>
    </row>
    <row r="85">
      <c r="A85" s="5" t="inlineStr">
        <is>
          <t>Ζώνη Α: Συνολικό Βάρος Πλακών Έδρασης (184 τεμ)</t>
        </is>
      </c>
      <c r="B85" s="11">
        <f>ROUND((B69+B71)*B84, 2)</f>
        <v/>
      </c>
      <c r="C85" s="7" t="inlineStr">
        <is>
          <t>kg</t>
        </is>
      </c>
      <c r="D85" s="8" t="inlineStr">
        <is>
          <t>184 πλάκες × 10.598 kg = 1,949.94 kg</t>
        </is>
      </c>
    </row>
    <row r="86">
      <c r="A86" s="5" t="inlineStr">
        <is>
          <t>Ζώνη Β: Βάρος ανά Πλάκα Έδρασης (200×200×15mm)</t>
        </is>
      </c>
      <c r="B86" s="11">
        <f>ROUND((B40/1000)*(B40/1000)*(B41/1000)*7850, 3)</f>
        <v/>
      </c>
      <c r="C86" s="7" t="inlineStr">
        <is>
          <t>kg / τεμ.</t>
        </is>
      </c>
      <c r="D86" s="8" t="inlineStr">
        <is>
          <t>0.20 × 0.20 × 0.015 × 7850 = 4.710 kg</t>
        </is>
      </c>
    </row>
    <row r="87">
      <c r="A87" s="5" t="inlineStr">
        <is>
          <t>Ζώνη Β: Συνολικό Βάρος Πλακών Έδρασης (36 τεμ)</t>
        </is>
      </c>
      <c r="B87" s="11">
        <f>ROUND(B74*B86, 2)</f>
        <v/>
      </c>
      <c r="C87" s="7" t="inlineStr">
        <is>
          <t>kg</t>
        </is>
      </c>
      <c r="D87" s="8" t="inlineStr">
        <is>
          <t>36 πλάκες × 4.710 kg = 169.56 kg</t>
        </is>
      </c>
    </row>
    <row r="88">
      <c r="A88" s="5" t="inlineStr">
        <is>
          <t>ΣΥΝΟΛΙΚΟ ΒΑΡΟΣ ΠΛΑΚΩΝ ΕΔΡΑΣΗΣ ΕΡΓΟΥ</t>
        </is>
      </c>
      <c r="B88" s="13">
        <f>ROUND(B85+B87, 2)</f>
        <v/>
      </c>
      <c r="C88" s="7" t="inlineStr">
        <is>
          <t>kg</t>
        </is>
      </c>
      <c r="D88" s="8" t="inlineStr">
        <is>
          <t>1,949.94 + 169.56 = 2,119.50 kg</t>
        </is>
      </c>
    </row>
    <row r="89">
      <c r="A89" s="5" t="inlineStr">
        <is>
          <t>ΣΥΝΟΛΙΚΟ ΠΛΗΘΟΣ NUTS &amp; ΡΟΔΕΛΩΝ ΕΡΓΟΥ</t>
        </is>
      </c>
      <c r="B89" s="13">
        <f>B76*B42</f>
        <v/>
      </c>
      <c r="C89" s="7" t="inlineStr">
        <is>
          <t>τεμ.</t>
        </is>
      </c>
      <c r="D89" s="8" t="inlineStr">
        <is>
          <t>220 ήλοι × 1 nut = 220 σετ nuts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4" customWidth="1" min="3" max="3"/>
    <col width="22" customWidth="1" min="4" max="4"/>
    <col width="18" customWidth="1" min="5" max="5"/>
    <col width="45" customWidth="1" min="6" max="6"/>
    <col width="30" customWidth="1" min="7" max="7"/>
  </cols>
  <sheetData>
    <row r="1">
      <c r="A1" s="1" t="inlineStr">
        <is>
          <t>ΕΡΓΟ: ST788 LEXUM — ΠΡΟΫΠΟΛΟΓΙΣΜΟΣ ΚΟΣΤΟΥΣ &amp; VALUE ENGINEERING</t>
        </is>
      </c>
    </row>
    <row r="2">
      <c r="A2" s="2" t="inlineStr">
        <is>
          <t>ΑΥΣΤΗΡΟ ΜΟΝΤΕΛΟ 4 ΠΥΛΩΝΩΝ ΚΟΣΤΟΥΣ (ΜΕΤΑΚΙΝΗΣΕΙΣ, ΣΧΑΡΕΣ, SHOTCRETE, ΕΔΑΦΟΗΛΩΣΕΙΣ) — ΤΙΜΟΚΑΤΑΛΟΓΟΣ ΕΤΑΙΡΕΙΑΣ v5</t>
        </is>
      </c>
    </row>
    <row r="4">
      <c r="A4" s="15" t="inlineStr">
        <is>
          <t>Περιγραφή Εργασίας / Υλικού</t>
        </is>
      </c>
      <c r="B4" s="16" t="inlineStr">
        <is>
          <t>Ποσότητα</t>
        </is>
      </c>
      <c r="C4" s="16" t="inlineStr">
        <is>
          <t>Μονάδα</t>
        </is>
      </c>
      <c r="D4" s="16" t="inlineStr">
        <is>
          <t>Τιμή Μονάδας (€)</t>
        </is>
      </c>
      <c r="E4" s="16" t="inlineStr">
        <is>
          <t>Συνολικό Κόστος (€)</t>
        </is>
      </c>
      <c r="F4" s="15" t="inlineStr">
        <is>
          <t>Μαθηματικός Τύπος &amp; Επεξήγηση</t>
        </is>
      </c>
    </row>
    <row r="5">
      <c r="A5" s="17" t="inlineStr">
        <is>
          <t>ΠΥΛΩΝΑΣ 1: ΜΕΤΑΚΙΝΗΣΕΙΣ ΕΡΓΟΤΑΞΙΟΥ (ΣΤΡΑΤΕΣ — ΖΩΝΗ 1: 0–50 km)</t>
        </is>
      </c>
      <c r="B5" t="inlineStr"/>
      <c r="C5" t="inlineStr"/>
      <c r="D5" t="inlineStr"/>
      <c r="E5" t="inlineStr"/>
      <c r="F5" t="inlineStr"/>
    </row>
    <row r="6">
      <c r="A6" s="18" t="inlineStr">
        <is>
          <t>Στράτες Εκτοξευόμενου Σκυροδέματος (Shotcrete)</t>
        </is>
      </c>
      <c r="B6" s="19">
        <f>'1_Στοιχεία_Μελέτης_&amp;_Ποσότητες'!B47</f>
        <v/>
      </c>
      <c r="C6" s="7" t="inlineStr">
        <is>
          <t>στράτες</t>
        </is>
      </c>
      <c r="D6" s="20" t="n">
        <v>200</v>
      </c>
      <c r="E6" s="21">
        <f>B6*D6</f>
        <v/>
      </c>
      <c r="F6" s="22">
        <f>"Από Φύλλο 1 (" &amp; B6 &amp; " στράτες = Σειρές+1) × 200.00 €/στράτα"</f>
        <v/>
      </c>
    </row>
    <row r="7">
      <c r="A7" s="18" t="inlineStr">
        <is>
          <t>Στράτες Εδαφοηλώσεων &amp; Εξοπλισμού Διάτρησης</t>
        </is>
      </c>
      <c r="B7" s="19">
        <f>'1_Στοιχεία_Μελέτης_&amp;_Ποσότητες'!B48</f>
        <v/>
      </c>
      <c r="C7" s="7" t="inlineStr">
        <is>
          <t>στράτες</t>
        </is>
      </c>
      <c r="D7" s="20" t="n">
        <v>300</v>
      </c>
      <c r="E7" s="21">
        <f>B7*D7</f>
        <v/>
      </c>
      <c r="F7" s="22">
        <f>"Από Φύλλο 1 (" &amp; B7 &amp; " στράτες = Σειρές) × 300.00 €/στράτα"</f>
        <v/>
      </c>
    </row>
    <row r="8">
      <c r="A8" s="23" t="inlineStr">
        <is>
          <t>ΣΥΝΟΛΟ ΠΥΛΩΝΑ 1 (ΜΕΤΑΚΙΝΗΣΕΙΣ)</t>
        </is>
      </c>
      <c r="B8" t="inlineStr"/>
      <c r="C8" t="inlineStr"/>
      <c r="D8" t="inlineStr"/>
      <c r="E8" s="24">
        <f>SUM(E6:E7)</f>
        <v/>
      </c>
      <c r="F8" t="inlineStr"/>
    </row>
    <row r="10">
      <c r="A10" s="17" t="inlineStr">
        <is>
          <t>ΠΥΛΩΝΑΣ 2: ΣΧΑΡΕΣ (WIRE MESH GRID)</t>
        </is>
      </c>
      <c r="B10" t="inlineStr"/>
      <c r="C10" t="inlineStr"/>
      <c r="D10" t="inlineStr"/>
      <c r="E10" t="inlineStr"/>
      <c r="F10" t="inlineStr"/>
    </row>
    <row r="11">
      <c r="A11" s="18">
        <f>"Αγορά Χάλυβα Σχάρας (Y" &amp; '1_Στοιχεία_Μελέτης_&amp;_Ποσότητες'!B19 &amp; " " &amp; '1_Στοιχεία_Μελέτης_&amp;_Ποσότητες'!B18 &amp; ")"</f>
        <v/>
      </c>
      <c r="B11" s="19">
        <f>'1_Στοιχεία_Μελέτης_&amp;_Ποσότητες'!B60</f>
        <v/>
      </c>
      <c r="C11" s="7" t="inlineStr">
        <is>
          <t>kg</t>
        </is>
      </c>
      <c r="D11" s="20" t="n">
        <v>2.5</v>
      </c>
      <c r="E11" s="21">
        <f>B11*D11</f>
        <v/>
      </c>
      <c r="F11" s="22">
        <f>"Από Φύλλο 1 (" &amp; TEXT(B11, "#,##0.00") &amp; " kg) × 2.50 €/kg"</f>
        <v/>
      </c>
    </row>
    <row r="12">
      <c r="A12" s="18" t="inlineStr">
        <is>
          <t>Τοποθέτηση Σχάρας / Εργατικά Μετώπου</t>
        </is>
      </c>
      <c r="B12" s="19">
        <f>'1_Στοιχεία_Μελέτης_&amp;_Ποσότητες'!B56</f>
        <v/>
      </c>
      <c r="C12" s="7" t="inlineStr">
        <is>
          <t>m²</t>
        </is>
      </c>
      <c r="D12" s="20" t="n">
        <v>15</v>
      </c>
      <c r="E12" s="21">
        <f>B12*D12</f>
        <v/>
      </c>
      <c r="F12" s="22">
        <f>"Από Φύλλο 1 (" &amp; TEXT(B12, "#,##0.00") &amp; " m²) × 15.00 €/m²"</f>
        <v/>
      </c>
    </row>
    <row r="13">
      <c r="A13" s="23" t="inlineStr">
        <is>
          <t>ΣΥΝΟΛΟ ΠΥΛΩΝΑ 2 (ΣΧΑΡΕΣ)</t>
        </is>
      </c>
      <c r="B13" t="inlineStr"/>
      <c r="C13" t="inlineStr"/>
      <c r="D13" t="inlineStr"/>
      <c r="E13" s="24">
        <f>SUM(E11:E12)</f>
        <v/>
      </c>
      <c r="F13" t="inlineStr"/>
    </row>
    <row r="15">
      <c r="A15" s="17" t="inlineStr">
        <is>
          <t>ΠΥΛΩΝΑΣ 3: ΕΚΤΟΞΕΥΟΜΕΝΟ ΣΚΥΡΟΔΕΜΑ (SHOTCRETE) — ΟΝΟΜΑΣΤΙΚΑ m³ ΧΩΡΙΣ ΑΠΩΛΕΙΑ</t>
        </is>
      </c>
      <c r="B15" t="inlineStr"/>
      <c r="C15" t="inlineStr"/>
      <c r="D15" t="inlineStr"/>
      <c r="E15" t="inlineStr"/>
      <c r="F15" t="inlineStr"/>
    </row>
    <row r="16">
      <c r="A16" s="18">
        <f>"Αγορά Σκυροδέματος Shotcrete (" &amp; '1_Στοιχεία_Μελέτης_&amp;_Ποσότητες'!B24 &amp; ")"</f>
        <v/>
      </c>
      <c r="B16" s="19">
        <f>'1_Στοιχεία_Μελέτης_&amp;_Ποσότητες'!B65</f>
        <v/>
      </c>
      <c r="C16" s="7" t="inlineStr">
        <is>
          <t>m³</t>
        </is>
      </c>
      <c r="D16" s="20" t="n">
        <v>90</v>
      </c>
      <c r="E16" s="21">
        <f>B16*D16</f>
        <v/>
      </c>
      <c r="F16" s="22" t="inlineStr">
        <is>
          <t>Σταθερή τιμή αγοράς κουγκριού C30/37 (90 €/m³)</t>
        </is>
      </c>
    </row>
    <row r="17">
      <c r="A17" s="18" t="inlineStr">
        <is>
          <t>Τοποθέτηση / Εκτόξευση / Αντλία (με προσαύξηση απώλειας)</t>
        </is>
      </c>
      <c r="B17" s="19">
        <f>'1_Στοιχεία_Μελέτης_&amp;_Ποσότητες'!B65</f>
        <v/>
      </c>
      <c r="C17" s="7" t="inlineStr">
        <is>
          <t>m³</t>
        </is>
      </c>
      <c r="D17" s="20">
        <f>ROUND((IF(B16&gt;7, 200, 250)*(1+'1_Στοιχεία_Μελέτης_&amp;_Ποσότητες'!B64))-90, 2)</f>
        <v/>
      </c>
      <c r="E17" s="21">
        <f>B17*D17</f>
        <v/>
      </c>
      <c r="F17" s="22">
        <f>"Βάση " &amp; IF(B16&gt;7,200,250) &amp; "€ × (1+" &amp; TEXT('1_Στοιχεία_Μελέτης_&amp;_Ποσότητες'!B64, "0.0%") &amp; " απώλεια) - 90€ αγορά"</f>
        <v/>
      </c>
    </row>
    <row r="18">
      <c r="A18" s="23" t="inlineStr">
        <is>
          <t>ΣΥΝΟΛΟ ΠΥΛΩΝΑ 3 (SHOTCRETE)</t>
        </is>
      </c>
      <c r="B18" t="inlineStr"/>
      <c r="C18" t="inlineStr"/>
      <c r="D18" t="inlineStr"/>
      <c r="E18" s="24">
        <f>SUM(E16:E17)</f>
        <v/>
      </c>
      <c r="F18" t="inlineStr"/>
    </row>
    <row r="20">
      <c r="A20" s="17" t="inlineStr">
        <is>
          <t>ΠΥΛΩΝΑΣ 4: ΕΔΑΦΟΗΛΩΣΕΙΣ (SOIL NAILS)</t>
        </is>
      </c>
      <c r="B20" t="inlineStr"/>
      <c r="C20" t="inlineStr"/>
      <c r="D20" t="inlineStr"/>
      <c r="E20" t="inlineStr"/>
      <c r="F20" t="inlineStr"/>
    </row>
    <row r="21">
      <c r="A21" s="18" t="inlineStr">
        <is>
          <t>4.1a Διάτρηση / Τρύπημα (Ήλοι L &gt;= 6.0 m)</t>
        </is>
      </c>
      <c r="B21" s="19">
        <f>'1_Στοιχεία_Μελέτης_&amp;_Ποσότητες'!B78</f>
        <v/>
      </c>
      <c r="C21" s="7" t="inlineStr">
        <is>
          <t>m</t>
        </is>
      </c>
      <c r="D21" s="20" t="n">
        <v>25</v>
      </c>
      <c r="E21" s="21">
        <f>B21*D21</f>
        <v/>
      </c>
      <c r="F21" s="22">
        <f>"Από Φύλλο 1 (" &amp; TEXT(B21, "#,##0.00") &amp; " m) × 25.00 €/m"</f>
        <v/>
      </c>
    </row>
    <row r="22">
      <c r="A22" s="18" t="inlineStr">
        <is>
          <t>4.1b Διάτρηση / Τρύπημα (Ήλοι L &lt; 6.0 m)</t>
        </is>
      </c>
      <c r="B22" s="19">
        <f>'1_Στοιχεία_Μελέτης_&amp;_Ποσότητες'!B79</f>
        <v/>
      </c>
      <c r="C22" s="7" t="inlineStr">
        <is>
          <t>m</t>
        </is>
      </c>
      <c r="D22" s="20" t="n">
        <v>30</v>
      </c>
      <c r="E22" s="21">
        <f>B22*D22</f>
        <v/>
      </c>
      <c r="F22" s="22">
        <f>"Από Φύλλο 1 (" &amp; TEXT(B22, "#,##0.00") &amp; " m) × 30.00 €/m"</f>
        <v/>
      </c>
    </row>
    <row r="23">
      <c r="A23" s="18" t="inlineStr">
        <is>
          <t>4.2 Grout Τσιμεντένεμα (με απώλεια 1.20)</t>
        </is>
      </c>
      <c r="B23" s="19">
        <f>'1_Στοιχεία_Μελέτης_&amp;_Ποσότητες'!B83</f>
        <v/>
      </c>
      <c r="C23" s="7" t="inlineStr">
        <is>
          <t>m³</t>
        </is>
      </c>
      <c r="D23" s="20" t="n">
        <v>500</v>
      </c>
      <c r="E23" s="21">
        <f>B23*D23</f>
        <v/>
      </c>
      <c r="F23" s="22">
        <f>"Από Φύλλο 1 (" &amp; TEXT(B23, "#,##0.00") &amp; " m³) × 500.00 €/m³"</f>
        <v/>
      </c>
    </row>
    <row r="24">
      <c r="A24" s="18">
        <f>"4.3 Χάλυβας Ήλων B500C (Y" &amp; '1_Στοιχεία_Μελέτης_&amp;_Ποσότητες'!B29 &amp; ")"</f>
        <v/>
      </c>
      <c r="B24" s="19">
        <f>'1_Στοιχεία_Μελέτης_&amp;_Ποσότητες'!B81</f>
        <v/>
      </c>
      <c r="C24" s="7" t="inlineStr">
        <is>
          <t>kg</t>
        </is>
      </c>
      <c r="D24" s="20" t="n">
        <v>1.5</v>
      </c>
      <c r="E24" s="21">
        <f>B24*D24</f>
        <v/>
      </c>
      <c r="F24" s="22">
        <f>"Από Φύλλο 1 (" &amp; TEXT(B24, "#,##0.00") &amp; " kg) × 1.50 €/kg"</f>
        <v/>
      </c>
    </row>
    <row r="25">
      <c r="A25" s="18" t="inlineStr">
        <is>
          <t>4.4 Διαμόρφωση Πάσου (Σπείρωμα Κεφαλής)</t>
        </is>
      </c>
      <c r="B25" s="19">
        <f>'1_Στοιχεία_Μελέτης_&amp;_Ποσότητες'!B76</f>
        <v/>
      </c>
      <c r="C25" s="7" t="inlineStr">
        <is>
          <t>τεμ.</t>
        </is>
      </c>
      <c r="D25" s="20" t="n">
        <v>20</v>
      </c>
      <c r="E25" s="21">
        <f>B25*D25</f>
        <v/>
      </c>
      <c r="F25" s="22">
        <f>"Από Φύλλο 1 (" &amp; TEXT(B25, "#,##0") &amp; " ήλοι) × 20.00 €/τεμ"</f>
        <v/>
      </c>
    </row>
    <row r="26">
      <c r="A26" s="18" t="inlineStr">
        <is>
          <t>4.5 Πλάκες Έδρασης (S275, 15mm πάχος)</t>
        </is>
      </c>
      <c r="B26" s="19">
        <f>'1_Στοιχεία_Μελέτης_&amp;_Ποσότητες'!B88</f>
        <v/>
      </c>
      <c r="C26" s="7" t="inlineStr">
        <is>
          <t>kg</t>
        </is>
      </c>
      <c r="D26" s="20" t="n">
        <v>2</v>
      </c>
      <c r="E26" s="21">
        <f>B26*D26</f>
        <v/>
      </c>
      <c r="F26" s="22">
        <f>"Από Φύλλο 1 (" &amp; TEXT(B26, "#,##0.00") &amp; " kg) × 2.00 €/kg"</f>
        <v/>
      </c>
    </row>
    <row r="27">
      <c r="A27" s="18" t="inlineStr">
        <is>
          <t>4.6 Nuts (Περικόχλια) &amp; Ροδέλες</t>
        </is>
      </c>
      <c r="B27" s="19">
        <f>'1_Στοιχεία_Μελέτης_&amp;_Ποσότητες'!B89</f>
        <v/>
      </c>
      <c r="C27" s="7" t="inlineStr">
        <is>
          <t>τεμ.</t>
        </is>
      </c>
      <c r="D27" s="20" t="n">
        <v>5</v>
      </c>
      <c r="E27" s="21">
        <f>B27*D27</f>
        <v/>
      </c>
      <c r="F27" s="22">
        <f>"Από Φύλλο 1 (" &amp; TEXT(B27, "#,##0") &amp; " nuts) × 5.00 €/τεμ"</f>
        <v/>
      </c>
    </row>
    <row r="28">
      <c r="A28" s="23" t="inlineStr">
        <is>
          <t>ΣΥΝΟΛΟ ΠΥΛΩΝΑ 4 (ΕΔΑΦΟΗΛΩΣΕΙΣ)</t>
        </is>
      </c>
      <c r="B28" t="inlineStr"/>
      <c r="C28" t="inlineStr"/>
      <c r="D28" t="inlineStr"/>
      <c r="E28" s="24">
        <f>SUM(E21:E27)</f>
        <v/>
      </c>
      <c r="F28" t="inlineStr"/>
    </row>
    <row r="30">
      <c r="A30" s="17" t="inlineStr">
        <is>
          <t>ΤΕΛΙΚΑ ΣΥΝΟΛΑ ΠΡΟΣΦΟΡΑΣ &amp; ΕΠΙΒΑΡΥΝΣΕΙΣ ΜΑΣΤΡΟΥ [Χ %]</t>
        </is>
      </c>
      <c r="B30" t="inlineStr"/>
      <c r="C30" t="inlineStr"/>
      <c r="D30" t="inlineStr"/>
      <c r="E30" t="inlineStr"/>
      <c r="F30" t="inlineStr"/>
    </row>
    <row r="31">
      <c r="A31" s="5" t="inlineStr">
        <is>
          <t>ΑΜΕΣΟ ΚΟΣΤΟΣ ΕΡΓΟΥ (ΑΘΡΟΙΣΜΑ 4 ΠΥΛΩΝΩΝ)</t>
        </is>
      </c>
      <c r="B31" t="inlineStr"/>
      <c r="C31" t="inlineStr"/>
      <c r="D31" t="inlineStr"/>
      <c r="E31" s="21">
        <f>E8+E13+E18+E28</f>
        <v/>
      </c>
      <c r="F31" s="22" t="inlineStr">
        <is>
          <t>Άμεσο κόστος εργασιών &amp; υλικών</t>
        </is>
      </c>
    </row>
    <row r="32">
      <c r="A32" s="5" t="inlineStr">
        <is>
          <t>Γενικά Έξοδα &amp; Απρόβλεπτα [Χ %]</t>
        </is>
      </c>
      <c r="B32" t="inlineStr"/>
      <c r="C32" t="inlineStr"/>
      <c r="D32" s="25" t="n">
        <v>0.1</v>
      </c>
      <c r="E32" s="21">
        <f>ROUND(E31*D32, 2)</f>
        <v/>
      </c>
      <c r="F32" s="22" t="inlineStr">
        <is>
          <t>Πράσινο κελί D32: Συμπληρώνει ο Μάστρος το % που θέλει</t>
        </is>
      </c>
    </row>
    <row r="33">
      <c r="A33" s="5" t="inlineStr">
        <is>
          <t>Όφελος / Κέρδος Εργολάβου [Χ %]</t>
        </is>
      </c>
      <c r="B33" t="inlineStr"/>
      <c r="C33" t="inlineStr"/>
      <c r="D33" s="25" t="n">
        <v>0.15</v>
      </c>
      <c r="E33" s="21">
        <f>ROUND(E31*D33, 2)</f>
        <v/>
      </c>
      <c r="F33" s="22" t="inlineStr">
        <is>
          <t>Πράσινο κελί D33: Συμπληρώνει ο Μάστρος το % που θέλει</t>
        </is>
      </c>
    </row>
    <row r="34">
      <c r="A34" s="26" t="inlineStr">
        <is>
          <t>ΚΑΘΑΡΟ ΣΥΝΟΛΟ ΠΡΟΣΦΟΡΑΣ (ΠΡΟ Φ.Π.Α.)</t>
        </is>
      </c>
      <c r="B34" t="inlineStr"/>
      <c r="C34" t="inlineStr"/>
      <c r="D34" t="inlineStr"/>
      <c r="E34" s="27">
        <f>E31+E32+E33</f>
        <v/>
      </c>
      <c r="F34" s="22" t="inlineStr">
        <is>
          <t>Καθαρή αξία προσφοράς προς ανάδοχο</t>
        </is>
      </c>
    </row>
    <row r="35">
      <c r="A35" s="5" t="inlineStr">
        <is>
          <t>Φ.Π.Α. (19%)</t>
        </is>
      </c>
      <c r="B35" t="inlineStr"/>
      <c r="C35" t="inlineStr"/>
      <c r="D35" t="inlineStr"/>
      <c r="E35" s="21">
        <f>ROUND(E34*0.19, 2)</f>
        <v/>
      </c>
      <c r="F35" s="22" t="inlineStr">
        <is>
          <t>Νόμιμος Φ.Π.Α. Κύπρου (19%)</t>
        </is>
      </c>
    </row>
    <row r="36">
      <c r="A36" s="26" t="inlineStr">
        <is>
          <t>ΤΕΛΙΚΟ ΠΛΗΡΩΤΕΟ ΠΟΣΟ (ΜΕ Φ.Π.Α.)</t>
        </is>
      </c>
      <c r="B36" t="inlineStr"/>
      <c r="C36" t="inlineStr"/>
      <c r="D36" t="inlineStr"/>
      <c r="E36" s="27">
        <f>E34+E35</f>
        <v/>
      </c>
      <c r="F36" s="22" t="inlineStr">
        <is>
          <t>Τελικό πληρωτέο ποσό έργου</t>
        </is>
      </c>
    </row>
    <row r="37">
      <c r="A37" s="5" t="inlineStr">
        <is>
          <t>Γενικό KPI: Κόστος ανά m² Μετώπου Εκσκαφής</t>
        </is>
      </c>
      <c r="B37" t="inlineStr"/>
      <c r="C37" t="inlineStr"/>
      <c r="D37" t="inlineStr"/>
      <c r="E37" s="21">
        <f>ROUND(E34/'1_Στοιχεία_Μελέτης_&amp;_Ποσότητες'!B56, 2)</f>
        <v/>
      </c>
      <c r="F37" s="22">
        <f>"Καθαρό σύνολο / " &amp; '1_Στοιχεία_Μελέτης_&amp;_Ποσότητες'!B56 &amp; " m²"</f>
        <v/>
      </c>
    </row>
    <row r="38">
      <c r="A38" s="5" t="inlineStr">
        <is>
          <t>Γενικό KPI: Κόστος ανά Εδαφοήλωση</t>
        </is>
      </c>
      <c r="B38" t="inlineStr"/>
      <c r="C38" t="inlineStr"/>
      <c r="D38" t="inlineStr"/>
      <c r="E38" s="21">
        <f>ROUND(E34/'1_Στοιχεία_Μελέτης_&amp;_Ποσότητες'!B76, 2)</f>
        <v/>
      </c>
      <c r="F38" s="22">
        <f>"Καθαρό σύνολο / " &amp; '1_Στοιχεία_Μελέτης_&amp;_Ποσότητες'!B76 &amp; " ήλοι"</f>
        <v/>
      </c>
    </row>
    <row r="41">
      <c r="A41" s="17" t="inlineStr">
        <is>
          <t>5. ΣΥΓΚΡΙΤΙΚΗ ΑΝΑΛΥΣΗ ΔΙΑΤΑΞΕΩΝ / VALUE ENGINEERING (ΖΩΝΗ Α vs ΖΩΝΗ Β)</t>
        </is>
      </c>
    </row>
    <row r="42">
      <c r="A42" s="28" t="inlineStr">
        <is>
          <t>Εργαλείο Value Engineering για Μελετητές: Σύγκριση κόστους ανά τεμάχιο ήλου (€/τεμ), ανά μέτρο διάτρησης (€/m) και ανά m² μετώπου (€/m²)</t>
        </is>
      </c>
    </row>
    <row r="43">
      <c r="A43" s="29" t="inlineStr">
        <is>
          <t>Διάταξη / Ζώνη Ήλων</t>
        </is>
      </c>
      <c r="B43" s="29" t="inlineStr">
        <is>
          <t>Μέσο Μήκος (L)
[m]</t>
        </is>
      </c>
      <c r="C43" s="29" t="inlineStr">
        <is>
          <t>Βήμα (s)
[m]</t>
        </is>
      </c>
      <c r="D43" s="29" t="inlineStr">
        <is>
          <t>Άμεσο Κόστος
ανά Ήλο (€/τεμ)</t>
        </is>
      </c>
      <c r="E43" s="29" t="inlineStr">
        <is>
          <t>Κόστος ανά Τρέχον
Μέτρο (€/m)</t>
        </is>
      </c>
      <c r="F43" s="29" t="inlineStr">
        <is>
          <t>Κόστος Ήλων ανά
m² Μετώπου (€/m²)</t>
        </is>
      </c>
      <c r="G43" s="29" t="inlineStr">
        <is>
          <t>Συνολικό Σύστημα
ανά m² Μετώπου (€/m²)</t>
        </is>
      </c>
    </row>
    <row r="44">
      <c r="A44" s="30">
        <f>"Ζώνη Α (H=9.0m): L_μέσο=" &amp; TEXT(B44, "0.00") &amp; "m @ " &amp; '1_Στοιχεία_Μελέτης_&amp;_Ποσότητες'!B31 &amp; "m"</f>
        <v/>
      </c>
      <c r="B44" s="19">
        <f>('1_Στοιχεία_Μελέτης_&amp;_Ποσότητες'!B70+'1_Στοιχεία_Μελέτης_&amp;_Ποσότητες'!B72)/('1_Στοιχεία_Μελέτης_&amp;_Ποσότητες'!B69+'1_Στοιχεία_Μελέτης_&amp;_Ποσότητες'!B71)</f>
        <v/>
      </c>
      <c r="C44" s="19">
        <f>'1_Στοιχεία_Μελέτης_&amp;_Ποσότητες'!B31</f>
        <v/>
      </c>
      <c r="D44" s="20">
        <f>ROUND((('1_Στοιχεία_Μελέτης_&amp;_Ποσότητες'!B72*$D$21 + '1_Στοιχεία_Μελέτης_&amp;_Ποσότητες'!B70*$D$22)/('1_Στοιχεία_Μελέτης_&amp;_Ποσότητες'!B69+'1_Στοιχεία_Μελέτης_&amp;_Ποσότητες'!B71)) + (B44*'1_Στοιχεία_Μελέτης_&amp;_Ποσότητες'!$B$82*$D$23) + (B44*'1_Στοιχεία_Μελέτης_&amp;_Ποσότητες'!$B$80*$D$24) + $D$25 + ('1_Στοιχεία_Μελέτης_&amp;_Ποσότητες'!$B$84*$D$26) + $D$27, 2)</f>
        <v/>
      </c>
      <c r="E44" s="20">
        <f>ROUND(D44/B44, 2)</f>
        <v/>
      </c>
      <c r="F44" s="20">
        <f>ROUND((('1_Στοιχεία_Μελέτης_&amp;_Ποσότητες'!B69+'1_Στοιχεία_Μελέτης_&amp;_Ποσότητες'!B71)*D44)/'1_Στοιχεία_Μελέτης_&amp;_Ποσότητες'!B52, 2)</f>
        <v/>
      </c>
      <c r="G44" s="20">
        <f>ROUND(F44 + ($E$8+$E$13+$E$18)/'1_Στοιχεία_Μελέτης_&amp;_Ποσότητες'!B56, 2)</f>
        <v/>
      </c>
    </row>
    <row r="45">
      <c r="A45" s="30">
        <f>"Ζώνη Β (H=4.0m): L=" &amp; '1_Στοιχεία_Μελέτης_&amp;_Ποσότητες'!B34 &amp; "m @ " &amp; '1_Στοιχεία_Μελέτης_&amp;_Ποσότητες'!B35 &amp; "m"</f>
        <v/>
      </c>
      <c r="B45" s="19">
        <f>'1_Στοιχεία_Μελέτης_&amp;_Ποσότητες'!B34</f>
        <v/>
      </c>
      <c r="C45" s="19">
        <f>'1_Στοιχεία_Μελέτης_&amp;_Ποσότητες'!B35</f>
        <v/>
      </c>
      <c r="D45" s="20">
        <f>ROUND((B45*$D$22) + (B45*'1_Στοιχεία_Μελέτης_&amp;_Ποσότητες'!$B$82*$D$23) + (B45*'1_Στοιχεία_Μελέτης_&amp;_Ποσότητες'!$B$80*$D$24) + $D$25 + ('1_Στοιχεία_Μελέτης_&amp;_Ποσότητες'!$B$86*$D$26) + $D$27, 2)</f>
        <v/>
      </c>
      <c r="E45" s="20">
        <f>ROUND(D45/B45, 2)</f>
        <v/>
      </c>
      <c r="F45" s="20">
        <f>ROUND(('1_Στοιχεία_Μελέτης_&amp;_Ποσότητες'!B74*D45)/'1_Στοιχεία_Μελέτης_&amp;_Ποσότητες'!B54, 2)</f>
        <v/>
      </c>
      <c r="G45" s="20">
        <f>ROUND(F45 + ($E$8+$E$13+$E$18)/'1_Στοιχεία_Μελέτης_&amp;_Ποσότητες'!B56, 2)</f>
        <v/>
      </c>
    </row>
    <row r="46">
      <c r="A46" s="31" t="inlineStr">
        <is>
          <t>ΔΙΑΦΟΡΑ / ΕΞΟΙΚΟΝΟΜΗΣΗ (ΖΩΝΗ Α vs ΖΩΝΗ Β)</t>
        </is>
      </c>
      <c r="B46" s="32" t="n"/>
      <c r="C46" s="32" t="n"/>
      <c r="D46" s="33">
        <f>ROUND(D44-D45, 2)</f>
        <v/>
      </c>
      <c r="E46" s="33">
        <f>ROUND(E44-E45, 2)</f>
        <v/>
      </c>
      <c r="F46" s="33">
        <f>ROUND(F44-F45, 2)</f>
        <v/>
      </c>
      <c r="G46" s="33">
        <f>ROUND(G44-G45, 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2026-10-09T09:44:53Z</dcterms:created>
  <dcterms:modified xmlns:dcterms="http://purl.org/dc/terms/" xmlns:xsi="http://www.w3.org/2001/XMLSchema-instance" xsi:type="dcterms:W3CDTF">2026-10-09T09:44:53Z</dcterms:modified>
</cp:coreProperties>
</file>