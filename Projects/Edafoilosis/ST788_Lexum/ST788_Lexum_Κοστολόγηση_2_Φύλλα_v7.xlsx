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Projects\"/>
    </mc:Choice>
  </mc:AlternateContent>
  <xr:revisionPtr revIDLastSave="0" documentId="11_17B7A1D2A649D1EA27AD73E1EC232FA6F3B36426" xr6:coauthVersionLast="47" xr6:coauthVersionMax="47" xr10:uidLastSave="{00000000-0000-0000-0000-000000000000}"/>
  <bookViews>
    <workbookView xWindow="-110" yWindow="-110" windowWidth="25820" windowHeight="15500" firstSheet="1" activeTab="1" xr2:uid="{00000000-000D-0000-FFFF-FFFF00000000}"/>
  </bookViews>
  <sheets>
    <sheet name="1_Στοιχεία_Μελέτης_&amp;_Ποσότητες" sheetId="1" r:id="rId1"/>
    <sheet name="2_Υπολογισμοί_&amp;_Κοστολόγηση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4" i="2" l="1"/>
  <c r="B44" i="2"/>
  <c r="D44" i="2" s="1"/>
  <c r="E44" i="2" s="1"/>
  <c r="A44" i="2"/>
  <c r="C43" i="2"/>
  <c r="A24" i="2"/>
  <c r="A16" i="2"/>
  <c r="A11" i="2"/>
  <c r="B88" i="1"/>
  <c r="B86" i="1"/>
  <c r="B84" i="1"/>
  <c r="A83" i="1"/>
  <c r="D82" i="1"/>
  <c r="B82" i="1"/>
  <c r="A82" i="1"/>
  <c r="D77" i="1"/>
  <c r="D74" i="1"/>
  <c r="D72" i="1"/>
  <c r="A67" i="1"/>
  <c r="D66" i="1"/>
  <c r="B66" i="1"/>
  <c r="B65" i="1"/>
  <c r="A62" i="1"/>
  <c r="D60" i="1"/>
  <c r="B60" i="1"/>
  <c r="A60" i="1"/>
  <c r="D59" i="1"/>
  <c r="B59" i="1"/>
  <c r="B61" i="1" s="1"/>
  <c r="A59" i="1"/>
  <c r="B55" i="1"/>
  <c r="B53" i="1"/>
  <c r="B48" i="1"/>
  <c r="D75" i="1" l="1"/>
  <c r="B75" i="1"/>
  <c r="B76" i="1" s="1"/>
  <c r="B56" i="1"/>
  <c r="B54" i="1"/>
  <c r="B58" i="1" s="1"/>
  <c r="D70" i="1"/>
  <c r="B70" i="1"/>
  <c r="B57" i="1"/>
  <c r="B49" i="1"/>
  <c r="B6" i="2" s="1"/>
  <c r="B50" i="1"/>
  <c r="B7" i="2" s="1"/>
  <c r="B77" i="1" l="1"/>
  <c r="B89" i="1"/>
  <c r="F44" i="2"/>
  <c r="B67" i="1"/>
  <c r="D67" i="1"/>
  <c r="B62" i="1"/>
  <c r="B11" i="2" s="1"/>
  <c r="B12" i="2"/>
  <c r="F34" i="2"/>
  <c r="B71" i="1"/>
  <c r="B73" i="1"/>
  <c r="B74" i="1" s="1"/>
  <c r="E6" i="2"/>
  <c r="E8" i="2" s="1"/>
  <c r="F6" i="2"/>
  <c r="E7" i="2"/>
  <c r="F7" i="2"/>
  <c r="B16" i="2" l="1"/>
  <c r="B17" i="2"/>
  <c r="E11" i="2"/>
  <c r="F11" i="2"/>
  <c r="E12" i="2"/>
  <c r="F12" i="2"/>
  <c r="B72" i="1"/>
  <c r="B78" i="1"/>
  <c r="B87" i="1"/>
  <c r="B90" i="1" s="1"/>
  <c r="B26" i="2" s="1"/>
  <c r="B80" i="1"/>
  <c r="B21" i="2" s="1"/>
  <c r="E16" i="2" l="1"/>
  <c r="D17" i="2"/>
  <c r="E17" i="2" s="1"/>
  <c r="F17" i="2"/>
  <c r="B79" i="1"/>
  <c r="B81" i="1"/>
  <c r="B22" i="2" s="1"/>
  <c r="B43" i="2"/>
  <c r="B91" i="1"/>
  <c r="B27" i="2" s="1"/>
  <c r="B25" i="2"/>
  <c r="F35" i="2"/>
  <c r="E26" i="2"/>
  <c r="F26" i="2"/>
  <c r="E21" i="2"/>
  <c r="F21" i="2"/>
  <c r="E13" i="2"/>
  <c r="B83" i="1" l="1"/>
  <c r="B24" i="2" s="1"/>
  <c r="B85" i="1"/>
  <c r="B23" i="2" s="1"/>
  <c r="D85" i="1"/>
  <c r="E22" i="2"/>
  <c r="F22" i="2"/>
  <c r="D43" i="2"/>
  <c r="A43" i="2"/>
  <c r="E27" i="2"/>
  <c r="F27" i="2"/>
  <c r="E25" i="2"/>
  <c r="F25" i="2"/>
  <c r="E18" i="2"/>
  <c r="F24" i="2" l="1"/>
  <c r="E24" i="2"/>
  <c r="E23" i="2"/>
  <c r="E28" i="2" s="1"/>
  <c r="F23" i="2"/>
  <c r="E43" i="2"/>
  <c r="E45" i="2" s="1"/>
  <c r="D45" i="2"/>
  <c r="F43" i="2"/>
  <c r="E31" i="2"/>
  <c r="G44" i="2"/>
  <c r="F45" i="2" l="1"/>
  <c r="G43" i="2"/>
  <c r="G45" i="2" s="1"/>
  <c r="E33" i="2"/>
  <c r="E32" i="2"/>
  <c r="E34" i="2"/>
  <c r="E35" i="2"/>
</calcChain>
</file>

<file path=xl/sharedStrings.xml><?xml version="1.0" encoding="utf-8"?>
<sst xmlns="http://schemas.openxmlformats.org/spreadsheetml/2006/main" count="267" uniqueCount="199">
  <si>
    <t>ΕΡΓΟ: ST788 LEXUM — ΣΤΟΙΧΕΙΑ ΜΕΛΕΤΗΣ &amp; ΦΥΣΙΚΕΣ ΠΟΣΟΤΗΤΕΣ (ΧΩΡΙΣ ΕΥΡΩ)</t>
  </si>
  <si>
    <t>ΧΩΡΙΣΜΕΝΟ ΣΕ 2 ΜΕΓΑΛΑ ΚΕΦΑΛΑΙΑ: [ΚΕΦΑΛΑΙΟ Α] = ΜΟΝΟ ΣΤΟΙΧΕΙΑ ΜΕΛΕΤΗΣ | [ΚΕΦΑΛΑΙΟ Β] = ΟΛΟΙ ΟΙ ΥΠΟΛΟΓΙΣΜΟΙ</t>
  </si>
  <si>
    <t>🏛️ ΚΕΦΑΛΑΙΟ Α: ΜΟΝΟ ΣΤΟΙΧΕΙΑ ΠΟΥ ΔΙΑΒΑΣΤΗΚΑΝ ΑΠΟ ΤΗ ΜΕΛΕΤΗ (RAW INPUTS)</t>
  </si>
  <si>
    <t>Α.1 Τοποθεσία Εργοταξίου, Έδρα &amp; Σειρές ανά Ζώνη Μελέτης</t>
  </si>
  <si>
    <t>Έδρα Εταιρείας (Αφετηρία)</t>
  </si>
  <si>
    <t>Άγιος Συλάς, Σπύρου Κυπριανού 32, Λεμεσός</t>
  </si>
  <si>
    <t>-</t>
  </si>
  <si>
    <t>Σταθερή βάση εκκίνησης συνεργείων</t>
  </si>
  <si>
    <t>Τοποθεσία Εργοταξίου</t>
  </si>
  <si>
    <t>ST788 Lexum</t>
  </si>
  <si>
    <t>Από κατασκευαστική λεπτομέρεια ASD-ST788-GEO-NAIL-03</t>
  </si>
  <si>
    <t>Χιλιομετρική Απόσταση από Έδρα</t>
  </si>
  <si>
    <t>km</t>
  </si>
  <si>
    <t>Απόσταση &lt; 50 km από Άγιο Συλά (Ζώνη 1: 0–50 km)</t>
  </si>
  <si>
    <t>Πλήθος Οριζόντιων Σειρών Ήλων Ζώνης Α</t>
  </si>
  <si>
    <t>σειρές</t>
  </si>
  <si>
    <t>4 οριζόντιες σειρές ήλων στη Ζώνη Α (H = 9.0m)</t>
  </si>
  <si>
    <t>Πλήθος Οριζόντιων Σειρών Ήλων Ζώνης Β</t>
  </si>
  <si>
    <t>2 οριζόντιες σειρές ήλων στη Ζώνη Β (H = 4.0m)</t>
  </si>
  <si>
    <t>Α.2 Γεωμετρία Μετώπου Εκσκαφής (Ανά Ζώνη)</t>
  </si>
  <si>
    <t>Μήκος Μετώπου Ζώνης Α (L_A)</t>
  </si>
  <si>
    <t>m</t>
  </si>
  <si>
    <t>Δόθηκε από χρήστη (50.00 τρέχοντα μέτρα)</t>
  </si>
  <si>
    <t>Ύψος / Βάθος Ζώνης Α (H_A)</t>
  </si>
  <si>
    <t>Από σχέδιο (H = 9.0 m, q = 15 kPa τοίχος γείτονα)</t>
  </si>
  <si>
    <t>Μήκος Μετώπου Ζώνης Β (L_B)</t>
  </si>
  <si>
    <t>Δόθηκε από χρήστη (27.00 τρέχοντα μέτρα)</t>
  </si>
  <si>
    <t>Ύψος / Βάθος Ζώνης Β (H_B)</t>
  </si>
  <si>
    <t>Από σχέδιο (H = 4.0 m, q = 0 πλευρά δρόμου)</t>
  </si>
  <si>
    <t>Α.3 Σχάρες Μετώπου (Wire Mesh Grid)</t>
  </si>
  <si>
    <t>Τύπος Χάλυβα Σχάρας</t>
  </si>
  <si>
    <t>B500A Δομικό Πλέγμα</t>
  </si>
  <si>
    <t>Από λεπτομέρεια (Πλέγμα πλάκας Φ10/150mm αμφίδρομα)</t>
  </si>
  <si>
    <t>Διάμετρος Ράβδων Σχάρας (mm)</t>
  </si>
  <si>
    <t>mm</t>
  </si>
  <si>
    <t>Φ10 (Y10) αμφίδρομα</t>
  </si>
  <si>
    <t>Οριζόντιο Βήμα Ράβδων (s_horiz)</t>
  </si>
  <si>
    <t>Απόσταση οριζόντιων ράβδων 150 mm</t>
  </si>
  <si>
    <t>Κάθετο Βήμα Ράβδων (s_vert)</t>
  </si>
  <si>
    <t>Απόσταση κάθετων ράβδων 150 mm</t>
  </si>
  <si>
    <t>Α.4 Εκτοξευόμενο Σκυρόδεμα (Shotcrete)</t>
  </si>
  <si>
    <t>Κατηγορία Σκυροδέματος Shotcrete</t>
  </si>
  <si>
    <t>C25/30</t>
  </si>
  <si>
    <t>Από σχέδιο (Σκυρόδεμα πλάκας C25/30, h=150mm)</t>
  </si>
  <si>
    <t>Ονομαστικό Πάχος Σκυροδέματος Μελέτης</t>
  </si>
  <si>
    <t>150 mm ονομαστικό πάχος (2 στρώσεις ~75mm, Λεπτομέρεια Δ)</t>
  </si>
  <si>
    <t>Πάγια Απώλεια / Αναπήδηση Εταιρείας</t>
  </si>
  <si>
    <t>+5 cm πάγια προσαύξηση εταιρείας (χρεώνεται στα €/m³)</t>
  </si>
  <si>
    <t>Α.5 Εδαφοηλώσεις (Ράβδοι, Διατάξεις, Grout, Πλάκες &amp; Nuts)</t>
  </si>
  <si>
    <t>Διάμετρος Ράβδων Ήλωσης B500C (mm)</t>
  </si>
  <si>
    <t>Ήλοι Τ32 B500C (Y32) από σχέδιο και λεπτομέρεια Δ</t>
  </si>
  <si>
    <t>Ζώνη Α: Μήκος Ήλων Σειρών 1, 2, 4 (L &lt; 6m)</t>
  </si>
  <si>
    <t>3 σειρές των 5.80 m (βάθη 3.0m, 5.0m, 9.0m)</t>
  </si>
  <si>
    <t>Ζώνη Α: Οριζόντιο Βήμα Σειρών 1, 2, 4</t>
  </si>
  <si>
    <t>Sh = 1.1 m από σχέδιο Ζώνης Α</t>
  </si>
  <si>
    <t>Ζώνη Α: Μήκος Ήλων Σειράς 3 (L &gt;= 6m)</t>
  </si>
  <si>
    <t>1 σειρά των 6.80 m (βάθος 7.0m)</t>
  </si>
  <si>
    <t>Ζώνη Α: Οριζόντιο Βήμα Σειράς 3</t>
  </si>
  <si>
    <t>Ζώνη Β: Μήκος Ήλων Σειρών 1, 2 (L &lt; 6m)</t>
  </si>
  <si>
    <t>2 σειρές των 4.20 m (βάθη 2.5m, 4.0m)</t>
  </si>
  <si>
    <t>Ζώνη Β: Οριζόντιο Βήμα Σειρών 1, 2</t>
  </si>
  <si>
    <t>Sh = 1.5 m (αμετάβλητο) από σχέδιο Ζώνης Β</t>
  </si>
  <si>
    <t>Διάμετρος Οπής Διάτρησης (D)</t>
  </si>
  <si>
    <t>ΠΑΝΤΑ 12 cm (ακτίνα R = 0.06 m) κανόνας μάστρου</t>
  </si>
  <si>
    <t>Συντελεστής Απώλειας Grout στο Έδαφος</t>
  </si>
  <si>
    <t>ΠΑΝΤΑ * 1.20 (+20% απώλεια) κανόνας μάστρου</t>
  </si>
  <si>
    <t>Ζώνη Α: Διαστάσεις Πλάκας Έδρασης (M, Π)</t>
  </si>
  <si>
    <t>300x300 mm πλάκα S275 (Σημείωση 2 μελέτης)</t>
  </si>
  <si>
    <t>Ζώνη Α: Πάχος Πλάκας Έδρασης</t>
  </si>
  <si>
    <t>15 mm πάχος πλάκας Ζώνης Α (&gt;=15mm)</t>
  </si>
  <si>
    <t>Ζώνη Β: Διαστάσεις Πλάκας Έδρασης (M, Π)</t>
  </si>
  <si>
    <t>200x200 mm πλάκα S275</t>
  </si>
  <si>
    <t>Ζώνη Β: Πάχος Πλάκας Έδρασης</t>
  </si>
  <si>
    <t>15 mm πάχος πλάκας Ζώνης Β (&gt;=15mm)</t>
  </si>
  <si>
    <t>Nuts &amp; Ροδέλες ανά Ήλο</t>
  </si>
  <si>
    <t>σετ / ήλο</t>
  </si>
  <si>
    <t>1 κοχλιωτό nut &amp; ροδέλα σύσφιξης ανά ήλο (Λεπτομέρεια Δ)</t>
  </si>
  <si>
    <t>⚙️ ΚΕΦΑΛΑΙΟ Β: ΟΛΟΙ ΟΙ ΥΠΟΛΟΓΙΣΜΟΙ ΦΥΣΙΚΩΝ ΜΕΓΕΘΩΝ (ΜΕ ΒΑΣΗ ΤΟ ΚΕΦΑΛΑΙΟ Α)</t>
  </si>
  <si>
    <t>Β.1 Υπολογισμοί Στρατών Μετακίνησης (Κανόνας Multi-Zone v7)</t>
  </si>
  <si>
    <t>Ζώνη Μετακίνησης (ακτίνα 50km)</t>
  </si>
  <si>
    <t>Ζώνη 1 (0 – 50 km)</t>
  </si>
  <si>
    <t>Απόσταση &lt;= 50 km από Άγιο Συλά</t>
  </si>
  <si>
    <t>ΣΥΝΟΛΙΚΕΣ ΟΡΙΖΟΝΤΙΕΣ ΣΕΙΡΕΣ ΗΛΩΝ ΕΡΓΟΥ</t>
  </si>
  <si>
    <t>Άθροισμα σειρών Ζωνών Α + Β: 4 + 2 = 6 σειρές</t>
  </si>
  <si>
    <t>Υπολογισμός Στρατών Shotcrete</t>
  </si>
  <si>
    <t>στράτες</t>
  </si>
  <si>
    <t>Συνολικές Σειρές + 1 στράτα (6 + 1 = 7 στράτες)</t>
  </si>
  <si>
    <t>Υπολογισμός Στρατών Εδαφοηλώσεων</t>
  </si>
  <si>
    <t>Συνολικές Σειρές έργου (6 στράτες)</t>
  </si>
  <si>
    <t>Β.2 Υπολογισμοί Σχαρών (Μήκος, Εμβαδόν &amp; Κιλά Χάλυβα)</t>
  </si>
  <si>
    <t>L_A = 50.00 m</t>
  </si>
  <si>
    <t>Εμβαδόν Μετώπου Ζώνης Α (A_A = L_A × H_A)</t>
  </si>
  <si>
    <t>m²</t>
  </si>
  <si>
    <t>50.00 m × 9.00 m = 450.00 m²</t>
  </si>
  <si>
    <t>L_B = 27.00 m</t>
  </si>
  <si>
    <t>Εμβαδόν Μετώπου Ζώνης Β (A_B = L_B × H_B)</t>
  </si>
  <si>
    <t>27.00 m × 4.00 m = 108.00 m²</t>
  </si>
  <si>
    <t>ΣΥΝΟΛΙΚΟ ΜΗΚΟΣ ΜΕΤΩΠΟΥ (L = L_A + L_B)</t>
  </si>
  <si>
    <t>L = 50.00 + 27.00 = 77.00 m</t>
  </si>
  <si>
    <t>ΣΥΝΟΛΙΚΟ ΕΜΒΑΔΟΝ ΜΕΤΩΠΟΥ (A = A_A + A_B)</t>
  </si>
  <si>
    <t>A = 450.00 + 108.00 = 558.00 m²</t>
  </si>
  <si>
    <t>m / m²</t>
  </si>
  <si>
    <t>kg / m</t>
  </si>
  <si>
    <t>Υπολογιστικό Βάρος Σχάρας ανά m²</t>
  </si>
  <si>
    <t>kg / m²</t>
  </si>
  <si>
    <t>Μέτρα ανά m² × Βάρος ανά μέτρο</t>
  </si>
  <si>
    <t>kg</t>
  </si>
  <si>
    <t>Εμβαδόν A × Υπολογιστικό βάρος σχάρας/m²</t>
  </si>
  <si>
    <t>Β.3 Υπολογισμοί Εκτοξευόμενου Σκυροδέματος (Shotcrete) — ΧΩΡΙΣ ΑΠΩΛΕΙΑ ΣΤΑ ΚΥΒΙΚΑ</t>
  </si>
  <si>
    <t>150 mm ονομαστικό πάχος μελέτης</t>
  </si>
  <si>
    <t>Ποσοστό Απώλειας επί του Ονομαστικού Πάχους</t>
  </si>
  <si>
    <t>%</t>
  </si>
  <si>
    <t>m³</t>
  </si>
  <si>
    <t>Β.4 Υπολογισμοί Εδαφοηλώσεων (Ήλοι, Μέτρα, Grout, Σίδηρο, Πλάκες &amp; Nuts)</t>
  </si>
  <si>
    <t>Ζώνη Α: Πλήθος Ήλων ανά Σειρά (Sh=1.1m)</t>
  </si>
  <si>
    <t>τεμ. / σειρά</t>
  </si>
  <si>
    <t>Ζώνη Α: Πλήθος Ήλων Σειρών 1, 2, 4 (3 σειρές)</t>
  </si>
  <si>
    <t>τεμ.</t>
  </si>
  <si>
    <t>3 σειρές × 46 = 138 ήλοι (L = 5.80m)</t>
  </si>
  <si>
    <t>Ζώνη Α: Μέτρα Διάτρησης Σειρών 1, 2, 4 (L &lt; 6m)</t>
  </si>
  <si>
    <t>Ζώνη Α: Πλήθος Ήλων Σειράς 3 (1 σειρά)</t>
  </si>
  <si>
    <t>1 σειρά × 46 = 46 ήλοι (L = 6.80m)</t>
  </si>
  <si>
    <t>Ζώνη Α: Μέτρα Διάτρησης Σειράς 3 (L &gt;= 6m)</t>
  </si>
  <si>
    <t>Ζώνη Β: Πλήθος Ήλων ανά Σειρά (Sh=1.5m)</t>
  </si>
  <si>
    <t>Ζώνη Β: Πλήθος Ήλων Σειρών 1, 2 (2 σειρές)</t>
  </si>
  <si>
    <t>2 σειρές × 18 = 36 ήλοι (L = 4.20m)</t>
  </si>
  <si>
    <t>Ζώνη Β: Μέτρα Διάτρησης Σειρών 1, 2 (L &lt; 6m)</t>
  </si>
  <si>
    <t>ΣΥΝΟΛΙΚΟ ΠΛΗΘΟΣ ΕΔΑΦΟΗΛΩΣΕΩΝ ΕΡΓΟΥ</t>
  </si>
  <si>
    <t>138 + 46 + 36 = 220 εδαφοηλώσεις</t>
  </si>
  <si>
    <t>ΣΥΝΟΛΙΚΑ ΜΕΤΡΑ ΔΙΑΤΡΗΣΗΣ ΕΡΓΟΥ</t>
  </si>
  <si>
    <t>800.40 + 312.80 + 151.20 = 1,264.40 m διάτρησης</t>
  </si>
  <si>
    <t>Μέτρα Διάτρησης Ήλων L &gt;= 6.0m</t>
  </si>
  <si>
    <t>312.80 m (Σειρά 3 Ζώνης Α @ 25 €/m)</t>
  </si>
  <si>
    <t>Μέτρα Διάτρησης Ήλων L &lt; 6.0m</t>
  </si>
  <si>
    <t>800.40 + 151.20 = 951.60 m (@ 30 €/m)</t>
  </si>
  <si>
    <t>Συνολικά μέτρα × Βάρος/m</t>
  </si>
  <si>
    <t>Όγκος Grout ανά Τρέχον Μέτρο Διάτρησης</t>
  </si>
  <si>
    <t>m³ / m</t>
  </si>
  <si>
    <t>π * (0.06)² * 1.20 = 0.013572 m³/m</t>
  </si>
  <si>
    <t>ΣΥΝΟΛΙΚΟΣ ΟΓΚΟΣ GROUT ΕΡΓΟΥ</t>
  </si>
  <si>
    <t>Ζώνη Α: Βάρος ανά Πλάκα Έδρασης (300×300×15mm)</t>
  </si>
  <si>
    <t>kg / τεμ.</t>
  </si>
  <si>
    <t>0.30 × 0.30 × 0.015 × 7850 = 10.598 kg</t>
  </si>
  <si>
    <t>Ζώνη Α: Συνολικό Βάρος Πλακών Έδρασης (184 τεμ)</t>
  </si>
  <si>
    <t>184 πλάκες × 10.598 kg = 1,949.94 kg</t>
  </si>
  <si>
    <t>Ζώνη Β: Βάρος ανά Πλάκα Έδρασης (200×200×15mm)</t>
  </si>
  <si>
    <t>0.20 × 0.20 × 0.015 × 7850 = 4.710 kg</t>
  </si>
  <si>
    <t>Ζώνη Β: Συνολικό Βάρος Πλακών Έδρασης (36 τεμ)</t>
  </si>
  <si>
    <t>36 πλάκες × 4.710 kg = 169.56 kg</t>
  </si>
  <si>
    <t>ΣΥΝΟΛΙΚΟ ΒΑΡΟΣ ΠΛΑΚΩΝ ΕΔΡΑΣΗΣ ΕΡΓΟΥ</t>
  </si>
  <si>
    <t>1,949.94 + 169.56 = 2,119.50 kg</t>
  </si>
  <si>
    <t>ΣΥΝΟΛΙΚΟ ΠΛΗΘΟΣ NUTS &amp; ΡΟΔΕΛΩΝ ΕΡΓΟΥ</t>
  </si>
  <si>
    <t>220 ήλοι × 1 nut = 220 σετ nuts</t>
  </si>
  <si>
    <t>ΕΡΓΟ: ST788 LEXUM — ΠΡΟΫΠΟΛΟΓΙΣΜΟΣ ΚΟΣΤΟΥΣ &amp; VALUE ENGINEERING</t>
  </si>
  <si>
    <t>ΑΥΣΤΗΡΟ ΜΟΝΤΕΛΟ 4 ΠΥΛΩΝΩΝ ΚΟΣΤΟΥΣ (ΜΕΤΑΚΙΝΗΣΕΙΣ, ΣΧΑΡΕΣ, SHOTCRETE, ΕΔΑΦΟΗΛΩΣΕΙΣ) — ΕΚΔΟΣΗ v7.0</t>
  </si>
  <si>
    <t>Περιγραφή Εργασίας / Υλικού</t>
  </si>
  <si>
    <t>Ποσότητα</t>
  </si>
  <si>
    <t>Μονάδα</t>
  </si>
  <si>
    <t>Τιμή Μονάδας (€)</t>
  </si>
  <si>
    <t>Συνολικό Κόστος (€)</t>
  </si>
  <si>
    <t>Πηγή Ποσότητας / Τεχνικός Κανόνας</t>
  </si>
  <si>
    <t>ΠΥΛΩΝΑΣ 1: ΜΕΤΑΚΙΝΗΣΕΙΣ ΕΡΓΟΤΑΞΙΟΥ (ΣΤΡΑΤΕΣ — ΖΩΝΗ 1: 0–50 km)</t>
  </si>
  <si>
    <t>Στράτες Εκτοξευόμενου Σκυροδέματος (Shotcrete)</t>
  </si>
  <si>
    <t>Στράτες Εδαφοηλώσεων &amp; Εξοπλισμού Διάτρησης</t>
  </si>
  <si>
    <t>ΣΥΝΟΛΟ ΠΥΛΩΝΑ 1 (ΜΕΤΑΚΙΝΗΣΕΙΣ)</t>
  </si>
  <si>
    <t>ΠΥΛΩΝΑΣ 2: ΣΧΑΡΕΣ (WIRE MESH GRID)</t>
  </si>
  <si>
    <t>Τοποθέτηση Σχάρας / Εργατικά Μετώπου</t>
  </si>
  <si>
    <t>ΣΥΝΟΛΟ ΠΥΛΩΝΑ 2 (ΣΧΑΡΕΣ)</t>
  </si>
  <si>
    <t>ΠΥΛΩΝΑΣ 3: ΕΚΤΟΞΕΥΟΜΕΝΟ ΣΚΥΡΟΔΕΜΑ (SHOTCRETE) — ΟΝΟΜΑΣΤΙΚΑ m³ ΧΩΡΙΣ ΑΠΩΛΕΙΑ</t>
  </si>
  <si>
    <t>⚠️ ΠΡΟΣΟΧΗ: Η τιμή αυτή είναι εκτίμηση βάσει C30/37 (90 €/m³), ενώ ο μελετητής ζητά C25/30. Απαιτείται επιβεβαίωση προσφοράς από προμηθευτή.</t>
  </si>
  <si>
    <t>Τοποθέτηση / Εκτόξευση / Αντλία (με προσαύξηση απώλειας)</t>
  </si>
  <si>
    <t>ΣΥΝΟΛΟ ΠΥΛΩΝΑ 3 (SHOTCRETE)</t>
  </si>
  <si>
    <t>ΠΥΛΩΝΑΣ 4: ΕΔΑΦΟΗΛΩΣΕΙΣ (SOIL NAILS)</t>
  </si>
  <si>
    <t>4.1a Διάτρηση / Τρύπημα (Ήλοι L &gt;= 6.0 m)</t>
  </si>
  <si>
    <t>4.1b Διάτρηση / Τρύπημα (Ήλοι L &lt; 6.0 m)</t>
  </si>
  <si>
    <t>4.2 Grout Τσιμεντένεμα (με απώλεια 1.20)</t>
  </si>
  <si>
    <t>4.4 Διαμόρφωση Πάσου (Σπείρωμα Κεφαλής)</t>
  </si>
  <si>
    <t>4.5 Πλάκες Έδρασης (S275, 15mm πάχος)</t>
  </si>
  <si>
    <t>4.6 Nuts (Περικόχλια) &amp; Ροδέλες</t>
  </si>
  <si>
    <t>ΣΥΝΟΛΟ ΠΥΛΩΝΑ 4 (ΕΔΑΦΟΗΛΩΣΕΙΣ)</t>
  </si>
  <si>
    <t>ΤΕΛΙΚΑ ΣΥΝΟΛΑ ΠΡΟΣΦΟΡΑΣ (ΚΑΝΟΝΑΣ v7: ΟΛΑ ΜΕΣΑ ΣΤΙΣ ΤΙΜΕΣ ΜΟΝΑΔΑΣ)</t>
  </si>
  <si>
    <t>ΚΑΘΑΡΟ ΣΥΝΟΛΟ ΠΡΟΣΦΟΡΑΣ (ΠΡΟ Φ.Π.Α.)</t>
  </si>
  <si>
    <t>Άθροισμα 4 Πυλώνων (Περιλαμβάνει άμεσο κόστος, Γ.Ε. &amp; όφελος)</t>
  </si>
  <si>
    <t>Φ.Π.Α. (19%)</t>
  </si>
  <si>
    <t>Νόμιμος Φ.Π.Α. Κύπρου (19%)</t>
  </si>
  <si>
    <t>ΤΕΛΙΚΟ ΠΛΗΡΩΤΕΟ ΠΟΣΟ (ΜΕ Φ.Π.Α.)</t>
  </si>
  <si>
    <t>Τελικό πληρωτέο ποσό έργου</t>
  </si>
  <si>
    <t>Γενικό KPI: Κόστος ανά m² Μετώπου Εκσκαφής</t>
  </si>
  <si>
    <t>Γενικό KPI: Κόστος ανά Εδαφοήλωση</t>
  </si>
  <si>
    <t>5. ΣΥΓΚΡΙΤΙΚΗ ΑΝΑΛΥΣΗ ΔΙΑΤΑΞΕΩΝ / VALUE ENGINEERING (ΖΩΝΗ Α vs ΖΩΝΗ Β)</t>
  </si>
  <si>
    <t>Εργαλείο Value Engineering για Μελετητές: Σύγκριση κόστους ανά τεμάχιο ήλου (€/τεμ), ανά μέτρο διάτρησης (€/m) και ανά m² μετώπου (€/m²)</t>
  </si>
  <si>
    <t>Διάταξη / Ζώνη Ήλων</t>
  </si>
  <si>
    <t>Μέσο Μήκος (L)
[m]</t>
  </si>
  <si>
    <t>Βήμα (s)
[m]</t>
  </si>
  <si>
    <t>Άμεσο Κόστος
ανά Ήλο (€/τεμ)</t>
  </si>
  <si>
    <t>Κόστος ανά Τρέχον
Μέτρο (€/m)</t>
  </si>
  <si>
    <t>Κόστος Ήλων ανά
m² Μετώπου (€/m²)</t>
  </si>
  <si>
    <t>Συνολικό Σύστημα
ανά m² Μετώπου (€/m²)</t>
  </si>
  <si>
    <t>ΔΙΑΦΟΡΑ / ΕΞΟΙΚΟΝΟΜΗΣΗ (ΖΩΝΗ Α vs ΖΩΝΗ 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</si>
</sst>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595959"/>
      <name val="Calibri"/>
    </font>
    <font>
      <b/>
      <sz val="12"/>
      <color rgb="FFFFFFFF"/>
      <name val="Calibri"/>
    </font>
    <font>
      <b/>
      <sz val="10"/>
      <color rgb="FF1F4E78"/>
      <name val="Calibri"/>
    </font>
    <font>
      <b/>
      <sz val="11"/>
      <color rgb="FF000000"/>
      <name val="Calibri"/>
    </font>
    <font>
      <sz val="11"/>
      <color rgb="FF000000"/>
      <name val="Calibri"/>
    </font>
    <font>
      <i/>
      <sz val="9"/>
      <color rgb="FF555555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11"/>
      <color rgb="FF9C0006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E4D2B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2F5597"/>
      </patternFill>
    </fill>
    <fill>
      <patternFill patternType="solid">
        <fgColor rgb="FFC6EFCE"/>
      </patternFill>
    </fill>
    <fill>
      <patternFill patternType="solid">
        <fgColor rgb="FF305496"/>
      </patternFill>
    </fill>
    <fill>
      <patternFill patternType="solid">
        <fgColor rgb="FF41719C"/>
      </patternFill>
    </fill>
    <fill>
      <patternFill patternType="solid">
        <fgColor rgb="FFFFF2CC"/>
      </patternFill>
    </fill>
    <fill>
      <patternFill patternType="solid">
        <fgColor rgb="FFFFC7CE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F4E7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/>
    <xf numFmtId="0" fontId="5" fillId="0" borderId="1" xfId="0" applyFont="1" applyBorder="1"/>
    <xf numFmtId="0" fontId="5" fillId="5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8" borderId="1" xfId="0" applyFont="1" applyFill="1" applyBorder="1" applyAlignment="1">
      <alignment horizontal="right" vertical="center"/>
    </xf>
    <xf numFmtId="10" fontId="5" fillId="5" borderId="1" xfId="0" applyNumberFormat="1" applyFont="1" applyFill="1" applyBorder="1" applyAlignment="1">
      <alignment horizontal="right" vertical="center"/>
    </xf>
    <xf numFmtId="0" fontId="8" fillId="9" borderId="2" xfId="0" applyFont="1" applyFill="1" applyBorder="1" applyAlignment="1">
      <alignment horizontal="left" vertical="center"/>
    </xf>
    <xf numFmtId="0" fontId="8" fillId="9" borderId="2" xfId="0" applyFont="1" applyFill="1" applyBorder="1" applyAlignment="1">
      <alignment horizontal="center" vertical="center"/>
    </xf>
    <xf numFmtId="0" fontId="9" fillId="10" borderId="0" xfId="0" applyFont="1" applyFill="1"/>
    <xf numFmtId="0" fontId="6" fillId="0" borderId="1" xfId="0" applyFont="1" applyBorder="1"/>
    <xf numFmtId="4" fontId="5" fillId="0" borderId="1" xfId="0" applyNumberFormat="1" applyFont="1" applyBorder="1" applyAlignment="1">
      <alignment horizontal="right" vertical="center"/>
    </xf>
    <xf numFmtId="164" fontId="5" fillId="11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7" fillId="0" borderId="1" xfId="0" applyFont="1" applyBorder="1"/>
    <xf numFmtId="0" fontId="5" fillId="4" borderId="0" xfId="0" applyFont="1" applyFill="1"/>
    <xf numFmtId="164" fontId="5" fillId="4" borderId="3" xfId="0" applyNumberFormat="1" applyFont="1" applyFill="1" applyBorder="1" applyAlignment="1">
      <alignment horizontal="right" vertical="center"/>
    </xf>
    <xf numFmtId="164" fontId="10" fillId="12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/>
    <xf numFmtId="164" fontId="5" fillId="8" borderId="3" xfId="0" applyNumberFormat="1" applyFont="1" applyFill="1" applyBorder="1" applyAlignment="1">
      <alignment horizontal="right" vertical="center"/>
    </xf>
    <xf numFmtId="0" fontId="7" fillId="0" borderId="0" xfId="0" applyFont="1"/>
    <xf numFmtId="0" fontId="8" fillId="9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0" fontId="5" fillId="13" borderId="1" xfId="0" applyFont="1" applyFill="1" applyBorder="1" applyAlignment="1">
      <alignment horizontal="left" vertical="center"/>
    </xf>
    <xf numFmtId="4" fontId="5" fillId="13" borderId="1" xfId="0" applyNumberFormat="1" applyFont="1" applyFill="1" applyBorder="1" applyAlignment="1">
      <alignment horizontal="right" vertical="center"/>
    </xf>
    <xf numFmtId="164" fontId="5" fillId="1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"/>
  <sheetViews>
    <sheetView topLeftCell="A61" workbookViewId="0"/>
  </sheetViews>
  <sheetFormatPr defaultRowHeight="14.5" x14ac:dyDescent="0.35"/>
  <cols>
    <col min="1" max="1" width="48" customWidth="1"/>
    <col min="2" max="2" width="18" customWidth="1"/>
    <col min="3" max="3" width="14" customWidth="1"/>
    <col min="4" max="6" width="22" customWidth="1"/>
  </cols>
  <sheetData>
    <row r="1" spans="1:4" ht="30" customHeight="1" x14ac:dyDescent="0.35">
      <c r="A1" s="1" t="s">
        <v>0</v>
      </c>
    </row>
    <row r="2" spans="1:4" x14ac:dyDescent="0.35">
      <c r="A2" s="2" t="s">
        <v>1</v>
      </c>
    </row>
    <row r="4" spans="1:4" ht="25" customHeight="1" x14ac:dyDescent="0.35">
      <c r="A4" s="3" t="s">
        <v>2</v>
      </c>
    </row>
    <row r="5" spans="1:4" ht="20" customHeight="1" x14ac:dyDescent="0.35">
      <c r="A5" s="4" t="s">
        <v>3</v>
      </c>
    </row>
    <row r="6" spans="1:4" x14ac:dyDescent="0.35">
      <c r="A6" s="5" t="s">
        <v>4</v>
      </c>
      <c r="B6" s="6" t="s">
        <v>5</v>
      </c>
      <c r="C6" s="7" t="s">
        <v>6</v>
      </c>
      <c r="D6" s="8" t="s">
        <v>7</v>
      </c>
    </row>
    <row r="7" spans="1:4" x14ac:dyDescent="0.35">
      <c r="A7" s="5" t="s">
        <v>8</v>
      </c>
      <c r="B7" s="6" t="s">
        <v>9</v>
      </c>
      <c r="C7" s="7" t="s">
        <v>6</v>
      </c>
      <c r="D7" s="8" t="s">
        <v>10</v>
      </c>
    </row>
    <row r="8" spans="1:4" x14ac:dyDescent="0.35">
      <c r="A8" s="5" t="s">
        <v>11</v>
      </c>
      <c r="B8" s="9">
        <v>25</v>
      </c>
      <c r="C8" s="7" t="s">
        <v>12</v>
      </c>
      <c r="D8" s="8" t="s">
        <v>13</v>
      </c>
    </row>
    <row r="9" spans="1:4" x14ac:dyDescent="0.35">
      <c r="A9" s="5" t="s">
        <v>14</v>
      </c>
      <c r="B9" s="9">
        <v>4</v>
      </c>
      <c r="C9" s="7" t="s">
        <v>15</v>
      </c>
      <c r="D9" s="8" t="s">
        <v>16</v>
      </c>
    </row>
    <row r="10" spans="1:4" x14ac:dyDescent="0.35">
      <c r="A10" s="5" t="s">
        <v>17</v>
      </c>
      <c r="B10" s="9">
        <v>2</v>
      </c>
      <c r="C10" s="7" t="s">
        <v>15</v>
      </c>
      <c r="D10" s="8" t="s">
        <v>18</v>
      </c>
    </row>
    <row r="12" spans="1:4" ht="20" customHeight="1" x14ac:dyDescent="0.35">
      <c r="A12" s="4" t="s">
        <v>19</v>
      </c>
    </row>
    <row r="13" spans="1:4" x14ac:dyDescent="0.35">
      <c r="A13" s="5" t="s">
        <v>20</v>
      </c>
      <c r="B13" s="9">
        <v>50</v>
      </c>
      <c r="C13" s="7" t="s">
        <v>21</v>
      </c>
      <c r="D13" s="8" t="s">
        <v>22</v>
      </c>
    </row>
    <row r="14" spans="1:4" x14ac:dyDescent="0.35">
      <c r="A14" s="5" t="s">
        <v>23</v>
      </c>
      <c r="B14" s="9">
        <v>9</v>
      </c>
      <c r="C14" s="7" t="s">
        <v>21</v>
      </c>
      <c r="D14" s="8" t="s">
        <v>24</v>
      </c>
    </row>
    <row r="15" spans="1:4" x14ac:dyDescent="0.35">
      <c r="A15" s="5" t="s">
        <v>25</v>
      </c>
      <c r="B15" s="9">
        <v>27</v>
      </c>
      <c r="C15" s="7" t="s">
        <v>21</v>
      </c>
      <c r="D15" s="8" t="s">
        <v>26</v>
      </c>
    </row>
    <row r="16" spans="1:4" x14ac:dyDescent="0.35">
      <c r="A16" s="5" t="s">
        <v>27</v>
      </c>
      <c r="B16" s="9">
        <v>4</v>
      </c>
      <c r="C16" s="7" t="s">
        <v>21</v>
      </c>
      <c r="D16" s="8" t="s">
        <v>28</v>
      </c>
    </row>
    <row r="18" spans="1:4" ht="20" customHeight="1" x14ac:dyDescent="0.35">
      <c r="A18" s="4" t="s">
        <v>29</v>
      </c>
    </row>
    <row r="19" spans="1:4" x14ac:dyDescent="0.35">
      <c r="A19" s="5" t="s">
        <v>30</v>
      </c>
      <c r="B19" s="6" t="s">
        <v>31</v>
      </c>
      <c r="C19" s="7" t="s">
        <v>6</v>
      </c>
      <c r="D19" s="8" t="s">
        <v>32</v>
      </c>
    </row>
    <row r="20" spans="1:4" x14ac:dyDescent="0.35">
      <c r="A20" s="5" t="s">
        <v>33</v>
      </c>
      <c r="B20" s="9">
        <v>10</v>
      </c>
      <c r="C20" s="7" t="s">
        <v>34</v>
      </c>
      <c r="D20" s="8" t="s">
        <v>35</v>
      </c>
    </row>
    <row r="21" spans="1:4" x14ac:dyDescent="0.35">
      <c r="A21" s="5" t="s">
        <v>36</v>
      </c>
      <c r="B21" s="9">
        <v>150</v>
      </c>
      <c r="C21" s="7" t="s">
        <v>34</v>
      </c>
      <c r="D21" s="8" t="s">
        <v>37</v>
      </c>
    </row>
    <row r="22" spans="1:4" x14ac:dyDescent="0.35">
      <c r="A22" s="5" t="s">
        <v>38</v>
      </c>
      <c r="B22" s="9">
        <v>150</v>
      </c>
      <c r="C22" s="7" t="s">
        <v>34</v>
      </c>
      <c r="D22" s="8" t="s">
        <v>39</v>
      </c>
    </row>
    <row r="24" spans="1:4" ht="20" customHeight="1" x14ac:dyDescent="0.35">
      <c r="A24" s="4" t="s">
        <v>40</v>
      </c>
    </row>
    <row r="25" spans="1:4" x14ac:dyDescent="0.35">
      <c r="A25" s="5" t="s">
        <v>41</v>
      </c>
      <c r="B25" s="10" t="s">
        <v>42</v>
      </c>
      <c r="C25" s="7" t="s">
        <v>6</v>
      </c>
      <c r="D25" s="8" t="s">
        <v>43</v>
      </c>
    </row>
    <row r="26" spans="1:4" x14ac:dyDescent="0.35">
      <c r="A26" s="5" t="s">
        <v>44</v>
      </c>
      <c r="B26" s="9">
        <v>0.15</v>
      </c>
      <c r="C26" s="7" t="s">
        <v>21</v>
      </c>
      <c r="D26" s="8" t="s">
        <v>45</v>
      </c>
    </row>
    <row r="27" spans="1:4" x14ac:dyDescent="0.35">
      <c r="A27" s="5" t="s">
        <v>46</v>
      </c>
      <c r="B27" s="11">
        <v>0.05</v>
      </c>
      <c r="C27" s="7" t="s">
        <v>21</v>
      </c>
      <c r="D27" s="8" t="s">
        <v>47</v>
      </c>
    </row>
    <row r="29" spans="1:4" ht="20" customHeight="1" x14ac:dyDescent="0.35">
      <c r="A29" s="4" t="s">
        <v>48</v>
      </c>
    </row>
    <row r="30" spans="1:4" x14ac:dyDescent="0.35">
      <c r="A30" s="5" t="s">
        <v>49</v>
      </c>
      <c r="B30" s="9">
        <v>32</v>
      </c>
      <c r="C30" s="7" t="s">
        <v>34</v>
      </c>
      <c r="D30" s="8" t="s">
        <v>50</v>
      </c>
    </row>
    <row r="31" spans="1:4" x14ac:dyDescent="0.35">
      <c r="A31" s="5" t="s">
        <v>51</v>
      </c>
      <c r="B31" s="9">
        <v>5.8</v>
      </c>
      <c r="C31" s="7" t="s">
        <v>21</v>
      </c>
      <c r="D31" s="8" t="s">
        <v>52</v>
      </c>
    </row>
    <row r="32" spans="1:4" x14ac:dyDescent="0.35">
      <c r="A32" s="5" t="s">
        <v>53</v>
      </c>
      <c r="B32" s="9">
        <v>1.1000000000000001</v>
      </c>
      <c r="C32" s="7" t="s">
        <v>21</v>
      </c>
      <c r="D32" s="8" t="s">
        <v>54</v>
      </c>
    </row>
    <row r="33" spans="1:4" x14ac:dyDescent="0.35">
      <c r="A33" s="5" t="s">
        <v>55</v>
      </c>
      <c r="B33" s="9">
        <v>6.8</v>
      </c>
      <c r="C33" s="7" t="s">
        <v>21</v>
      </c>
      <c r="D33" s="8" t="s">
        <v>56</v>
      </c>
    </row>
    <row r="34" spans="1:4" x14ac:dyDescent="0.35">
      <c r="A34" s="5" t="s">
        <v>57</v>
      </c>
      <c r="B34" s="9">
        <v>1.1000000000000001</v>
      </c>
      <c r="C34" s="7" t="s">
        <v>21</v>
      </c>
      <c r="D34" s="8" t="s">
        <v>54</v>
      </c>
    </row>
    <row r="35" spans="1:4" x14ac:dyDescent="0.35">
      <c r="A35" s="5" t="s">
        <v>58</v>
      </c>
      <c r="B35" s="9">
        <v>4.2</v>
      </c>
      <c r="C35" s="7" t="s">
        <v>21</v>
      </c>
      <c r="D35" s="8" t="s">
        <v>59</v>
      </c>
    </row>
    <row r="36" spans="1:4" x14ac:dyDescent="0.35">
      <c r="A36" s="5" t="s">
        <v>60</v>
      </c>
      <c r="B36" s="9">
        <v>1.5</v>
      </c>
      <c r="C36" s="7" t="s">
        <v>21</v>
      </c>
      <c r="D36" s="8" t="s">
        <v>61</v>
      </c>
    </row>
    <row r="37" spans="1:4" x14ac:dyDescent="0.35">
      <c r="A37" s="5" t="s">
        <v>62</v>
      </c>
      <c r="B37" s="11">
        <v>0.12</v>
      </c>
      <c r="C37" s="7" t="s">
        <v>21</v>
      </c>
      <c r="D37" s="8" t="s">
        <v>63</v>
      </c>
    </row>
    <row r="38" spans="1:4" x14ac:dyDescent="0.35">
      <c r="A38" s="5" t="s">
        <v>64</v>
      </c>
      <c r="B38" s="11">
        <v>1.2</v>
      </c>
      <c r="C38" s="7" t="s">
        <v>6</v>
      </c>
      <c r="D38" s="8" t="s">
        <v>65</v>
      </c>
    </row>
    <row r="39" spans="1:4" x14ac:dyDescent="0.35">
      <c r="A39" s="5" t="s">
        <v>66</v>
      </c>
      <c r="B39" s="9">
        <v>300</v>
      </c>
      <c r="C39" s="7" t="s">
        <v>34</v>
      </c>
      <c r="D39" s="8" t="s">
        <v>67</v>
      </c>
    </row>
    <row r="40" spans="1:4" x14ac:dyDescent="0.35">
      <c r="A40" s="5" t="s">
        <v>68</v>
      </c>
      <c r="B40" s="9">
        <v>15</v>
      </c>
      <c r="C40" s="7" t="s">
        <v>34</v>
      </c>
      <c r="D40" s="8" t="s">
        <v>69</v>
      </c>
    </row>
    <row r="41" spans="1:4" x14ac:dyDescent="0.35">
      <c r="A41" s="5" t="s">
        <v>70</v>
      </c>
      <c r="B41" s="9">
        <v>200</v>
      </c>
      <c r="C41" s="7" t="s">
        <v>34</v>
      </c>
      <c r="D41" s="8" t="s">
        <v>71</v>
      </c>
    </row>
    <row r="42" spans="1:4" x14ac:dyDescent="0.35">
      <c r="A42" s="5" t="s">
        <v>72</v>
      </c>
      <c r="B42" s="9">
        <v>15</v>
      </c>
      <c r="C42" s="7" t="s">
        <v>34</v>
      </c>
      <c r="D42" s="8" t="s">
        <v>73</v>
      </c>
    </row>
    <row r="43" spans="1:4" x14ac:dyDescent="0.35">
      <c r="A43" s="5" t="s">
        <v>74</v>
      </c>
      <c r="B43" s="11">
        <v>1</v>
      </c>
      <c r="C43" s="7" t="s">
        <v>75</v>
      </c>
      <c r="D43" s="8" t="s">
        <v>76</v>
      </c>
    </row>
    <row r="45" spans="1:4" ht="25" customHeight="1" x14ac:dyDescent="0.35">
      <c r="A45" s="12" t="s">
        <v>77</v>
      </c>
    </row>
    <row r="46" spans="1:4" ht="20" customHeight="1" x14ac:dyDescent="0.35">
      <c r="A46" s="4" t="s">
        <v>78</v>
      </c>
    </row>
    <row r="47" spans="1:4" x14ac:dyDescent="0.35">
      <c r="A47" s="5" t="s">
        <v>79</v>
      </c>
      <c r="B47" s="11" t="s">
        <v>80</v>
      </c>
      <c r="C47" s="7" t="s">
        <v>6</v>
      </c>
      <c r="D47" s="8" t="s">
        <v>81</v>
      </c>
    </row>
    <row r="48" spans="1:4" x14ac:dyDescent="0.35">
      <c r="A48" s="5" t="s">
        <v>82</v>
      </c>
      <c r="B48" s="13">
        <f>B9+B10</f>
        <v>6</v>
      </c>
      <c r="C48" s="7" t="s">
        <v>15</v>
      </c>
      <c r="D48" s="8" t="s">
        <v>83</v>
      </c>
    </row>
    <row r="49" spans="1:4" x14ac:dyDescent="0.35">
      <c r="A49" s="5" t="s">
        <v>84</v>
      </c>
      <c r="B49" s="11">
        <f>B48+1</f>
        <v>7</v>
      </c>
      <c r="C49" s="7" t="s">
        <v>85</v>
      </c>
      <c r="D49" s="8" t="s">
        <v>86</v>
      </c>
    </row>
    <row r="50" spans="1:4" x14ac:dyDescent="0.35">
      <c r="A50" s="5" t="s">
        <v>87</v>
      </c>
      <c r="B50" s="11">
        <f>B48</f>
        <v>6</v>
      </c>
      <c r="C50" s="7" t="s">
        <v>85</v>
      </c>
      <c r="D50" s="8" t="s">
        <v>88</v>
      </c>
    </row>
    <row r="52" spans="1:4" ht="20" customHeight="1" x14ac:dyDescent="0.35">
      <c r="A52" s="4" t="s">
        <v>89</v>
      </c>
    </row>
    <row r="53" spans="1:4" x14ac:dyDescent="0.35">
      <c r="A53" s="5" t="s">
        <v>20</v>
      </c>
      <c r="B53" s="11">
        <f>B13</f>
        <v>50</v>
      </c>
      <c r="C53" s="7" t="s">
        <v>21</v>
      </c>
      <c r="D53" s="8" t="s">
        <v>90</v>
      </c>
    </row>
    <row r="54" spans="1:4" x14ac:dyDescent="0.35">
      <c r="A54" s="5" t="s">
        <v>91</v>
      </c>
      <c r="B54" s="13">
        <f>ROUND(B53*B14, 2)</f>
        <v>450</v>
      </c>
      <c r="C54" s="7" t="s">
        <v>92</v>
      </c>
      <c r="D54" s="8" t="s">
        <v>93</v>
      </c>
    </row>
    <row r="55" spans="1:4" x14ac:dyDescent="0.35">
      <c r="A55" s="5" t="s">
        <v>25</v>
      </c>
      <c r="B55" s="11">
        <f>B15</f>
        <v>27</v>
      </c>
      <c r="C55" s="7" t="s">
        <v>21</v>
      </c>
      <c r="D55" s="8" t="s">
        <v>94</v>
      </c>
    </row>
    <row r="56" spans="1:4" x14ac:dyDescent="0.35">
      <c r="A56" s="5" t="s">
        <v>95</v>
      </c>
      <c r="B56" s="13">
        <f>ROUND(B55*B16, 2)</f>
        <v>108</v>
      </c>
      <c r="C56" s="7" t="s">
        <v>92</v>
      </c>
      <c r="D56" s="8" t="s">
        <v>96</v>
      </c>
    </row>
    <row r="57" spans="1:4" x14ac:dyDescent="0.35">
      <c r="A57" s="5" t="s">
        <v>97</v>
      </c>
      <c r="B57" s="11">
        <f>B53+B55</f>
        <v>77</v>
      </c>
      <c r="C57" s="7" t="s">
        <v>21</v>
      </c>
      <c r="D57" s="8" t="s">
        <v>98</v>
      </c>
    </row>
    <row r="58" spans="1:4" x14ac:dyDescent="0.35">
      <c r="A58" s="5" t="s">
        <v>99</v>
      </c>
      <c r="B58" s="13">
        <f>ROUND(B54+B56, 2)</f>
        <v>558</v>
      </c>
      <c r="C58" s="7" t="s">
        <v>92</v>
      </c>
      <c r="D58" s="8" t="s">
        <v>100</v>
      </c>
    </row>
    <row r="59" spans="1:4" x14ac:dyDescent="0.35">
      <c r="A59" s="5" t="str">
        <f>"Τρέχοντα Μέτρα Ράβδων (" &amp; B21 &amp; "×" &amp; B22 &amp; " mm) σε 1 m²"</f>
        <v>Τρέχοντα Μέτρα Ράβδων (150×150 mm) σε 1 m²</v>
      </c>
      <c r="B59" s="11">
        <f>(1000/B21)+(1000/B22)</f>
        <v>13.333333333333334</v>
      </c>
      <c r="C59" s="7" t="s">
        <v>101</v>
      </c>
      <c r="D59" s="8" t="str">
        <f>"1000/" &amp; B21 &amp; " + 1000/" &amp; B22 &amp; " m/m²"</f>
        <v>1000/150 + 1000/150 m/m²</v>
      </c>
    </row>
    <row r="60" spans="1:4" x14ac:dyDescent="0.35">
      <c r="A60" s="5" t="str">
        <f>"Θεωρητικό Βάρος Ράβδου Y" &amp; B20 &amp; " ανά Μέτρο"</f>
        <v>Θεωρητικό Βάρος Ράβδου Y10 ανά Μέτρο</v>
      </c>
      <c r="B60" s="11">
        <f>(PI()*((B20/1000)^2)/4)*7850</f>
        <v>0.61653755826699685</v>
      </c>
      <c r="C60" s="7" t="s">
        <v>102</v>
      </c>
      <c r="D60" s="8" t="str">
        <f>"π * (" &amp; B20 &amp; "/1000)² / 4 * 7850"</f>
        <v>π * (10/1000)² / 4 * 7850</v>
      </c>
    </row>
    <row r="61" spans="1:4" x14ac:dyDescent="0.35">
      <c r="A61" s="5" t="s">
        <v>103</v>
      </c>
      <c r="B61" s="11">
        <f>ROUND(B59*B60, 3)</f>
        <v>8.2210000000000001</v>
      </c>
      <c r="C61" s="7" t="s">
        <v>104</v>
      </c>
      <c r="D61" s="8" t="s">
        <v>105</v>
      </c>
    </row>
    <row r="62" spans="1:4" x14ac:dyDescent="0.35">
      <c r="A62" s="5" t="str">
        <f>"ΣΥΝΟΛΙΚΟ ΒΑΡΟΣ ΧΑΛΥΒΑ ΣΧΑΡΩΝ (Y" &amp; B20 &amp; ") ΕΡΓΟΥ"</f>
        <v>ΣΥΝΟΛΙΚΟ ΒΑΡΟΣ ΧΑΛΥΒΑ ΣΧΑΡΩΝ (Y10) ΕΡΓΟΥ</v>
      </c>
      <c r="B62" s="13">
        <f>ROUND(B58*B61, 2)</f>
        <v>4587.32</v>
      </c>
      <c r="C62" s="7" t="s">
        <v>106</v>
      </c>
      <c r="D62" s="8" t="s">
        <v>107</v>
      </c>
    </row>
    <row r="64" spans="1:4" ht="20" customHeight="1" x14ac:dyDescent="0.35">
      <c r="A64" s="4" t="s">
        <v>108</v>
      </c>
    </row>
    <row r="65" spans="1:4" x14ac:dyDescent="0.35">
      <c r="A65" s="5" t="s">
        <v>44</v>
      </c>
      <c r="B65" s="11">
        <f>B26</f>
        <v>0.15</v>
      </c>
      <c r="C65" s="7" t="s">
        <v>21</v>
      </c>
      <c r="D65" s="8" t="s">
        <v>109</v>
      </c>
    </row>
    <row r="66" spans="1:4" x14ac:dyDescent="0.35">
      <c r="A66" s="5" t="s">
        <v>110</v>
      </c>
      <c r="B66" s="14">
        <f>B27/B26</f>
        <v>0.33333333333333337</v>
      </c>
      <c r="C66" s="7" t="s">
        <v>111</v>
      </c>
      <c r="D66" s="8" t="str">
        <f>"Απώλεια " &amp; B27 &amp; "m / Ονομαστικό " &amp; B26 &amp; "m = +33.33% (χρεώνεται στα €/m³)"</f>
        <v>Απώλεια 0.05m / Ονομαστικό 0.15m = +33.33% (χρεώνεται στα €/m³)</v>
      </c>
    </row>
    <row r="67" spans="1:4" x14ac:dyDescent="0.35">
      <c r="A67" s="5" t="str">
        <f>"ΣΥΝΟΛΙΚΟΣ ΟΓΚΟΣ SHOTCRETE (" &amp; B25 &amp; ") ΕΡΓΟΥ (ΟΝΟΜΑΣΤΙΚΟΣ)"</f>
        <v>ΣΥΝΟΛΙΚΟΣ ΟΓΚΟΣ SHOTCRETE (C25/30) ΕΡΓΟΥ (ΟΝΟΜΑΣΤΙΚΟΣ)</v>
      </c>
      <c r="B67" s="13">
        <f>ROUND(B58*B26, 2)</f>
        <v>83.7</v>
      </c>
      <c r="C67" s="7" t="s">
        <v>112</v>
      </c>
      <c r="D67" s="8" t="str">
        <f>"Εμβαδόν " &amp; B58 &amp; " m² × " &amp; B26 &amp; " m ονομαστικό πάχος (η απώλεια χρεώνεται στα €)"</f>
        <v>Εμβαδόν 558 m² × 0.15 m ονομαστικό πάχος (η απώλεια χρεώνεται στα €)</v>
      </c>
    </row>
    <row r="69" spans="1:4" ht="20" customHeight="1" x14ac:dyDescent="0.35">
      <c r="A69" s="4" t="s">
        <v>113</v>
      </c>
    </row>
    <row r="70" spans="1:4" x14ac:dyDescent="0.35">
      <c r="A70" s="5" t="s">
        <v>114</v>
      </c>
      <c r="B70" s="11">
        <f>ROUNDUP(B53/B32, 0)</f>
        <v>46</v>
      </c>
      <c r="C70" s="7" t="s">
        <v>115</v>
      </c>
      <c r="D70" s="8" t="str">
        <f>"Μήκος " &amp; B53 &amp; "m / Βήμα " &amp; B32 &amp; "m = 46 ήλοι"</f>
        <v>Μήκος 50m / Βήμα 1.1m = 46 ήλοι</v>
      </c>
    </row>
    <row r="71" spans="1:4" x14ac:dyDescent="0.35">
      <c r="A71" s="5" t="s">
        <v>116</v>
      </c>
      <c r="B71" s="11">
        <f>B70*3</f>
        <v>138</v>
      </c>
      <c r="C71" s="7" t="s">
        <v>117</v>
      </c>
      <c r="D71" s="8" t="s">
        <v>118</v>
      </c>
    </row>
    <row r="72" spans="1:4" x14ac:dyDescent="0.35">
      <c r="A72" s="5" t="s">
        <v>119</v>
      </c>
      <c r="B72" s="11">
        <f>B71*B31</f>
        <v>800.4</v>
      </c>
      <c r="C72" s="7" t="s">
        <v>21</v>
      </c>
      <c r="D72" s="8" t="str">
        <f>"138 ήλοι × " &amp; B31 &amp; " m = 800.40 m"</f>
        <v>138 ήλοι × 5.8 m = 800.40 m</v>
      </c>
    </row>
    <row r="73" spans="1:4" x14ac:dyDescent="0.35">
      <c r="A73" s="5" t="s">
        <v>120</v>
      </c>
      <c r="B73" s="11">
        <f>B70*1</f>
        <v>46</v>
      </c>
      <c r="C73" s="7" t="s">
        <v>117</v>
      </c>
      <c r="D73" s="8" t="s">
        <v>121</v>
      </c>
    </row>
    <row r="74" spans="1:4" x14ac:dyDescent="0.35">
      <c r="A74" s="5" t="s">
        <v>122</v>
      </c>
      <c r="B74" s="11">
        <f>B73*B33</f>
        <v>312.8</v>
      </c>
      <c r="C74" s="7" t="s">
        <v>21</v>
      </c>
      <c r="D74" s="8" t="str">
        <f>"46 ήλοι × " &amp; B33 &amp; " m = 312.80 m"</f>
        <v>46 ήλοι × 6.8 m = 312.80 m</v>
      </c>
    </row>
    <row r="75" spans="1:4" x14ac:dyDescent="0.35">
      <c r="A75" s="5" t="s">
        <v>123</v>
      </c>
      <c r="B75" s="11">
        <f>ROUNDUP(B55/B36, 0)</f>
        <v>18</v>
      </c>
      <c r="C75" s="7" t="s">
        <v>115</v>
      </c>
      <c r="D75" s="8" t="str">
        <f>"Μήκος " &amp; B55 &amp; "m / Βήμα " &amp; B36 &amp; "m = 18 ήλοι"</f>
        <v>Μήκος 27m / Βήμα 1.5m = 18 ήλοι</v>
      </c>
    </row>
    <row r="76" spans="1:4" x14ac:dyDescent="0.35">
      <c r="A76" s="5" t="s">
        <v>124</v>
      </c>
      <c r="B76" s="11">
        <f>B75*2</f>
        <v>36</v>
      </c>
      <c r="C76" s="7" t="s">
        <v>117</v>
      </c>
      <c r="D76" s="8" t="s">
        <v>125</v>
      </c>
    </row>
    <row r="77" spans="1:4" x14ac:dyDescent="0.35">
      <c r="A77" s="5" t="s">
        <v>126</v>
      </c>
      <c r="B77" s="11">
        <f>B76*B35</f>
        <v>151.20000000000002</v>
      </c>
      <c r="C77" s="7" t="s">
        <v>21</v>
      </c>
      <c r="D77" s="8" t="str">
        <f>"36 ήλοι × " &amp; B35 &amp; " m = 151.20 m"</f>
        <v>36 ήλοι × 4.2 m = 151.20 m</v>
      </c>
    </row>
    <row r="78" spans="1:4" x14ac:dyDescent="0.35">
      <c r="A78" s="5" t="s">
        <v>127</v>
      </c>
      <c r="B78" s="13">
        <f>B71+B73+B76</f>
        <v>220</v>
      </c>
      <c r="C78" s="7" t="s">
        <v>117</v>
      </c>
      <c r="D78" s="8" t="s">
        <v>128</v>
      </c>
    </row>
    <row r="79" spans="1:4" x14ac:dyDescent="0.35">
      <c r="A79" s="5" t="s">
        <v>129</v>
      </c>
      <c r="B79" s="13">
        <f>B72+B74+B77</f>
        <v>1264.4000000000001</v>
      </c>
      <c r="C79" s="7" t="s">
        <v>21</v>
      </c>
      <c r="D79" s="8" t="s">
        <v>130</v>
      </c>
    </row>
    <row r="80" spans="1:4" x14ac:dyDescent="0.35">
      <c r="A80" s="5" t="s">
        <v>131</v>
      </c>
      <c r="B80" s="11">
        <f>B74</f>
        <v>312.8</v>
      </c>
      <c r="C80" s="7" t="s">
        <v>21</v>
      </c>
      <c r="D80" s="8" t="s">
        <v>132</v>
      </c>
    </row>
    <row r="81" spans="1:4" x14ac:dyDescent="0.35">
      <c r="A81" s="5" t="s">
        <v>133</v>
      </c>
      <c r="B81" s="11">
        <f>B72+B77</f>
        <v>951.6</v>
      </c>
      <c r="C81" s="7" t="s">
        <v>21</v>
      </c>
      <c r="D81" s="8" t="s">
        <v>134</v>
      </c>
    </row>
    <row r="82" spans="1:4" x14ac:dyDescent="0.35">
      <c r="A82" s="5" t="str">
        <f>"Θεωρητικό Βάρος Ράβδου Y" &amp; B30 &amp; " ανά Μέτρο"</f>
        <v>Θεωρητικό Βάρος Ράβδου Y32 ανά Μέτρο</v>
      </c>
      <c r="B82" s="11">
        <f>(PI()*((B30/1000)^2)/4)*7850</f>
        <v>6.3133445966540478</v>
      </c>
      <c r="C82" s="7" t="s">
        <v>102</v>
      </c>
      <c r="D82" s="8" t="str">
        <f>"π * (" &amp; B30 &amp; "/1000)² / 4 * 7850"</f>
        <v>π * (32/1000)² / 4 * 7850</v>
      </c>
    </row>
    <row r="83" spans="1:4" x14ac:dyDescent="0.35">
      <c r="A83" s="5" t="str">
        <f>"ΣΥΝΟΛΙΚΟ ΒΑΡΟΣ ΧΑΛΥΒΑ ΗΛΩΝ (Y" &amp; B30 &amp; ") ΕΡΓΟΥ"</f>
        <v>ΣΥΝΟΛΙΚΟ ΒΑΡΟΣ ΧΑΛΥΒΑ ΗΛΩΝ (Y32) ΕΡΓΟΥ</v>
      </c>
      <c r="B83" s="13">
        <f>ROUND(B79*B82, 2)</f>
        <v>7982.59</v>
      </c>
      <c r="C83" s="7" t="s">
        <v>106</v>
      </c>
      <c r="D83" s="8" t="s">
        <v>135</v>
      </c>
    </row>
    <row r="84" spans="1:4" x14ac:dyDescent="0.35">
      <c r="A84" s="5" t="s">
        <v>136</v>
      </c>
      <c r="B84" s="11">
        <f>PI()*((B37/2)^2)*B38</f>
        <v>1.3571680263507906E-2</v>
      </c>
      <c r="C84" s="7" t="s">
        <v>137</v>
      </c>
      <c r="D84" s="8" t="s">
        <v>138</v>
      </c>
    </row>
    <row r="85" spans="1:4" x14ac:dyDescent="0.35">
      <c r="A85" s="5" t="s">
        <v>139</v>
      </c>
      <c r="B85" s="13">
        <f>ROUND(B79*B84, 2)</f>
        <v>17.16</v>
      </c>
      <c r="C85" s="7" t="s">
        <v>112</v>
      </c>
      <c r="D85" s="8" t="str">
        <f>"Μέτρα " &amp; B79 &amp; " m × " &amp; TEXT(B84, "0.0000") &amp; " m³/m"</f>
        <v>Μέτρα 1264.4 m × 0.0136 m³/m</v>
      </c>
    </row>
    <row r="86" spans="1:4" x14ac:dyDescent="0.35">
      <c r="A86" s="5" t="s">
        <v>140</v>
      </c>
      <c r="B86" s="11">
        <f>ROUND((B39/1000)*(B39/1000)*(B40/1000)*7850, 3)</f>
        <v>10.598000000000001</v>
      </c>
      <c r="C86" s="7" t="s">
        <v>141</v>
      </c>
      <c r="D86" s="8" t="s">
        <v>142</v>
      </c>
    </row>
    <row r="87" spans="1:4" x14ac:dyDescent="0.35">
      <c r="A87" s="5" t="s">
        <v>143</v>
      </c>
      <c r="B87" s="11">
        <f>ROUND((B71+B73)*B86, 2)</f>
        <v>1950.03</v>
      </c>
      <c r="C87" s="7" t="s">
        <v>106</v>
      </c>
      <c r="D87" s="8" t="s">
        <v>144</v>
      </c>
    </row>
    <row r="88" spans="1:4" x14ac:dyDescent="0.35">
      <c r="A88" s="5" t="s">
        <v>145</v>
      </c>
      <c r="B88" s="11">
        <f>ROUND((B41/1000)*(B41/1000)*(B42/1000)*7850, 3)</f>
        <v>4.71</v>
      </c>
      <c r="C88" s="7" t="s">
        <v>141</v>
      </c>
      <c r="D88" s="8" t="s">
        <v>146</v>
      </c>
    </row>
    <row r="89" spans="1:4" x14ac:dyDescent="0.35">
      <c r="A89" s="5" t="s">
        <v>147</v>
      </c>
      <c r="B89" s="11">
        <f>ROUND(B76*B88, 2)</f>
        <v>169.56</v>
      </c>
      <c r="C89" s="7" t="s">
        <v>106</v>
      </c>
      <c r="D89" s="8" t="s">
        <v>148</v>
      </c>
    </row>
    <row r="90" spans="1:4" x14ac:dyDescent="0.35">
      <c r="A90" s="5" t="s">
        <v>149</v>
      </c>
      <c r="B90" s="13">
        <f>ROUND(B87+B89, 2)</f>
        <v>2119.59</v>
      </c>
      <c r="C90" s="7" t="s">
        <v>106</v>
      </c>
      <c r="D90" s="8" t="s">
        <v>150</v>
      </c>
    </row>
    <row r="91" spans="1:4" x14ac:dyDescent="0.35">
      <c r="A91" s="5" t="s">
        <v>151</v>
      </c>
      <c r="B91" s="13">
        <f>B78*B43</f>
        <v>220</v>
      </c>
      <c r="C91" s="7" t="s">
        <v>117</v>
      </c>
      <c r="D91" s="8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tabSelected="1" workbookViewId="0"/>
  </sheetViews>
  <sheetFormatPr defaultRowHeight="14.5" x14ac:dyDescent="0.35"/>
  <cols>
    <col min="1" max="1" width="44" customWidth="1"/>
    <col min="2" max="2" width="18" customWidth="1"/>
    <col min="3" max="3" width="14" customWidth="1"/>
    <col min="4" max="5" width="22" customWidth="1"/>
    <col min="6" max="6" width="26" customWidth="1"/>
    <col min="7" max="7" width="28" customWidth="1"/>
  </cols>
  <sheetData>
    <row r="1" spans="1:6" ht="30" customHeight="1" x14ac:dyDescent="0.35">
      <c r="A1" s="1" t="s">
        <v>153</v>
      </c>
    </row>
    <row r="2" spans="1:6" x14ac:dyDescent="0.35">
      <c r="A2" s="2" t="s">
        <v>154</v>
      </c>
    </row>
    <row r="4" spans="1:6" ht="25" customHeight="1" x14ac:dyDescent="0.35">
      <c r="A4" s="15" t="s">
        <v>155</v>
      </c>
      <c r="B4" s="16" t="s">
        <v>156</v>
      </c>
      <c r="C4" s="16" t="s">
        <v>157</v>
      </c>
      <c r="D4" s="16" t="s">
        <v>158</v>
      </c>
      <c r="E4" s="16" t="s">
        <v>159</v>
      </c>
      <c r="F4" s="15" t="s">
        <v>160</v>
      </c>
    </row>
    <row r="5" spans="1:6" ht="22" customHeight="1" x14ac:dyDescent="0.35">
      <c r="A5" s="17" t="s">
        <v>161</v>
      </c>
    </row>
    <row r="6" spans="1:6" x14ac:dyDescent="0.35">
      <c r="A6" s="18" t="s">
        <v>162</v>
      </c>
      <c r="B6" s="19">
        <f>'1_Στοιχεία_Μελέτης_&amp;_Ποσότητες'!B49</f>
        <v>7</v>
      </c>
      <c r="C6" s="7" t="s">
        <v>85</v>
      </c>
      <c r="D6" s="20">
        <v>200</v>
      </c>
      <c r="E6" s="21">
        <f>B6*D6</f>
        <v>1400</v>
      </c>
      <c r="F6" s="22" t="str">
        <f>"Από Φύλλο 1 (" &amp; B6 &amp; " στράτες = Σειρές+1) × 200.00 €/στράτα"</f>
        <v>Από Φύλλο 1 (7 στράτες = Σειρές+1) × 200.00 €/στράτα</v>
      </c>
    </row>
    <row r="7" spans="1:6" x14ac:dyDescent="0.35">
      <c r="A7" s="18" t="s">
        <v>163</v>
      </c>
      <c r="B7" s="19">
        <f>'1_Στοιχεία_Μελέτης_&amp;_Ποσότητες'!B50</f>
        <v>6</v>
      </c>
      <c r="C7" s="7" t="s">
        <v>85</v>
      </c>
      <c r="D7" s="20">
        <v>300</v>
      </c>
      <c r="E7" s="21">
        <f>B7*D7</f>
        <v>1800</v>
      </c>
      <c r="F7" s="22" t="str">
        <f>"Από Φύλλο 1 (" &amp; B7 &amp; " στράτες = Σειρές) × 300.00 €/στράτα"</f>
        <v>Από Φύλλο 1 (6 στράτες = Σειρές) × 300.00 €/στράτα</v>
      </c>
    </row>
    <row r="8" spans="1:6" x14ac:dyDescent="0.35">
      <c r="A8" s="23" t="s">
        <v>164</v>
      </c>
      <c r="E8" s="24">
        <f>SUM(E6:E7)</f>
        <v>3200</v>
      </c>
    </row>
    <row r="10" spans="1:6" ht="22" customHeight="1" x14ac:dyDescent="0.35">
      <c r="A10" s="17" t="s">
        <v>165</v>
      </c>
    </row>
    <row r="11" spans="1:6" x14ac:dyDescent="0.35">
      <c r="A11" s="18" t="str">
        <f>"Αγορά Χάλυβα Σχάρας (Y" &amp; '1_Στοιχεία_Μελέτης_&amp;_Ποσότητες'!B20 &amp; " " &amp; '1_Στοιχεία_Μελέτης_&amp;_Ποσότητες'!B19 &amp; ")"</f>
        <v>Αγορά Χάλυβα Σχάρας (Y10 B500A Δομικό Πλέγμα)</v>
      </c>
      <c r="B11" s="19">
        <f>'1_Στοιχεία_Μελέτης_&amp;_Ποσότητες'!B62</f>
        <v>4587.32</v>
      </c>
      <c r="C11" s="7" t="s">
        <v>106</v>
      </c>
      <c r="D11" s="20">
        <v>2.5</v>
      </c>
      <c r="E11" s="21">
        <f>B11*D11</f>
        <v>11468.3</v>
      </c>
      <c r="F11" s="22" t="str">
        <f>"Από Φύλλο 1 (" &amp; TEXT(B11, "#,##0.00") &amp; " kg) × 2.50 €/kg"</f>
        <v>Από Φύλλο 1 (4,587.32 kg) × 2.50 €/kg</v>
      </c>
    </row>
    <row r="12" spans="1:6" x14ac:dyDescent="0.35">
      <c r="A12" s="18" t="s">
        <v>166</v>
      </c>
      <c r="B12" s="19">
        <f>'1_Στοιχεία_Μελέτης_&amp;_Ποσότητες'!B58</f>
        <v>558</v>
      </c>
      <c r="C12" s="7" t="s">
        <v>92</v>
      </c>
      <c r="D12" s="20">
        <v>15</v>
      </c>
      <c r="E12" s="21">
        <f>B12*D12</f>
        <v>8370</v>
      </c>
      <c r="F12" s="22" t="str">
        <f>"Από Φύλλο 1 (" &amp; TEXT(B12, "#,##0.00") &amp; " m²) × 15.00 €/m²"</f>
        <v>Από Φύλλο 1 (558.00 m²) × 15.00 €/m²</v>
      </c>
    </row>
    <row r="13" spans="1:6" x14ac:dyDescent="0.35">
      <c r="A13" s="23" t="s">
        <v>167</v>
      </c>
      <c r="E13" s="24">
        <f>SUM(E11:E12)</f>
        <v>19838.3</v>
      </c>
    </row>
    <row r="15" spans="1:6" ht="22" customHeight="1" x14ac:dyDescent="0.35">
      <c r="A15" s="17" t="s">
        <v>168</v>
      </c>
    </row>
    <row r="16" spans="1:6" x14ac:dyDescent="0.35">
      <c r="A16" s="18" t="str">
        <f>"Αγορά Σκυροδέματος Shotcrete (" &amp; '1_Στοιχεία_Μελέτης_&amp;_Ποσότητες'!B25 &amp; ")"</f>
        <v>Αγορά Σκυροδέματος Shotcrete (C25/30)</v>
      </c>
      <c r="B16" s="19">
        <f>'1_Στοιχεία_Μελέτης_&amp;_Ποσότητες'!B67</f>
        <v>83.7</v>
      </c>
      <c r="C16" s="7" t="s">
        <v>112</v>
      </c>
      <c r="D16" s="25">
        <v>90</v>
      </c>
      <c r="E16" s="21">
        <f>B16*D16</f>
        <v>7533</v>
      </c>
      <c r="F16" s="22" t="s">
        <v>169</v>
      </c>
    </row>
    <row r="17" spans="1:6" x14ac:dyDescent="0.35">
      <c r="A17" s="18" t="s">
        <v>170</v>
      </c>
      <c r="B17" s="19">
        <f>'1_Στοιχεία_Μελέτης_&amp;_Ποσότητες'!B67</f>
        <v>83.7</v>
      </c>
      <c r="C17" s="7" t="s">
        <v>112</v>
      </c>
      <c r="D17" s="20">
        <f>ROUND((IF(B16&gt;7, 200, 250)*(1+'1_Στοιχεία_Μελέτης_&amp;_Ποσότητες'!B66))-90, 2)</f>
        <v>176.67</v>
      </c>
      <c r="E17" s="21">
        <f>B17*D17</f>
        <v>14787.278999999999</v>
      </c>
      <c r="F17" s="22" t="str">
        <f>"Βάση " &amp; IF(B16&gt;7,200,250) &amp; "€ × (1+" &amp; TEXT('1_Στοιχεία_Μελέτης_&amp;_Ποσότητες'!B66, "0.0%") &amp; " απώλεια) - 90€ αγορά"</f>
        <v>Βάση 200€ × (1+33.3% απώλεια) - 90€ αγορά</v>
      </c>
    </row>
    <row r="18" spans="1:6" x14ac:dyDescent="0.35">
      <c r="A18" s="23" t="s">
        <v>171</v>
      </c>
      <c r="E18" s="24">
        <f>SUM(E16:E17)</f>
        <v>22320.278999999999</v>
      </c>
    </row>
    <row r="20" spans="1:6" ht="22" customHeight="1" x14ac:dyDescent="0.35">
      <c r="A20" s="17" t="s">
        <v>172</v>
      </c>
    </row>
    <row r="21" spans="1:6" x14ac:dyDescent="0.35">
      <c r="A21" s="18" t="s">
        <v>173</v>
      </c>
      <c r="B21" s="19">
        <f>'1_Στοιχεία_Μελέτης_&amp;_Ποσότητες'!B80</f>
        <v>312.8</v>
      </c>
      <c r="C21" s="7" t="s">
        <v>21</v>
      </c>
      <c r="D21" s="20">
        <v>25</v>
      </c>
      <c r="E21" s="21">
        <f t="shared" ref="E21:E27" si="0">B21*D21</f>
        <v>7820</v>
      </c>
      <c r="F21" s="22" t="str">
        <f>"Από Φύλλο 1 (" &amp; TEXT(B21, "#,##0.00") &amp; " m) × 25.00 €/m"</f>
        <v>Από Φύλλο 1 (312.80 m) × 25.00 €/m</v>
      </c>
    </row>
    <row r="22" spans="1:6" x14ac:dyDescent="0.35">
      <c r="A22" s="18" t="s">
        <v>174</v>
      </c>
      <c r="B22" s="19">
        <f>'1_Στοιχεία_Μελέτης_&amp;_Ποσότητες'!B81</f>
        <v>951.6</v>
      </c>
      <c r="C22" s="7" t="s">
        <v>21</v>
      </c>
      <c r="D22" s="20">
        <v>30</v>
      </c>
      <c r="E22" s="21">
        <f t="shared" si="0"/>
        <v>28548</v>
      </c>
      <c r="F22" s="22" t="str">
        <f>"Από Φύλλο 1 (" &amp; TEXT(B22, "#,##0.00") &amp; " m) × 30.00 €/m"</f>
        <v>Από Φύλλο 1 (951.60 m) × 30.00 €/m</v>
      </c>
    </row>
    <row r="23" spans="1:6" x14ac:dyDescent="0.35">
      <c r="A23" s="18" t="s">
        <v>175</v>
      </c>
      <c r="B23" s="19">
        <f>'1_Στοιχεία_Μελέτης_&amp;_Ποσότητες'!B85</f>
        <v>17.16</v>
      </c>
      <c r="C23" s="7" t="s">
        <v>112</v>
      </c>
      <c r="D23" s="20">
        <v>500</v>
      </c>
      <c r="E23" s="21">
        <f t="shared" si="0"/>
        <v>8580</v>
      </c>
      <c r="F23" s="22" t="str">
        <f>"Από Φύλλο 1 (" &amp; TEXT(B23, "#,##0.00") &amp; " m³) × 500.00 €/m³"</f>
        <v>Από Φύλλο 1 (17.16 m³) × 500.00 €/m³</v>
      </c>
    </row>
    <row r="24" spans="1:6" x14ac:dyDescent="0.35">
      <c r="A24" s="18" t="str">
        <f>"4.3 Χάλυβας Ήλων B500C (Y" &amp; '1_Στοιχεία_Μελέτης_&amp;_Ποσότητες'!B30 &amp; ")"</f>
        <v>4.3 Χάλυβας Ήλων B500C (Y32)</v>
      </c>
      <c r="B24" s="19">
        <f>'1_Στοιχεία_Μελέτης_&amp;_Ποσότητες'!B83</f>
        <v>7982.59</v>
      </c>
      <c r="C24" s="7" t="s">
        <v>106</v>
      </c>
      <c r="D24" s="20">
        <v>1.5</v>
      </c>
      <c r="E24" s="21">
        <f t="shared" si="0"/>
        <v>11973.885</v>
      </c>
      <c r="F24" s="22" t="str">
        <f>"Από Φύλλο 1 (" &amp; TEXT(B24, "#,##0.00") &amp; " kg) × 1.50 €/kg"</f>
        <v>Από Φύλλο 1 (7,982.59 kg) × 1.50 €/kg</v>
      </c>
    </row>
    <row r="25" spans="1:6" x14ac:dyDescent="0.35">
      <c r="A25" s="18" t="s">
        <v>176</v>
      </c>
      <c r="B25" s="19">
        <f>'1_Στοιχεία_Μελέτης_&amp;_Ποσότητες'!B78</f>
        <v>220</v>
      </c>
      <c r="C25" s="7" t="s">
        <v>117</v>
      </c>
      <c r="D25" s="20">
        <v>20</v>
      </c>
      <c r="E25" s="21">
        <f t="shared" si="0"/>
        <v>4400</v>
      </c>
      <c r="F25" s="22" t="str">
        <f>"Από Φύλλο 1 (" &amp; TEXT(B25, "#,##0") &amp; " ήλοι) × 20.00 €/τεμ"</f>
        <v>Από Φύλλο 1 (220 ήλοι) × 20.00 €/τεμ</v>
      </c>
    </row>
    <row r="26" spans="1:6" x14ac:dyDescent="0.35">
      <c r="A26" s="18" t="s">
        <v>177</v>
      </c>
      <c r="B26" s="19">
        <f>'1_Στοιχεία_Μελέτης_&amp;_Ποσότητες'!B90</f>
        <v>2119.59</v>
      </c>
      <c r="C26" s="7" t="s">
        <v>106</v>
      </c>
      <c r="D26" s="20">
        <v>2</v>
      </c>
      <c r="E26" s="21">
        <f t="shared" si="0"/>
        <v>4239.18</v>
      </c>
      <c r="F26" s="22" t="str">
        <f>"Από Φύλλο 1 (" &amp; TEXT(B26, "#,##0.00") &amp; " kg) × 2.00 €/kg"</f>
        <v>Από Φύλλο 1 (2,119.59 kg) × 2.00 €/kg</v>
      </c>
    </row>
    <row r="27" spans="1:6" x14ac:dyDescent="0.35">
      <c r="A27" s="18" t="s">
        <v>178</v>
      </c>
      <c r="B27" s="19">
        <f>'1_Στοιχεία_Μελέτης_&amp;_Ποσότητες'!B91</f>
        <v>220</v>
      </c>
      <c r="C27" s="7" t="s">
        <v>117</v>
      </c>
      <c r="D27" s="20">
        <v>5</v>
      </c>
      <c r="E27" s="21">
        <f t="shared" si="0"/>
        <v>1100</v>
      </c>
      <c r="F27" s="22" t="str">
        <f>"Από Φύλλο 1 (" &amp; TEXT(B27, "#,##0") &amp; " nuts) × 5.00 €/τεμ"</f>
        <v>Από Φύλλο 1 (220 nuts) × 5.00 €/τεμ</v>
      </c>
    </row>
    <row r="28" spans="1:6" x14ac:dyDescent="0.35">
      <c r="A28" s="23" t="s">
        <v>179</v>
      </c>
      <c r="E28" s="24">
        <f>SUM(E21:E27)</f>
        <v>66661.065000000002</v>
      </c>
    </row>
    <row r="30" spans="1:6" ht="22" customHeight="1" x14ac:dyDescent="0.35">
      <c r="A30" s="17" t="s">
        <v>180</v>
      </c>
    </row>
    <row r="31" spans="1:6" x14ac:dyDescent="0.35">
      <c r="A31" s="26" t="s">
        <v>181</v>
      </c>
      <c r="E31" s="27">
        <f>E8+E13+E18+E28</f>
        <v>112019.644</v>
      </c>
      <c r="F31" s="22" t="s">
        <v>182</v>
      </c>
    </row>
    <row r="32" spans="1:6" x14ac:dyDescent="0.35">
      <c r="A32" s="5" t="s">
        <v>183</v>
      </c>
      <c r="E32" s="21">
        <f>ROUND(E31*0.19, 2)</f>
        <v>21283.73</v>
      </c>
      <c r="F32" s="22" t="s">
        <v>184</v>
      </c>
    </row>
    <row r="33" spans="1:7" x14ac:dyDescent="0.35">
      <c r="A33" s="26" t="s">
        <v>185</v>
      </c>
      <c r="E33" s="27">
        <f>E31+E32</f>
        <v>133303.37400000001</v>
      </c>
      <c r="F33" s="22" t="s">
        <v>186</v>
      </c>
    </row>
    <row r="34" spans="1:7" x14ac:dyDescent="0.35">
      <c r="A34" s="5" t="s">
        <v>187</v>
      </c>
      <c r="E34" s="21">
        <f>ROUND(E31/'1_Στοιχεία_Μελέτης_&amp;_Ποσότητες'!B58, 2)</f>
        <v>200.75</v>
      </c>
      <c r="F34" s="22" t="str">
        <f>"Καθαρό σύνολο / " &amp; '1_Στοιχεία_Μελέτης_&amp;_Ποσότητες'!B58 &amp; " m²"</f>
        <v>Καθαρό σύνολο / 558 m²</v>
      </c>
    </row>
    <row r="35" spans="1:7" x14ac:dyDescent="0.35">
      <c r="A35" s="5" t="s">
        <v>188</v>
      </c>
      <c r="E35" s="21">
        <f>ROUND(E31/'1_Στοιχεία_Μελέτης_&amp;_Ποσότητες'!B78, 2)</f>
        <v>509.18</v>
      </c>
      <c r="F35" s="22" t="str">
        <f>"Καθαρό σύνολο / " &amp; '1_Στοιχεία_Μελέτης_&amp;_Ποσότητες'!B78 &amp; " ήλοι"</f>
        <v>Καθαρό σύνολο / 220 ήλοι</v>
      </c>
    </row>
    <row r="40" spans="1:7" ht="24" customHeight="1" x14ac:dyDescent="0.35">
      <c r="A40" s="17" t="s">
        <v>189</v>
      </c>
    </row>
    <row r="41" spans="1:7" x14ac:dyDescent="0.35">
      <c r="A41" s="28" t="s">
        <v>190</v>
      </c>
    </row>
    <row r="42" spans="1:7" ht="26" x14ac:dyDescent="0.35">
      <c r="A42" s="29" t="s">
        <v>191</v>
      </c>
      <c r="B42" s="29" t="s">
        <v>192</v>
      </c>
      <c r="C42" s="29" t="s">
        <v>193</v>
      </c>
      <c r="D42" s="29" t="s">
        <v>194</v>
      </c>
      <c r="E42" s="29" t="s">
        <v>195</v>
      </c>
      <c r="F42" s="29" t="s">
        <v>196</v>
      </c>
      <c r="G42" s="29" t="s">
        <v>197</v>
      </c>
    </row>
    <row r="43" spans="1:7" x14ac:dyDescent="0.35">
      <c r="A43" s="30" t="str">
        <f>"Ζώνη Α (H=9.0m): L_μέσο=" &amp; TEXT(B43, "0.00") &amp; "m @ " &amp; '1_Στοιχεία_Μελέτης_&amp;_Ποσότητες'!B32 &amp; "m"</f>
        <v>Ζώνη Α (H=9.0m): L_μέσο=6.05m @ 1.1m</v>
      </c>
      <c r="B43" s="31">
        <f>('1_Στοιχεία_Μελέτης_&amp;_Ποσότητες'!B72+'1_Στοιχεία_Μελέτης_&amp;_Ποσότητες'!B74)/('1_Στοιχεία_Μελέτης_&amp;_Ποσότητες'!B71+'1_Στοιχεία_Μελέτης_&amp;_Ποσότητες'!B73)</f>
        <v>6.05</v>
      </c>
      <c r="C43" s="31">
        <f>'1_Στοιχεία_Μελέτης_&amp;_Ποσότητες'!B32</f>
        <v>1.1000000000000001</v>
      </c>
      <c r="D43" s="32">
        <f>ROUND((('1_Στοιχεία_Μελέτης_&amp;_Ποσότητες'!B74*$D$21 + '1_Στοιχεία_Μελέτης_&amp;_Ποσότητες'!B72*$D$22)/('1_Στοιχεία_Μελέτης_&amp;_Ποσότητες'!B71+'1_Στοιχεία_Μελέτης_&amp;_Ποσότητες'!B73)) + (B43*'1_Στοιχεία_Μελέτης_&amp;_Ποσότητες'!$B$84*$D$23) + (B43*'1_Στοιχεία_Μελέτης_&amp;_Ποσότητες'!$B$82*$D$24) + $D$25 + ('1_Στοιχεία_Μελέτης_&amp;_Ποσότητες'!$B$86*$D$26) + $D$27, 2)</f>
        <v>317.54000000000002</v>
      </c>
      <c r="E43" s="32">
        <f>ROUND(D43/B43, 2)</f>
        <v>52.49</v>
      </c>
      <c r="F43" s="32">
        <f>ROUND((('1_Στοιχεία_Μελέτης_&amp;_Ποσότητες'!B71+'1_Στοιχεία_Μελέτης_&amp;_Ποσότητες'!B73)*D43)/'1_Στοιχεία_Μελέτης_&amp;_Ποσότητες'!B54, 2)</f>
        <v>129.84</v>
      </c>
      <c r="G43" s="32">
        <f>ROUND(F43 + ($E$8+$E$13+$E$18)/'1_Στοιχεία_Μελέτης_&amp;_Ποσότητες'!B58, 2)</f>
        <v>211.13</v>
      </c>
    </row>
    <row r="44" spans="1:7" x14ac:dyDescent="0.35">
      <c r="A44" s="30" t="str">
        <f>"Ζώνη Β (H=4.0m): L=" &amp; '1_Στοιχεία_Μελέτης_&amp;_Ποσότητες'!B35 &amp; "m @ " &amp; '1_Στοιχεία_Μελέτης_&amp;_Ποσότητες'!B36 &amp; "m"</f>
        <v>Ζώνη Β (H=4.0m): L=4.2m @ 1.5m</v>
      </c>
      <c r="B44" s="31">
        <f>'1_Στοιχεία_Μελέτης_&amp;_Ποσότητες'!B35</f>
        <v>4.2</v>
      </c>
      <c r="C44" s="31">
        <f>'1_Στοιχεία_Μελέτης_&amp;_Ποσότητες'!B36</f>
        <v>1.5</v>
      </c>
      <c r="D44" s="32">
        <f>ROUND((B44*$D$22) + (B44*'1_Στοιχεία_Μελέτης_&amp;_Ποσότητες'!$B$84*$D$23) + (B44*'1_Στοιχεία_Μελέτης_&amp;_Ποσότητες'!$B$82*$D$24) + $D$25 + ('1_Στοιχεία_Μελέτης_&amp;_Ποσότητες'!$B$88*$D$26) + $D$27, 2)</f>
        <v>228.69</v>
      </c>
      <c r="E44" s="32">
        <f>ROUND(D44/B44, 2)</f>
        <v>54.45</v>
      </c>
      <c r="F44" s="32">
        <f>ROUND(('1_Στοιχεία_Μελέτης_&amp;_Ποσότητες'!B76*D44)/'1_Στοιχεία_Μελέτης_&amp;_Ποσότητες'!B56, 2)</f>
        <v>76.23</v>
      </c>
      <c r="G44" s="32">
        <f>ROUND(F44 + ($E$8+$E$13+$E$18)/'1_Στοιχεία_Μελέτης_&amp;_Ποσότητες'!B58, 2)</f>
        <v>157.52000000000001</v>
      </c>
    </row>
    <row r="45" spans="1:7" x14ac:dyDescent="0.35">
      <c r="A45" s="33" t="s">
        <v>198</v>
      </c>
      <c r="B45" s="34"/>
      <c r="C45" s="34"/>
      <c r="D45" s="35">
        <f>ROUND(D43-D44, 2)</f>
        <v>88.85</v>
      </c>
      <c r="E45" s="35">
        <f>ROUND(E43-E44, 2)</f>
        <v>-1.96</v>
      </c>
      <c r="F45" s="35">
        <f>ROUND(F43-F44, 2)</f>
        <v>53.61</v>
      </c>
      <c r="G45" s="35">
        <f>ROUND(G43-G44, 2)</f>
        <v>53.61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1_Στοιχεία_Μελέτης_&amp;_Ποσότητες</vt:lpstr>
      <vt:lpstr>2_Υπολογισμοί_&amp;_Κοστολόγηση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2026-10-09T10:14:50Z</dcterms:created>
  <dcterms:modified xsi:type="dcterms:W3CDTF">2026-10-09T10:18:03Z</dcterms:modified>
</cp:coreProperties>
</file>