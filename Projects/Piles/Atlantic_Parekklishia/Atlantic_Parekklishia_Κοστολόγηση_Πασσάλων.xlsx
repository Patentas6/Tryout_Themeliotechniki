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kth\Desktop\NIKOLAS TRY\Projects\Piles\Atlantic_Parekklishia\"/>
    </mc:Choice>
  </mc:AlternateContent>
  <xr:revisionPtr revIDLastSave="0" documentId="13_ncr:1_{FA4CAE98-D95C-417B-9239-30218DA40C06}" xr6:coauthVersionLast="47" xr6:coauthVersionMax="47" xr10:uidLastSave="{00000000-0000-0000-0000-000000000000}"/>
  <bookViews>
    <workbookView xWindow="6400" yWindow="4110" windowWidth="19200" windowHeight="11170" xr2:uid="{00000000-000D-0000-FFFF-FFFF00000000}"/>
  </bookViews>
  <sheets>
    <sheet name="Οικονομική Προσφορά" sheetId="1" r:id="rId1"/>
    <sheet name="Τεχνικοί Υπολογισμοί" sheetId="2" r:id="rId2"/>
    <sheet name="Τιμές &amp; Έλεγχος" sheetId="3" r:id="rId3"/>
  </sheets>
  <definedNames>
    <definedName name="N_b2_breaking_note">'Τεχνικοί Υπολογισμοί'!$G$64</definedName>
    <definedName name="N_b2_breaking_price">'Τεχνικοί Υπολογισμοί'!$E$64</definedName>
    <definedName name="N_b2_breaking_qty">'Τεχνικοί Υπολογισμοί'!$D$64</definedName>
    <definedName name="N_b2_breaking_total">'Τεχνικοί Υπολογισμοί'!$F$64</definedName>
    <definedName name="N_b2_conc_note">'Τεχνικοί Υπολογισμοί'!$G$58</definedName>
    <definedName name="N_b2_conc_price">'Τεχνικοί Υπολογισμοί'!$E$58</definedName>
    <definedName name="N_b2_conc_qty">'Τεχνικοί Υπολογισμοί'!$D$58</definedName>
    <definedName name="N_b2_conc_total">'Τεχνικοί Υπολογισμοί'!$F$58</definedName>
    <definedName name="N_b2_drill_600_note">'Τεχνικοί Υπολογισμοί'!$G$57</definedName>
    <definedName name="N_b2_drill_600_price">'Τεχνικοί Υπολογισμοί'!$E$57</definedName>
    <definedName name="N_b2_drill_600_qty">'Τεχνικοί Υπολογισμοί'!$D$57</definedName>
    <definedName name="N_b2_drill_600_total">'Τεχνικοί Υπολογισμοί'!$F$57</definedName>
    <definedName name="N_b2_drill_800_note">'Τεχνικοί Υπολογισμοί'!$G$56</definedName>
    <definedName name="N_b2_drill_800_price">'Τεχνικοί Υπολογισμοί'!$E$56</definedName>
    <definedName name="N_b2_drill_800_qty">'Τεχνικοί Υπολογισμοί'!$D$56</definedName>
    <definedName name="N_b2_drill_800_total">'Τεχνικοί Υπολογισμοί'!$F$56</definedName>
    <definedName name="N_b2_grand_total">'Τεχνικοί Υπολογισμοί'!$F$66</definedName>
    <definedName name="N_b2_grand_total_note">'Τεχνικοί Υπολογισμοί'!$G$66</definedName>
    <definedName name="N_b2_mob_note">'Τεχνικοί Υπολογισμοί'!$G$55</definedName>
    <definedName name="N_b2_mob_price">'Τεχνικοί Υπολογισμοί'!$E$55</definedName>
    <definedName name="N_b2_mob_qty">'Τεχνικοί Υπολογισμοί'!$D$55</definedName>
    <definedName name="N_b2_mob_total">'Τεχνικοί Υπολογισμοί'!$F$55</definedName>
    <definedName name="N_b2_sleeve_note">'Τεχνικοί Υπολογισμοί'!$G$63</definedName>
    <definedName name="N_b2_sleeve_price">'Τεχνικοί Υπολογισμοί'!$E$63</definedName>
    <definedName name="N_b2_sleeve_qty">'Τεχνικοί Υπολογισμοί'!$D$63</definedName>
    <definedName name="N_b2_sleeve_total">'Τεχνικοί Υπολογισμοί'!$F$63</definedName>
    <definedName name="N_b2_soil_note">'Τεχνικοί Υπολογισμοί'!$G$65</definedName>
    <definedName name="N_b2_soil_price">'Τεχνικοί Υπολογισμοί'!$E$65</definedName>
    <definedName name="N_b2_soil_qty">'Τεχνικοί Υπολογισμοί'!$D$65</definedName>
    <definedName name="N_b2_soil_total">'Τεχνικοί Υπολογισμοί'!$F$65</definedName>
    <definedName name="N_b2_steel_head_note">'Τεχνικοί Υπολογισμοί'!$G$61</definedName>
    <definedName name="N_b2_steel_head_price">'Τεχνικοί Υπολογισμοί'!$E$61</definedName>
    <definedName name="N_b2_steel_head_qty">'Τεχνικοί Υπολογισμοί'!$D$61</definedName>
    <definedName name="N_b2_steel_head_total">'Τεχνικοί Υπολογισμοί'!$F$61</definedName>
    <definedName name="N_b2_steel_note">'Τεχνικοί Υπολογισμοί'!$G$62</definedName>
    <definedName name="N_b2_steel_price">'Τεχνικοί Υπολογισμοί'!$E$62</definedName>
    <definedName name="N_b2_steel_qty">'Τεχνικοί Υπολογισμοί'!$D$62</definedName>
    <definedName name="N_b2_steel_spiral_note">'Τεχνικοί Υπολογισμοί'!$G$60</definedName>
    <definedName name="N_b2_steel_spiral_price">'Τεχνικοί Υπολογισμοί'!$E$60</definedName>
    <definedName name="N_b2_steel_spiral_qty">'Τεχνικοί Υπολογισμοί'!$D$60</definedName>
    <definedName name="N_b2_steel_spiral_total">'Τεχνικοί Υπολογισμοί'!$F$60</definedName>
    <definedName name="N_b2_steel_total">'Τεχνικοί Υπολογισμοί'!$F$62</definedName>
    <definedName name="N_b2_steel_vert_note">'Τεχνικοί Υπολογισμοί'!$G$59</definedName>
    <definedName name="N_b2_steel_vert_price">'Τεχνικοί Υπολογισμοί'!$E$59</definedName>
    <definedName name="N_b2_steel_vert_qty">'Τεχνικοί Υπολογισμοί'!$D$59</definedName>
    <definedName name="N_b2_steel_vert_total">'Τεχνικοί Υπολογισμοί'!$F$59</definedName>
    <definedName name="N_b2g_grand_total">'Τεχνικοί Υπολογισμοί'!$F$97</definedName>
    <definedName name="N_b2g_grand_total_note">'Τεχνικοί Υπολογισμοί'!$G$97</definedName>
    <definedName name="N_b2g0_breaking_note">'Τεχνικοί Υπολογισμοί'!$G$79</definedName>
    <definedName name="N_b2g0_breaking_price">'Τεχνικοί Υπολογισμοί'!$E$79</definedName>
    <definedName name="N_b2g0_breaking_qty">'Τεχνικοί Υπολογισμοί'!$D$79</definedName>
    <definedName name="N_b2g0_breaking_total">'Τεχνικοί Υπολογισμοί'!$F$79</definedName>
    <definedName name="N_b2g0_conc_note">'Τεχνικοί Υπολογισμοί'!$G$73</definedName>
    <definedName name="N_b2g0_conc_price">'Τεχνικοί Υπολογισμοί'!$E$73</definedName>
    <definedName name="N_b2g0_conc_qty">'Τεχνικοί Υπολογισμοί'!$D$73</definedName>
    <definedName name="N_b2g0_conc_total">'Τεχνικοί Υπολογισμοί'!$F$73</definedName>
    <definedName name="N_b2g0_drill_note">'Τεχνικοί Υπολογισμοί'!$G$72</definedName>
    <definedName name="N_b2g0_drill_price">'Τεχνικοί Υπολογισμοί'!$E$72</definedName>
    <definedName name="N_b2g0_drill_qty">'Τεχνικοί Υπολογισμοί'!$D$72</definedName>
    <definedName name="N_b2g0_drill_total">'Τεχνικοί Υπολογισμοί'!$F$72</definedName>
    <definedName name="N_b2g0_group_total">'Τεχνικοί Υπολογισμοί'!$F$82</definedName>
    <definedName name="N_b2g0_group_total_note">'Τεχνικοί Υπολογισμοί'!$G$82</definedName>
    <definedName name="N_b2g0_mob_note">'Τεχνικοί Υπολογισμοί'!$G$71</definedName>
    <definedName name="N_b2g0_mob_price">'Τεχνικοί Υπολογισμοί'!$E$71</definedName>
    <definedName name="N_b2g0_mob_qty">'Τεχνικοί Υπολογισμοί'!$D$71</definedName>
    <definedName name="N_b2g0_mob_total">'Τεχνικοί Υπολογισμοί'!$F$71</definedName>
    <definedName name="N_b2g0_pile_total">'Τεχνικοί Υπολογισμοί'!$F$81</definedName>
    <definedName name="N_b2g0_pile_total_note">'Τεχνικοί Υπολογισμοί'!$G$81</definedName>
    <definedName name="N_b2g0_sleeve_note">'Τεχνικοί Υπολογισμοί'!$G$78</definedName>
    <definedName name="N_b2g0_sleeve_price">'Τεχνικοί Υπολογισμοί'!$E$78</definedName>
    <definedName name="N_b2g0_sleeve_qty">'Τεχνικοί Υπολογισμοί'!$D$78</definedName>
    <definedName name="N_b2g0_sleeve_total">'Τεχνικοί Υπολογισμοί'!$F$78</definedName>
    <definedName name="N_b2g0_soil_note">'Τεχνικοί Υπολογισμοί'!$G$80</definedName>
    <definedName name="N_b2g0_soil_price">'Τεχνικοί Υπολογισμοί'!$E$80</definedName>
    <definedName name="N_b2g0_soil_qty">'Τεχνικοί Υπολογισμοί'!$D$80</definedName>
    <definedName name="N_b2g0_soil_total">'Τεχνικοί Υπολογισμοί'!$F$80</definedName>
    <definedName name="N_b2g0_steel_head_note">'Τεχνικοί Υπολογισμοί'!$G$76</definedName>
    <definedName name="N_b2g0_steel_head_price">'Τεχνικοί Υπολογισμοί'!$E$76</definedName>
    <definedName name="N_b2g0_steel_head_qty">'Τεχνικοί Υπολογισμοί'!$D$76</definedName>
    <definedName name="N_b2g0_steel_head_total">'Τεχνικοί Υπολογισμοί'!$F$76</definedName>
    <definedName name="N_b2g0_steel_note">'Τεχνικοί Υπολογισμοί'!$G$77</definedName>
    <definedName name="N_b2g0_steel_price">'Τεχνικοί Υπολογισμοί'!$E$77</definedName>
    <definedName name="N_b2g0_steel_qty">'Τεχνικοί Υπολογισμοί'!$D$77</definedName>
    <definedName name="N_b2g0_steel_spiral_note">'Τεχνικοί Υπολογισμοί'!$G$75</definedName>
    <definedName name="N_b2g0_steel_spiral_price">'Τεχνικοί Υπολογισμοί'!$E$75</definedName>
    <definedName name="N_b2g0_steel_spiral_qty">'Τεχνικοί Υπολογισμοί'!$D$75</definedName>
    <definedName name="N_b2g0_steel_spiral_total">'Τεχνικοί Υπολογισμοί'!$F$75</definedName>
    <definedName name="N_b2g0_steel_total">'Τεχνικοί Υπολογισμοί'!$F$77</definedName>
    <definedName name="N_b2g0_steel_vert_note">'Τεχνικοί Υπολογισμοί'!$G$74</definedName>
    <definedName name="N_b2g0_steel_vert_price">'Τεχνικοί Υπολογισμοί'!$E$74</definedName>
    <definedName name="N_b2g0_steel_vert_qty">'Τεχνικοί Υπολογισμοί'!$D$74</definedName>
    <definedName name="N_b2g0_steel_vert_total">'Τεχνικοί Υπολογισμοί'!$F$74</definedName>
    <definedName name="N_b2g1_breaking_note">'Τεχνικοί Υπολογισμοί'!$G$93</definedName>
    <definedName name="N_b2g1_breaking_price">'Τεχνικοί Υπολογισμοί'!$E$93</definedName>
    <definedName name="N_b2g1_breaking_qty">'Τεχνικοί Υπολογισμοί'!$D$93</definedName>
    <definedName name="N_b2g1_breaking_total">'Τεχνικοί Υπολογισμοί'!$F$93</definedName>
    <definedName name="N_b2g1_conc_note">'Τεχνικοί Υπολογισμοί'!$G$87</definedName>
    <definedName name="N_b2g1_conc_price">'Τεχνικοί Υπολογισμοί'!$E$87</definedName>
    <definedName name="N_b2g1_conc_qty">'Τεχνικοί Υπολογισμοί'!$D$87</definedName>
    <definedName name="N_b2g1_conc_total">'Τεχνικοί Υπολογισμοί'!$F$87</definedName>
    <definedName name="N_b2g1_drill_note">'Τεχνικοί Υπολογισμοί'!$G$86</definedName>
    <definedName name="N_b2g1_drill_price">'Τεχνικοί Υπολογισμοί'!$E$86</definedName>
    <definedName name="N_b2g1_drill_qty">'Τεχνικοί Υπολογισμοί'!$D$86</definedName>
    <definedName name="N_b2g1_drill_total">'Τεχνικοί Υπολογισμοί'!$F$86</definedName>
    <definedName name="N_b2g1_group_total">'Τεχνικοί Υπολογισμοί'!$F$96</definedName>
    <definedName name="N_b2g1_group_total_note">'Τεχνικοί Υπολογισμοί'!$G$96</definedName>
    <definedName name="N_b2g1_mob_note">'Τεχνικοί Υπολογισμοί'!$G$85</definedName>
    <definedName name="N_b2g1_mob_price">'Τεχνικοί Υπολογισμοί'!$E$85</definedName>
    <definedName name="N_b2g1_mob_qty">'Τεχνικοί Υπολογισμοί'!$D$85</definedName>
    <definedName name="N_b2g1_mob_total">'Τεχνικοί Υπολογισμοί'!$F$85</definedName>
    <definedName name="N_b2g1_pile_total">'Τεχνικοί Υπολογισμοί'!$F$95</definedName>
    <definedName name="N_b2g1_pile_total_note">'Τεχνικοί Υπολογισμοί'!$G$95</definedName>
    <definedName name="N_b2g1_sleeve_note">'Τεχνικοί Υπολογισμοί'!$G$92</definedName>
    <definedName name="N_b2g1_sleeve_price">'Τεχνικοί Υπολογισμοί'!$E$92</definedName>
    <definedName name="N_b2g1_sleeve_qty">'Τεχνικοί Υπολογισμοί'!$D$92</definedName>
    <definedName name="N_b2g1_sleeve_total">'Τεχνικοί Υπολογισμοί'!$F$92</definedName>
    <definedName name="N_b2g1_soil_note">'Τεχνικοί Υπολογισμοί'!$G$94</definedName>
    <definedName name="N_b2g1_soil_price">'Τεχνικοί Υπολογισμοί'!$E$94</definedName>
    <definedName name="N_b2g1_soil_qty">'Τεχνικοί Υπολογισμοί'!$D$94</definedName>
    <definedName name="N_b2g1_soil_total">'Τεχνικοί Υπολογισμοί'!$F$94</definedName>
    <definedName name="N_b2g1_steel_head_note">'Τεχνικοί Υπολογισμοί'!$G$90</definedName>
    <definedName name="N_b2g1_steel_head_price">'Τεχνικοί Υπολογισμοί'!$E$90</definedName>
    <definedName name="N_b2g1_steel_head_qty">'Τεχνικοί Υπολογισμοί'!$D$90</definedName>
    <definedName name="N_b2g1_steel_head_total">'Τεχνικοί Υπολογισμοί'!$F$90</definedName>
    <definedName name="N_b2g1_steel_note">'Τεχνικοί Υπολογισμοί'!$G$91</definedName>
    <definedName name="N_b2g1_steel_price">'Τεχνικοί Υπολογισμοί'!$E$91</definedName>
    <definedName name="N_b2g1_steel_qty">'Τεχνικοί Υπολογισμοί'!$D$91</definedName>
    <definedName name="N_b2g1_steel_spiral_note">'Τεχνικοί Υπολογισμοί'!$G$89</definedName>
    <definedName name="N_b2g1_steel_spiral_price">'Τεχνικοί Υπολογισμοί'!$E$89</definedName>
    <definedName name="N_b2g1_steel_spiral_qty">'Τεχνικοί Υπολογισμοί'!$D$89</definedName>
    <definedName name="N_b2g1_steel_spiral_total">'Τεχνικοί Υπολογισμοί'!$F$89</definedName>
    <definedName name="N_b2g1_steel_total">'Τεχνικοί Υπολογισμοί'!$F$91</definedName>
    <definedName name="N_b2g1_steel_vert_note">'Τεχνικοί Υπολογισμοί'!$G$88</definedName>
    <definedName name="N_b2g1_steel_vert_price">'Τεχνικοί Υπολογισμοί'!$E$88</definedName>
    <definedName name="N_b2g1_steel_vert_qty">'Τεχνικοί Υπολογισμοί'!$D$88</definedName>
    <definedName name="N_b2g1_steel_vert_total">'Τεχνικοί Υπολογισμοί'!$F$88</definedName>
    <definedName name="N_c_barlen">'Τεχνικοί Υπολογισμοί'!$D$103</definedName>
    <definedName name="N_c_density">'Τεχνικοί Υπολογισμοί'!$D$102</definedName>
    <definedName name="N_c_lap">'Τεχνικοί Υπολογισμοί'!$D$104</definedName>
    <definedName name="N_c_loss">'Τεχνικοί Υπολογισμοί'!$D$101</definedName>
    <definedName name="N_c_overc">'Τεχνικοί Υπολογισμοί'!$D$105</definedName>
    <definedName name="N_c_pi">'Τεχνικοί Υπολογισμοί'!$D$106</definedName>
    <definedName name="N_c_starter_off">'Τεχνικοί Υπολογισμοί'!$D$107</definedName>
    <definedName name="N_c_top_bend">'Τεχνικοί Υπολογισμοί'!$D$108</definedName>
    <definedName name="N_conc_class">'Τεχνικοί Υπολογισμοί'!$D$18</definedName>
    <definedName name="N_cover_mm">'Τεχνικοί Υπολογισμοί'!$D$19</definedName>
    <definedName name="N_dist_km">'Τιμές &amp; Έλεγχος'!$D$6</definedName>
    <definedName name="N_extra_zones">'Τεχνικοί Υπολογισμοί'!$D$9</definedName>
    <definedName name="N_g0_bottom_bend">'Τεχνικοί Υπολογισμοί'!$D$32</definedName>
    <definedName name="N_g0_breaking">'Τεχνικοί Υπολογισμοί'!$D$133</definedName>
    <definedName name="N_g0_count">'Τεχνικοί Υπολογισμοί'!$D$23</definedName>
    <definedName name="N_g0_cutoff">'Τεχνικοί Υπολογισμοί'!$D$26</definedName>
    <definedName name="N_g0_D_cage">'Τεχνικοί Υπολογισμοί'!$D$118</definedName>
    <definedName name="N_g0_D_mm">'Τεχνικοί Υπολογισμοί'!$D$24</definedName>
    <definedName name="N_g0_dh">'Τεχνικοί Υπολογισμοί'!$D$112</definedName>
    <definedName name="N_g0_end_zone">'Τεχνικοί Υπολογισμοί'!$D$36</definedName>
    <definedName name="N_g0_extra_len">'Τεχνικοί Υπολογισμοί'!$D$41</definedName>
    <definedName name="N_g0_extra_n">'Τεχνικοί Υπολογισμοί'!$D$39</definedName>
    <definedName name="N_g0_extra_y">'Τεχνικοί Υπολογισμοί'!$D$40</definedName>
    <definedName name="N_g0_h_overc">'Τεχνικοί Υπολογισμοί'!$D$113</definedName>
    <definedName name="N_g0_head_links">'Τεχνικοί Υπολογισμοί'!$D$38</definedName>
    <definedName name="N_g0_L_bar">'Τεχνικοί Υπολογισμοί'!$D$122</definedName>
    <definedName name="N_g0_L_base">'Τεχνικοί Υπολογισμοί'!$D$120</definedName>
    <definedName name="N_g0_L_conc">'Τεχνικοί Υπολογισμοί'!$D$116</definedName>
    <definedName name="N_g0_L_drill">'Τεχνικοί Υπολογισμοί'!$D$114</definedName>
    <definedName name="N_g0_L_pile">'Τεχνικοί Υπολογισμοί'!$D$25</definedName>
    <definedName name="N_g0_lap_len">'Τεχνικοί Υπολογισμοί'!$D$33</definedName>
    <definedName name="N_g0_n_head">'Τεχνικοί Υπολογισμοί'!$D$128</definedName>
    <definedName name="N_g0_n_laps">'Τεχνικοί Υπολογισμοί'!$D$121</definedName>
    <definedName name="N_g0_n_turns">'Τεχνικοί Υπολογισμοί'!$D$125</definedName>
    <definedName name="N_g0_n_vert">'Τεχνικοί Υπολογισμοί'!$D$28</definedName>
    <definedName name="N_g0_P_cage">'Τεχνικοί Υπολογισμοί'!$D$119</definedName>
    <definedName name="N_g0_raft">'Τεχνικοί Υπολογισμοί'!$D$27</definedName>
    <definedName name="N_g0_s_end">'Τεχνικοί Υπολογισμοί'!$D$35</definedName>
    <definedName name="N_g0_s_mid">'Τεχνικοί Υπολογισμοί'!$D$37</definedName>
    <definedName name="N_g0_sleeves">'Τεχνικοί Υπολογισμοί'!$D$132</definedName>
    <definedName name="N_g0_starter">'Τεχνικοί Υπολογισμοί'!$D$30</definedName>
    <definedName name="N_g0_top_bend">'Τεχνικοί Υπολογισμοί'!$D$31</definedName>
    <definedName name="N_g0_V_conc">'Τεχνικοί Υπολογισμοί'!$D$117</definedName>
    <definedName name="N_g0_V_exc">'Τεχνικοί Υπολογισμοί'!$D$115</definedName>
    <definedName name="N_g0_W_extra">'Τεχνικοί Υπολογισμοί'!$D$130</definedName>
    <definedName name="N_g0_W_head">'Τεχνικοί Υπολογισμοί'!$D$129</definedName>
    <definedName name="N_g0_W_spiral">'Τεχνικοί Υπολογισμοί'!$D$127</definedName>
    <definedName name="N_g0_W_total">'Τεχνικοί Υπολογισμοί'!$D$131</definedName>
    <definedName name="N_g0_W_vert">'Τεχνικοί Υπολογισμοί'!$D$124</definedName>
    <definedName name="N_g0_y_spiral">'Τεχνικοί Υπολογισμοί'!$D$34</definedName>
    <definedName name="N_g0_y_vert">'Τεχνικοί Υπολογισμοί'!$D$29</definedName>
    <definedName name="N_g1_bottom_bend">'Τεχνικοί Υπολογισμοί'!$E$32</definedName>
    <definedName name="N_g1_breaking">'Τεχνικοί Υπολογισμοί'!$E$133</definedName>
    <definedName name="N_g1_count">'Τεχνικοί Υπολογισμοί'!$E$23</definedName>
    <definedName name="N_g1_cutoff">'Τεχνικοί Υπολογισμοί'!$E$26</definedName>
    <definedName name="N_g1_D_cage">'Τεχνικοί Υπολογισμοί'!$E$118</definedName>
    <definedName name="N_g1_D_mm">'Τεχνικοί Υπολογισμοί'!$E$24</definedName>
    <definedName name="N_g1_dh">'Τεχνικοί Υπολογισμοί'!$E$112</definedName>
    <definedName name="N_g1_end_zone">'Τεχνικοί Υπολογισμοί'!$E$36</definedName>
    <definedName name="N_g1_extra_len">'Τεχνικοί Υπολογισμοί'!$E$41</definedName>
    <definedName name="N_g1_extra_n">'Τεχνικοί Υπολογισμοί'!$E$39</definedName>
    <definedName name="N_g1_extra_y">'Τεχνικοί Υπολογισμοί'!$E$40</definedName>
    <definedName name="N_g1_h_overc">'Τεχνικοί Υπολογισμοί'!$E$113</definedName>
    <definedName name="N_g1_head_links">'Τεχνικοί Υπολογισμοί'!$E$38</definedName>
    <definedName name="N_g1_L_bar">'Τεχνικοί Υπολογισμοί'!$E$122</definedName>
    <definedName name="N_g1_L_base">'Τεχνικοί Υπολογισμοί'!$E$120</definedName>
    <definedName name="N_g1_L_conc">'Τεχνικοί Υπολογισμοί'!$E$116</definedName>
    <definedName name="N_g1_L_drill">'Τεχνικοί Υπολογισμοί'!$E$114</definedName>
    <definedName name="N_g1_L_pile">'Τεχνικοί Υπολογισμοί'!$E$25</definedName>
    <definedName name="N_g1_lap_len">'Τεχνικοί Υπολογισμοί'!$E$33</definedName>
    <definedName name="N_g1_n_head">'Τεχνικοί Υπολογισμοί'!$E$128</definedName>
    <definedName name="N_g1_n_laps">'Τεχνικοί Υπολογισμοί'!$E$121</definedName>
    <definedName name="N_g1_n_turns">'Τεχνικοί Υπολογισμοί'!$E$125</definedName>
    <definedName name="N_g1_n_vert">'Τεχνικοί Υπολογισμοί'!$E$28</definedName>
    <definedName name="N_g1_P_cage">'Τεχνικοί Υπολογισμοί'!$E$119</definedName>
    <definedName name="N_g1_raft">'Τεχνικοί Υπολογισμοί'!$E$27</definedName>
    <definedName name="N_g1_s_end">'Τεχνικοί Υπολογισμοί'!$E$35</definedName>
    <definedName name="N_g1_s_mid">'Τεχνικοί Υπολογισμοί'!$E$37</definedName>
    <definedName name="N_g1_sleeves">'Τεχνικοί Υπολογισμοί'!$E$132</definedName>
    <definedName name="N_g1_starter">'Τεχνικοί Υπολογισμοί'!$E$30</definedName>
    <definedName name="N_g1_top_bend">'Τεχνικοί Υπολογισμοί'!$E$31</definedName>
    <definedName name="N_g1_V_conc">'Τεχνικοί Υπολογισμοί'!$E$117</definedName>
    <definedName name="N_g1_V_exc">'Τεχνικοί Υπολογισμοί'!$E$115</definedName>
    <definedName name="N_g1_W_extra">'Τεχνικοί Υπολογισμοί'!$E$130</definedName>
    <definedName name="N_g1_W_head">'Τεχνικοί Υπολογισμοί'!$E$129</definedName>
    <definedName name="N_g1_W_spiral">'Τεχνικοί Υπολογισμοί'!$E$127</definedName>
    <definedName name="N_g1_W_total">'Τεχνικοί Υπολογισμοί'!$E$131</definedName>
    <definedName name="N_g1_W_vert">'Τεχνικοί Υπολογισμοί'!$E$124</definedName>
    <definedName name="N_g1_y_spiral">'Τεχνικοί Υπολογισμοί'!$E$34</definedName>
    <definedName name="N_g1_y_vert">'Τεχνικοί Υπολογισμοί'!$E$29</definedName>
    <definedName name="N_grand_total">'Οικονομική Προσφορά'!$F$16</definedName>
    <definedName name="N_inc_breaking">'Τιμές &amp; Έλεγχος'!$D$36</definedName>
    <definedName name="N_inc_soil">'Τιμές &amp; Έλεγχος'!$D$37</definedName>
    <definedName name="N_line_breaking_desc">'Οικονομική Προσφορά'!$B$14</definedName>
    <definedName name="N_line_breaking_price">'Οικονομική Προσφορά'!$E$14</definedName>
    <definedName name="N_line_breaking_qty">'Οικονομική Προσφορά'!$C$14</definedName>
    <definedName name="N_line_breaking_total">'Οικονομική Προσφορά'!$F$14</definedName>
    <definedName name="N_line_conc_desc">'Οικονομική Προσφορά'!$B$11</definedName>
    <definedName name="N_line_conc_price">'Οικονομική Προσφορά'!$E$11</definedName>
    <definedName name="N_line_conc_qty">'Οικονομική Προσφορά'!$C$11</definedName>
    <definedName name="N_line_conc_total">'Οικονομική Προσφορά'!$F$11</definedName>
    <definedName name="N_line_drill_600_desc">'Οικονομική Προσφορά'!$B$10</definedName>
    <definedName name="N_line_drill_600_price">'Οικονομική Προσφορά'!$E$10</definedName>
    <definedName name="N_line_drill_600_qty">'Οικονομική Προσφορά'!$C$10</definedName>
    <definedName name="N_line_drill_600_total">'Οικονομική Προσφορά'!$F$10</definedName>
    <definedName name="N_line_drill_800_desc">'Οικονομική Προσφορά'!$B$9</definedName>
    <definedName name="N_line_drill_800_price">'Οικονομική Προσφορά'!$E$9</definedName>
    <definedName name="N_line_drill_800_qty">'Οικονομική Προσφορά'!$C$9</definedName>
    <definedName name="N_line_drill_800_total">'Οικονομική Προσφορά'!$F$9</definedName>
    <definedName name="N_line_mob_desc">'Οικονομική Προσφορά'!$B$8</definedName>
    <definedName name="N_line_mob_price">'Οικονομική Προσφορά'!$E$8</definedName>
    <definedName name="N_line_mob_qty">'Οικονομική Προσφορά'!$C$8</definedName>
    <definedName name="N_line_mob_total">'Οικονομική Προσφορά'!$F$8</definedName>
    <definedName name="N_line_sleeve_desc">'Οικονομική Προσφορά'!$B$13</definedName>
    <definedName name="N_line_sleeve_price">'Οικονομική Προσφορά'!$E$13</definedName>
    <definedName name="N_line_sleeve_qty">'Οικονομική Προσφορά'!$C$13</definedName>
    <definedName name="N_line_sleeve_total">'Οικονομική Προσφορά'!$F$13</definedName>
    <definedName name="N_line_soil_desc">'Οικονομική Προσφορά'!$B$15</definedName>
    <definedName name="N_line_soil_price">'Οικονομική Προσφορά'!$E$15</definedName>
    <definedName name="N_line_soil_qty">'Οικονομική Προσφορά'!$C$15</definedName>
    <definedName name="N_line_soil_total">'Οικονομική Προσφορά'!$F$15</definedName>
    <definedName name="N_line_steel_desc">'Οικονομική Προσφορά'!$B$12</definedName>
    <definedName name="N_line_steel_price">'Οικονομική Προσφορά'!$E$12</definedName>
    <definedName name="N_line_steel_qty">'Οικονομική Προσφορά'!$C$12</definedName>
    <definedName name="N_line_steel_total">'Οικονομική Προσφορά'!$F$12</definedName>
    <definedName name="N_mob_per_pile">'Τεχνικοί Υπολογισμοί'!$D$15</definedName>
    <definedName name="N_mob_police">'Τιμές &amp; Έλεγχος'!$D$32</definedName>
    <definedName name="N_mob_total">'Τεχνικοί Υπολογισμοί'!$D$13</definedName>
    <definedName name="N_n_piles">'Τεχνικοί Υπολογισμοί'!$D$14</definedName>
    <definedName name="N_p_breaking">'Τιμές &amp; Έλεγχος'!$D$12</definedName>
    <definedName name="N_p_conc">'Τιμές &amp; Έλεγχος'!$D$22</definedName>
    <definedName name="N_p_conc_buy">'Τιμές &amp; Έλεγχος'!$D$16</definedName>
    <definedName name="N_p_conc_place">'Τιμές &amp; Έλεγχος'!$D$17</definedName>
    <definedName name="N_p_drill_600">'Τιμές &amp; Έλεγχος'!$D$10</definedName>
    <definedName name="N_p_drill_800">'Τιμές &amp; Έλεγχος'!$D$9</definedName>
    <definedName name="N_p_mob_base">'Τιμές &amp; Έλεγχος'!$D$7</definedName>
    <definedName name="N_p_mob_extra">'Τιμές &amp; Έλεγχος'!$D$8</definedName>
    <definedName name="N_p_piles_per_setup">'Τιμές &amp; Έλεγχος'!$D$19</definedName>
    <definedName name="N_p_police_km">'Τιμές &amp; Έλεγχος'!$D$31</definedName>
    <definedName name="N_p_pump_per_m3">'Τιμές &amp; Έλεγχος'!$D$21</definedName>
    <definedName name="N_p_pump_setup">'Τιμές &amp; Έλεγχος'!$D$18</definedName>
    <definedName name="N_p_sleeve">'Τιμές &amp; Έλεγχος'!$D$27</definedName>
    <definedName name="N_p_soil">'Τιμές &amp; Έλεγχος'!$D$38</definedName>
    <definedName name="N_p_steel">'Τιμές &amp; Έλεγχος'!$D$11</definedName>
    <definedName name="N_police_km">'Τιμές &amp; Έλεγχος'!$D$30</definedName>
    <definedName name="N_q_breaking">'Τεχνικοί Υπολογισμοί'!$D$50</definedName>
    <definedName name="N_q_breaking_n">'Τεχνικοί Υπολογισμοί'!$E$50</definedName>
    <definedName name="N_q_conc">'Τεχνικοί Υπολογισμοί'!$D$47</definedName>
    <definedName name="N_q_conc_n">'Τεχνικοί Υπολογισμοί'!$E$47</definedName>
    <definedName name="N_q_drill_600">'Τεχνικοί Υπολογισμοί'!$D$46</definedName>
    <definedName name="N_q_drill_600_n">'Τεχνικοί Υπολογισμοί'!$E$46</definedName>
    <definedName name="N_q_drill_800">'Τεχνικοί Υπολογισμοί'!$D$45</definedName>
    <definedName name="N_q_drill_800_n">'Τεχνικοί Υπολογισμοί'!$E$45</definedName>
    <definedName name="N_q_sleeve">'Τεχνικοί Υπολογισμοί'!$D$49</definedName>
    <definedName name="N_q_sleeve_n">'Τεχνικοί Υπολογισμοί'!$E$49</definedName>
    <definedName name="N_q_soil">'Τεχνικοί Υπολογισμοί'!$D$51</definedName>
    <definedName name="N_q_soil_n">'Τεχνικοί Υπολογισμοί'!$E$51</definedName>
    <definedName name="N_q_steel">'Τεχνικοί Υπολογισμοί'!$D$48</definedName>
    <definedName name="N_q_steel_n">'Τεχνικοί Υπολογισμοί'!$E$48</definedName>
    <definedName name="N_s1_note_1">'Οικονομική Προσφορά'!$A$19</definedName>
    <definedName name="N_s1_note_2">'Οικονομική Προσφορά'!$A$20</definedName>
    <definedName name="N_s1_note_3">'Οικονομική Προσφορά'!$A$21</definedName>
    <definedName name="N_s1_note_4">'Οικονομική Προσφορά'!$A$22</definedName>
    <definedName name="N_s1_note_5">'Οικονομική Προσφορά'!$A$23</definedName>
    <definedName name="N_s1_note_6">'Οικονομική Προσφορά'!$A$24</definedName>
    <definedName name="N_s1_note_7">'Οικονομική Προσφορά'!$A$25</definedName>
    <definedName name="N_s1_note_8">'Οικονομική Προσφορά'!$A$26</definedName>
    <definedName name="N_s2_dist_km">'Τεχνικοί Υπολογισμοί'!$D$7</definedName>
    <definedName name="N_s2_mob_police">'Τεχνικοί Υπολογισμοί'!$D$12</definedName>
    <definedName name="N_s2_p_mob_base">'Τεχνικοί Υπολογισμοί'!$D$10</definedName>
    <definedName name="N_s2_p_mob_extra">'Τεχνικοί Υπολογισμοί'!$D$11</definedName>
    <definedName name="N_s3_grand_total">'Τιμές &amp; Έλεγχος'!$D$42</definedName>
    <definedName name="N_s3_soil_total">'Τιμές &amp; Έλεγχος'!$D$40</definedName>
    <definedName name="N_s3_v_exc">'Τιμές &amp; Έλεγχος'!$D$39</definedName>
    <definedName name="N_sl_raw_price">'Τιμές &amp; Έλεγχος'!$D$26</definedName>
    <definedName name="N_t_breaking">'Τεχνικοί Υπολογισμοί'!$F$133</definedName>
    <definedName name="N_t_count">'Τεχνικοί Υπολογισμοί'!$F$23</definedName>
    <definedName name="N_t_L_drill">'Τεχνικοί Υπολογισμοί'!$F$114</definedName>
    <definedName name="N_t_sleeves">'Τεχνικοί Υπολογισμοί'!$F$132</definedName>
    <definedName name="N_t_V_conc">'Τεχνικοί Υπολογισμοί'!$F$117</definedName>
    <definedName name="N_t_V_exc">'Τεχνικοί Υπολογισμοί'!$F$115</definedName>
    <definedName name="N_t_W_extra">'Τεχνικοί Υπολογισμοί'!$F$130</definedName>
    <definedName name="N_t_W_head">'Τεχνικοί Υπολογισμοί'!$F$129</definedName>
    <definedName name="N_t_W_spiral">'Τεχνικοί Υπολογισμοί'!$F$127</definedName>
    <definedName name="N_t_W_total">'Τεχνικοί Υπολογισμοί'!$F$131</definedName>
    <definedName name="N_t_W_vert">'Τεχνικοί Υπολογισμοί'!$F$124</definedName>
    <definedName name="N_v_per_setup">'Τιμές &amp; Έλεγχος'!$D$20</definedName>
    <definedName name="N_wpl">'Τεχνικοί Υπολογισμοί'!$D$17</definedName>
    <definedName name="N_zone_km">'Τεχνικοί Υπολογισμοί'!$D$8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 i="3" l="1"/>
  <c r="D32" i="3"/>
  <c r="B32" i="3"/>
  <c r="F31" i="3"/>
  <c r="B31" i="3"/>
  <c r="A29" i="3"/>
  <c r="F19" i="3"/>
  <c r="F18" i="3"/>
  <c r="F17" i="3"/>
  <c r="F16" i="3"/>
  <c r="F12" i="3"/>
  <c r="F11" i="3"/>
  <c r="F10" i="3"/>
  <c r="F9" i="3"/>
  <c r="F8" i="3"/>
  <c r="B8" i="3"/>
  <c r="F7" i="3"/>
  <c r="E133" i="2"/>
  <c r="D133" i="2"/>
  <c r="E132" i="2"/>
  <c r="D132" i="2"/>
  <c r="F132" i="2" s="1"/>
  <c r="D49" i="2" s="1"/>
  <c r="E125" i="2"/>
  <c r="D125" i="2"/>
  <c r="E118" i="2"/>
  <c r="D118" i="2"/>
  <c r="E114" i="2"/>
  <c r="D114" i="2"/>
  <c r="E113" i="2"/>
  <c r="E116" i="2" s="1"/>
  <c r="D113" i="2"/>
  <c r="D106" i="2"/>
  <c r="E94" i="2"/>
  <c r="C94" i="2"/>
  <c r="B94" i="2"/>
  <c r="A94" i="2"/>
  <c r="E93" i="2"/>
  <c r="D93" i="2"/>
  <c r="C93" i="2"/>
  <c r="B93" i="2"/>
  <c r="A93" i="2"/>
  <c r="D92" i="2"/>
  <c r="B92" i="2"/>
  <c r="E91" i="2"/>
  <c r="E90" i="2"/>
  <c r="E89" i="2"/>
  <c r="E88" i="2"/>
  <c r="B87" i="2"/>
  <c r="E86" i="2"/>
  <c r="D86" i="2"/>
  <c r="D85" i="2"/>
  <c r="E80" i="2"/>
  <c r="C80" i="2"/>
  <c r="B80" i="2"/>
  <c r="A80" i="2"/>
  <c r="E79" i="2"/>
  <c r="D79" i="2"/>
  <c r="C79" i="2"/>
  <c r="B79" i="2"/>
  <c r="A79" i="2"/>
  <c r="D78" i="2"/>
  <c r="B78" i="2"/>
  <c r="E77" i="2"/>
  <c r="E76" i="2"/>
  <c r="E75" i="2"/>
  <c r="E74" i="2"/>
  <c r="B73" i="2"/>
  <c r="E72" i="2"/>
  <c r="D71" i="2"/>
  <c r="E65" i="2"/>
  <c r="C65" i="2"/>
  <c r="B65" i="2"/>
  <c r="A65" i="2"/>
  <c r="E64" i="2"/>
  <c r="C64" i="2"/>
  <c r="B64" i="2"/>
  <c r="A64" i="2"/>
  <c r="B63" i="2"/>
  <c r="E62" i="2"/>
  <c r="E61" i="2"/>
  <c r="E60" i="2"/>
  <c r="E59" i="2"/>
  <c r="B58" i="2"/>
  <c r="E57" i="2"/>
  <c r="E56" i="2"/>
  <c r="G51" i="2"/>
  <c r="C51" i="2"/>
  <c r="B51" i="2"/>
  <c r="A51" i="2"/>
  <c r="G50" i="2"/>
  <c r="C50" i="2"/>
  <c r="B50" i="2"/>
  <c r="A50" i="2"/>
  <c r="B49" i="2"/>
  <c r="B47" i="2"/>
  <c r="E46" i="2"/>
  <c r="E45" i="2"/>
  <c r="E33" i="2"/>
  <c r="D33" i="2"/>
  <c r="E31" i="2"/>
  <c r="D31" i="2"/>
  <c r="E30" i="2"/>
  <c r="D30" i="2"/>
  <c r="D120" i="2" s="1"/>
  <c r="F23" i="2"/>
  <c r="D14" i="2"/>
  <c r="D12" i="2"/>
  <c r="D11" i="2"/>
  <c r="D10" i="2"/>
  <c r="D9" i="2"/>
  <c r="D7" i="2"/>
  <c r="E15" i="1"/>
  <c r="D15" i="1"/>
  <c r="B15" i="1"/>
  <c r="A15" i="1"/>
  <c r="E14" i="1"/>
  <c r="D14" i="1"/>
  <c r="B14" i="1"/>
  <c r="A14" i="1"/>
  <c r="B13" i="1"/>
  <c r="E12" i="1"/>
  <c r="B12" i="1"/>
  <c r="B11" i="1"/>
  <c r="E10" i="1"/>
  <c r="E9" i="1"/>
  <c r="C8" i="1"/>
  <c r="E32" i="3" l="1"/>
  <c r="F30" i="3"/>
  <c r="E128" i="2"/>
  <c r="E120" i="2"/>
  <c r="F133" i="2"/>
  <c r="D50" i="2" s="1"/>
  <c r="D63" i="2"/>
  <c r="C13" i="1"/>
  <c r="E121" i="2"/>
  <c r="E122" i="2" s="1"/>
  <c r="D121" i="2"/>
  <c r="D122" i="2"/>
  <c r="D46" i="2"/>
  <c r="F114" i="2"/>
  <c r="D45" i="2"/>
  <c r="D72" i="2"/>
  <c r="D116" i="2"/>
  <c r="D117" i="2"/>
  <c r="E115" i="2"/>
  <c r="D94" i="2" s="1"/>
  <c r="D119" i="2"/>
  <c r="D130" i="2"/>
  <c r="F130" i="2" s="1"/>
  <c r="E126" i="2"/>
  <c r="D126" i="2"/>
  <c r="E123" i="2"/>
  <c r="E119" i="2"/>
  <c r="E130" i="2"/>
  <c r="D115" i="2"/>
  <c r="D123" i="2"/>
  <c r="E117" i="2"/>
  <c r="D87" i="2" s="1"/>
  <c r="G93" i="2"/>
  <c r="F93" i="2"/>
  <c r="F86" i="2"/>
  <c r="G86" i="2"/>
  <c r="F79" i="2"/>
  <c r="G79" i="2" s="1"/>
  <c r="D26" i="3"/>
  <c r="D128" i="2"/>
  <c r="E51" i="2"/>
  <c r="E49" i="2"/>
  <c r="F49" i="2" s="1"/>
  <c r="E50" i="2"/>
  <c r="D55" i="2"/>
  <c r="E47" i="2"/>
  <c r="E48" i="2"/>
  <c r="D13" i="2"/>
  <c r="F6" i="3"/>
  <c r="D64" i="2" l="1"/>
  <c r="C14" i="1"/>
  <c r="F50" i="2"/>
  <c r="E124" i="2"/>
  <c r="D124" i="2"/>
  <c r="F46" i="2"/>
  <c r="C10" i="1"/>
  <c r="F10" i="1" s="1"/>
  <c r="G10" i="1" s="1"/>
  <c r="D57" i="2"/>
  <c r="F45" i="2"/>
  <c r="C9" i="1"/>
  <c r="F9" i="1" s="1"/>
  <c r="G9" i="1" s="1"/>
  <c r="D56" i="2"/>
  <c r="A21" i="1"/>
  <c r="F72" i="2"/>
  <c r="G72" i="2" s="1"/>
  <c r="F117" i="2"/>
  <c r="D47" i="2" s="1"/>
  <c r="D73" i="2"/>
  <c r="F94" i="2"/>
  <c r="G94" i="2"/>
  <c r="E127" i="2"/>
  <c r="D89" i="2" s="1"/>
  <c r="F115" i="2"/>
  <c r="D80" i="2"/>
  <c r="F26" i="3"/>
  <c r="D27" i="3"/>
  <c r="E27" i="3"/>
  <c r="D129" i="2"/>
  <c r="D15" i="2"/>
  <c r="D127" i="2"/>
  <c r="E129" i="2"/>
  <c r="D90" i="2" s="1"/>
  <c r="F90" i="2" s="1"/>
  <c r="G90" i="2"/>
  <c r="F89" i="2" l="1"/>
  <c r="G89" i="2"/>
  <c r="F64" i="2"/>
  <c r="G64" i="2" s="1"/>
  <c r="F14" i="1"/>
  <c r="G14" i="1" s="1"/>
  <c r="G91" i="2"/>
  <c r="E131" i="2"/>
  <c r="D91" i="2" s="1"/>
  <c r="F91" i="2" s="1"/>
  <c r="D88" i="2"/>
  <c r="G59" i="2"/>
  <c r="F124" i="2"/>
  <c r="D59" i="2" s="1"/>
  <c r="F59" i="2" s="1"/>
  <c r="D74" i="2"/>
  <c r="D131" i="2"/>
  <c r="G57" i="2"/>
  <c r="F57" i="2"/>
  <c r="F56" i="2"/>
  <c r="G56" i="2" s="1"/>
  <c r="F47" i="2"/>
  <c r="D58" i="2"/>
  <c r="C11" i="1"/>
  <c r="D20" i="3"/>
  <c r="E20" i="3"/>
  <c r="D39" i="3"/>
  <c r="D40" i="3"/>
  <c r="D51" i="2"/>
  <c r="F80" i="2"/>
  <c r="G80" i="2" s="1"/>
  <c r="F27" i="3"/>
  <c r="E13" i="1"/>
  <c r="E78" i="2"/>
  <c r="E63" i="2"/>
  <c r="E92" i="2"/>
  <c r="G61" i="2"/>
  <c r="F129" i="2"/>
  <c r="D61" i="2" s="1"/>
  <c r="F61" i="2" s="1"/>
  <c r="D76" i="2"/>
  <c r="G55" i="2"/>
  <c r="E8" i="1"/>
  <c r="E55" i="2"/>
  <c r="F55" i="2" s="1"/>
  <c r="E71" i="2"/>
  <c r="F71" i="2" s="1"/>
  <c r="G71" i="2"/>
  <c r="E85" i="2"/>
  <c r="F85" i="2" s="1"/>
  <c r="G85" i="2" s="1"/>
  <c r="D75" i="2"/>
  <c r="F127" i="2"/>
  <c r="D60" i="2" s="1"/>
  <c r="G88" i="2" l="1"/>
  <c r="F88" i="2"/>
  <c r="F74" i="2"/>
  <c r="G74" i="2" s="1"/>
  <c r="F131" i="2"/>
  <c r="D48" i="2" s="1"/>
  <c r="D77" i="2"/>
  <c r="F20" i="3"/>
  <c r="D21" i="3"/>
  <c r="E21" i="3"/>
  <c r="F39" i="3"/>
  <c r="E40" i="3"/>
  <c r="F37" i="3"/>
  <c r="F38" i="3"/>
  <c r="F51" i="2"/>
  <c r="C15" i="1"/>
  <c r="D65" i="2"/>
  <c r="F13" i="1"/>
  <c r="F78" i="2"/>
  <c r="G78" i="2" s="1"/>
  <c r="F63" i="2"/>
  <c r="G63" i="2" s="1"/>
  <c r="F92" i="2"/>
  <c r="G92" i="2" s="1"/>
  <c r="F76" i="2"/>
  <c r="G76" i="2" s="1"/>
  <c r="A20" i="1"/>
  <c r="F8" i="1"/>
  <c r="F75" i="2"/>
  <c r="G75" i="2" s="1"/>
  <c r="F60" i="2"/>
  <c r="G60" i="2" s="1"/>
  <c r="F48" i="2" l="1"/>
  <c r="C12" i="1"/>
  <c r="F12" i="1" s="1"/>
  <c r="D62" i="2"/>
  <c r="F77" i="2"/>
  <c r="G77" i="2" s="1"/>
  <c r="F21" i="3"/>
  <c r="D22" i="3"/>
  <c r="E22" i="3" s="1"/>
  <c r="A25" i="1"/>
  <c r="F15" i="1"/>
  <c r="G15" i="1" s="1"/>
  <c r="F65" i="2"/>
  <c r="G65" i="2"/>
  <c r="G8" i="1"/>
  <c r="G13" i="1"/>
  <c r="A24" i="1"/>
  <c r="A23" i="1" l="1"/>
  <c r="G12" i="1"/>
  <c r="G62" i="2"/>
  <c r="F62" i="2"/>
  <c r="F22" i="3"/>
  <c r="E87" i="2"/>
  <c r="E11" i="1"/>
  <c r="E58" i="2"/>
  <c r="E73" i="2"/>
  <c r="F87" i="2" l="1"/>
  <c r="F95" i="2" s="1"/>
  <c r="G87" i="2"/>
  <c r="A22" i="1"/>
  <c r="F11" i="1"/>
  <c r="G58" i="2"/>
  <c r="F58" i="2"/>
  <c r="F66" i="2" s="1"/>
  <c r="G66" i="2" s="1"/>
  <c r="F73" i="2"/>
  <c r="F81" i="2" l="1"/>
  <c r="G73" i="2"/>
  <c r="F96" i="2"/>
  <c r="G96" i="2" s="1"/>
  <c r="G95" i="2"/>
  <c r="F16" i="1"/>
  <c r="G11" i="1"/>
  <c r="G81" i="2"/>
  <c r="F82" i="2"/>
  <c r="G82" i="2" s="1"/>
  <c r="G16" i="1" l="1"/>
  <c r="E42" i="3"/>
  <c r="D42" i="3"/>
  <c r="A19" i="1"/>
  <c r="F97" i="2"/>
  <c r="G97" i="2" s="1"/>
</calcChain>
</file>

<file path=xl/sharedStrings.xml><?xml version="1.0" encoding="utf-8"?>
<sst xmlns="http://schemas.openxmlformats.org/spreadsheetml/2006/main" count="632" uniqueCount="439">
  <si>
    <t>ΘΕΜΕΛΙΟΤΕΧΝΙΚΗ ΛΤΔ — ΟΙΚΟΝΟΜΙΚΗ ΠΡΟΣΦΟΡΑ ΠΑΣΣΑΛΩΝ</t>
  </si>
  <si>
    <t>Έργο: Atlantic Forest — Plot 1 (Παρεκκλησιά, Λεμεσός) | Πελάτης: ATLANTIC FOREST PROPERTIES LTD | Τοποθεσία:  | Τιμές &amp; Κουμπιά ΝΑΙ/ΟΧΙ στο Φύλλο 3: «Τιμές &amp; Έλεγχος»</t>
  </si>
  <si>
    <t>🛑 ΠΡΟΣΟΧΗ — RED ALERT: Δεν έχουν δοθεί η στάθμη πλατφόρμας (WPL, κοινή για όλους) ή/και οι στάθμες αποκοπής (Cut-Off) ανά πάσσαλο. Όπου λείπουν, η προσφορά υπολογίζει Δh = 0.00 m (χωρίς κενή διάτρηση, sleeves και κεφαλοκοπή). Απαιτείται συμπλήρωση πριν την οριστικοποίηση.</t>
  </si>
  <si>
    <t>Α/Α</t>
  </si>
  <si>
    <t>Περιγραφή Εργασίας / Υλικού</t>
  </si>
  <si>
    <t>Ποσότητα</t>
  </si>
  <si>
    <t>Μονάδα</t>
  </si>
  <si>
    <t>Τιμή Μονάδας (€)
[Από «Τιμές &amp; Έλεγχος»]</t>
  </si>
  <si>
    <t>Σύνολο (€)</t>
  </si>
  <si>
    <t>Μέσο Κόστος ανά Πάσσαλο (€)</t>
  </si>
  <si>
    <t>1</t>
  </si>
  <si>
    <t>Μετακινήσεις γεωτρύπανου &amp; Συνοδεία Αστυνομίας (επιμερισμός ανά πάσσαλο)</t>
  </si>
  <si>
    <t>πάσσαλο</t>
  </si>
  <si>
    <t>2a</t>
  </si>
  <si>
    <t>Τρύπημα / διάτρηση πασσάλων Ø800mm (15 τεμ.)</t>
  </si>
  <si>
    <t>m</t>
  </si>
  <si>
    <t>2b</t>
  </si>
  <si>
    <t>Τρύπημα / διάτρηση πασσάλων Ø600mm (20 τεμ.)</t>
  </si>
  <si>
    <t>3</t>
  </si>
  <si>
    <t>m³</t>
  </si>
  <si>
    <t>4</t>
  </si>
  <si>
    <t>kg</t>
  </si>
  <si>
    <t>5</t>
  </si>
  <si>
    <t>τεμ.</t>
  </si>
  <si>
    <t>ΓΕΝΙΚΟ ΣΥΝΟΛΟ ΠΡΟΣΦΟΡΑΣ (ΧΩΡΙΣ Φ.Π.Α.)</t>
  </si>
  <si>
    <t>ΟΡΟΙ, ΠΑΡΑΔΟΧΕΣ &amp; ΠΑΡΑΤΗΡΗΣΕΙΣ (100% ΔΥΝΑΜΙΚΕΣ ΣΗΜΕΙΩΣΕΙΣ — ΕΝΗΜΕΡΩΝΟΝΤΑΙ ΑΥΤΟΜΑΤΑ ΑΠΟ ΤΟ ΦΥΛΛΟ «Τιμές &amp; Έλεγχος»):</t>
  </si>
  <si>
    <t>8. Πληρωμή βάσει επιμετρήσεων πραγματικά εκτελεσθέντων μέτρων διάτρησης, κυβικών σκυροδέματος και κιλών οπλισμού. Όλες οι τιμές μονάδας και τα κουμπιά επιλογής (ΝΑΙ/ΟΧΙ) ορίζονται στο Φύλλο 3 («Τιμές &amp; Έλεγχος»).</t>
  </si>
  <si>
    <t>ΘΕΜΕΛΙΟΤΕΧΝΙΚΗ ΛΤΔ — ΤΕΧΝΙΚΟΙ ΥΠΟΛΟΓΙΣΜΟΙ ΔΙΑΤΡΗΤΩΝ ΠΑΣΣΑΛΩΝ</t>
  </si>
  <si>
    <t>Έργο: Atlantic Forest — Plot 1 (Παρεκκλησιά, Λεμεσός) | Πελάτης: ATLANTIC FOREST PROPERTIES LTD | Μελέτη: Πανίκος Μ. Χαριλάου (Architect Engineer Consultant) | Μηχανή v7.0 (Τιμές &amp; Κουμπιά ΝΑΙ/ΟΧΙ στο Φύλλο 3: «Τιμές &amp; Έλεγχος»)</t>
  </si>
  <si>
    <t>1. ΔΕΔΟΜΕΝΑ ΣΧΕΔΙΟΥ &amp; ΥΨΟΜΕΤΡΑ</t>
  </si>
  <si>
    <t>Κωδ.</t>
  </si>
  <si>
    <t>Παράμετρος</t>
  </si>
  <si>
    <t>Τιμή</t>
  </si>
  <si>
    <t>Παρατηρήσεις / Προέλευση</t>
  </si>
  <si>
    <t>Τομέας 1 — Μετακινήσεις &amp; Συνοδεία Αστυνομίας (Τιμές από το Φύλλο 3: «Τιμές &amp; Έλεγχος»)</t>
  </si>
  <si>
    <t>1.1.1</t>
  </si>
  <si>
    <t>Χιλιόμετρα εκτός Λεμεσού (0 km αν το έργο είναι μέσα στη Λεμεσό)</t>
  </si>
  <si>
    <t>km</t>
  </si>
  <si>
    <t>Από Φύλλο 3 («Τιμές &amp; Έλεγχος» Τ.1)</t>
  </si>
  <si>
    <t>1.1.2</t>
  </si>
  <si>
    <t>Βήμα χιλιομετρικής χρέωσης εκτός Λεμεσού (ανά 10 km)</t>
  </si>
  <si>
    <t>Τιμοκατάλογος (γρ. 28)</t>
  </si>
  <si>
    <t>1.1.3</t>
  </si>
  <si>
    <t>Δεκάδες χιλιομέτρων εκτός Λεμεσού (ανά 10 km)</t>
  </si>
  <si>
    <t>ζώνες</t>
  </si>
  <si>
    <t>ROUNDUP(km εκτός Λεμεσού / 10, 0)</t>
  </si>
  <si>
    <t>1.1.4</t>
  </si>
  <si>
    <t>Μετακίνηση — βασική τιμή εντός Λεμεσού</t>
  </si>
  <si>
    <t>€</t>
  </si>
  <si>
    <t>Από Φύλλο 3 («Τιμές &amp; Έλεγχος» Τ.2 = 1.000,00 €)</t>
  </si>
  <si>
    <t>1.1.5</t>
  </si>
  <si>
    <t>Μετακίνηση — επιβάρυνση ανά 10 km εκτός Λεμεσού</t>
  </si>
  <si>
    <t>Από Φύλλο 3 («Τιμές &amp; Έλεγχος» Τ.3 = 200,00 €/10km)</t>
  </si>
  <si>
    <t>1.1.6</t>
  </si>
  <si>
    <t>Κόστος Συνοδείας Αστυνομίας (Χιλιόμετρα × 8,00 €/km)</t>
  </si>
  <si>
    <t>Από Φύλλο 3 («Τιμές &amp; Έλεγχος» Τ.Δ.3 = police_km × 8,00 €/km)</t>
  </si>
  <si>
    <t>1.1.7</t>
  </si>
  <si>
    <t>Συνολικό εφάπαξ ποσό μετακίνησης &amp; συνοδείας Αστυνομίας</t>
  </si>
  <si>
    <t>Βασική Λεμεσού (1.000€) + Δεκάδες km × 200€ + Συνοδεία Αστυνομίας</t>
  </si>
  <si>
    <t>1.1.8</t>
  </si>
  <si>
    <t>Συνολικό πλήθος πασσάλων έργου</t>
  </si>
  <si>
    <t>Άθροισμα ομάδων</t>
  </si>
  <si>
    <t>1.1.9</t>
  </si>
  <si>
    <t>Επιμερισμένη μετακίνηση ανά πάσσαλο</t>
  </si>
  <si>
    <t>Συνολική μετακίνηση ÷ Πάσσαλοι</t>
  </si>
  <si>
    <t>Τομέας 2 — Υψόμετρα &amp; Σκυρόδεμα (WPL κοινό για όλους, Cut-Off ανά πάσσαλο στον Τομέα 3)</t>
  </si>
  <si>
    <t>1.2.1</t>
  </si>
  <si>
    <t>Στάθμη πλατφόρμας γεωτρύπανου (WPL) — κοινή για όλους τους πασσάλους</t>
  </si>
  <si>
    <t>ΚΟΚΚΙΝΟΣ ΣΥΝΑΓΕΡΜΟΣ: δεν δόθηκε — προσωρινά 0.00</t>
  </si>
  <si>
    <t>1.2.2</t>
  </si>
  <si>
    <t>Κατηγορία σκυροδέματος</t>
  </si>
  <si>
    <t>-</t>
  </si>
  <si>
    <t>C25/30</t>
  </si>
  <si>
    <t>Από Σημείωση 1 σχεδίου 00Σ: «1. Σκυρόδεμα C25/30»</t>
  </si>
  <si>
    <t>1.2.3</t>
  </si>
  <si>
    <t>Επικάλυψη οπλισμού (Cover)</t>
  </si>
  <si>
    <t>mm</t>
  </si>
  <si>
    <t>Από Σημείωση 4 σχεδίου 00Σ: «4. Επικάλυψη οπλισμού πεδίλων και γενικά στοιχείων μέσα στο έδαφος, 5 εκ.» (50 mm)</t>
  </si>
  <si>
    <t>Τομέας 3 — Ομάδες πασσάλων &amp; κλωβός οπλισμού (μία στήλη ανά ομάδα)</t>
  </si>
  <si>
    <t>Ομάδα 1</t>
  </si>
  <si>
    <t>Ομάδα 2</t>
  </si>
  <si>
    <t>Παρατηρήσεις</t>
  </si>
  <si>
    <t>1.3.0</t>
  </si>
  <si>
    <t>Πάσσαλοι</t>
  </si>
  <si>
    <t>Πάσσαλοι ΠΣ Ø800mm (Κοιτόστρωση Υπογείου)
ΠΣ #1 έως ΠΣ #15 (12 σε κοιτόστρωση 55εκ. + 3 σε κοιτόστρωση 40εκ.)</t>
  </si>
  <si>
    <t>Πάσσαλοι ΠΣ1 Ø600mm (Περίφραξη / Περιμετρικά Τοιχεία)
ΠΣ1 #1 έως ΠΣ1 #20 (ανά ~5m στην περίφραξη ΤΠ1/ΤΠ2/ΤΑ4)</t>
  </si>
  <si>
    <t>1.3.1</t>
  </si>
  <si>
    <t>Πλήθος πασσάλων ομάδας</t>
  </si>
  <si>
    <t>Καταμέτρηση από κάτοψη 00Σ με OpenCV &amp; ανάλυση διανυσμάτων PDF (15 ΠΣ + 20 ΠΣ1 = 35 πάσσαλοι)</t>
  </si>
  <si>
    <t>1.3.2</t>
  </si>
  <si>
    <t>Διάμετρος τρύπας πασσάλου</t>
  </si>
  <si>
    <t>Σχέδιο 00Σ &amp; 001Σ: ΠΣ = Ø800mm, ΠΣ1 = Ø600mm</t>
  </si>
  <si>
    <t>1.3.3</t>
  </si>
  <si>
    <t>Ύψος σκυροδετημένου πασσάλου (κάτω από το Cut-Off)</t>
  </si>
  <si>
    <t>Σχέδιο 00Σ &amp; 001Σ: ΠΣ = Βάθος 10.00m, ΠΣ1 = Βάθος 5.00m</t>
  </si>
  <si>
    <t>1.3.4</t>
  </si>
  <si>
    <t>Στάθμη αποκοπής κεφαλής πασσάλου (Cut-Off)</t>
  </si>
  <si>
    <t>ΛΕΙΠΕΙ</t>
  </si>
  <si>
    <t>ΚΟΚΚΙΝΟΣ ΣΥΝΑΓΕΡΜΟΣ: Δεν καθορίζεται η υψομετρική διαφορά WPL − Cut-Off (προσωρινά Δh = 0.00m)</t>
  </si>
  <si>
    <t>1.3.5</t>
  </si>
  <si>
    <t>Βάθος / Πάχος πεδιλόπλακας</t>
  </si>
  <si>
    <t>Σχέδιο 00Σ &amp; Τομή 001Σ: Κοιτόστρωση / Πεδιλοδοκός πάχους 55 εκ. (0.55m — 3 ΠΣ βρίσκονται σε τμήμα 40 εκ.)</t>
  </si>
  <si>
    <t>1.3.6</t>
  </si>
  <si>
    <t>Κάθετα σίδερα κλωβού — Πλήθος</t>
  </si>
  <si>
    <t>Σχέδιο 00Σ: ΠΣ = 16Υ20 (16 ράβδοι), ΠΣ1 = 10Υ20 (10 ράβδοι)</t>
  </si>
  <si>
    <t>1.3.7</t>
  </si>
  <si>
    <t>Κάθετα σίδερα κλωβού — Διάμετρος Φ</t>
  </si>
  <si>
    <t>Σχέδιο 00Σ: Κάθετος οπλισμός Υ20 (Φ20mm) B500C και στους δύο τύπους</t>
  </si>
  <si>
    <t>1.3.8</t>
  </si>
  <si>
    <t>Ύψος αναμονής / Starter (κενό σχεδίου → πεδιλόπλακα − 0.10m)</t>
  </si>
  <si>
    <t>Κανόνας εταιρείας (RULES_v7 §11.1): Βάθος πεδιλόπλακας (0.55m) − 0.10m = 0.45m</t>
  </si>
  <si>
    <t>1.3.9</t>
  </si>
  <si>
    <t>Γωνία πάνω (κενό σχεδίου → 0.50m)</t>
  </si>
  <si>
    <t>Τομή 001Σ («να γυρίζει γωνία μέσα στη κοιτόστρωση») + Κανόνας εταιρείας (RULES_v7 §11.2): 0.50m</t>
  </si>
  <si>
    <t>1.3.10</t>
  </si>
  <si>
    <t>Γωνία κάτω (στον πυθμένα)</t>
  </si>
  <si>
    <t>Τομή 001Σ: Ευθύγραμμες ράβδοι στον πυθμένα (0.00m)</t>
  </si>
  <si>
    <t>1.3.11</t>
  </si>
  <si>
    <t>Ύψος μάτισης (κενό σχεδίου → 50×Φ)</t>
  </si>
  <si>
    <t>Κανόνας εταιρείας (RULES_v7 §11.5): 50 × Φ = 1.00m (δεν απαιτείται μάτιση αφού L_base &lt; 12.00m)</t>
  </si>
  <si>
    <t>1.3.12</t>
  </si>
  <si>
    <t>Σούστα &amp; στεφάνια — Διάμετρος Φ</t>
  </si>
  <si>
    <t>Σχέδιο 00Σ &amp; 001Σ: Συνδετήρες σπειροειδείς Υ10/15 (Φ10mm)</t>
  </si>
  <si>
    <t>1.3.13</t>
  </si>
  <si>
    <t>Βήμα σούστας στα άκρα (πρώτα &amp; τελευταία μέτρα)</t>
  </si>
  <si>
    <t>Σχέδιο 00Σ &amp; 001Σ: Ενιαίο βήμα σπείρας 15 εκ. (150mm)</t>
  </si>
  <si>
    <t>1.3.14</t>
  </si>
  <si>
    <t>Μήκος ζώνης πύκνωσης άκρου (πάνω &amp; κάτω)</t>
  </si>
  <si>
    <t>Δεν προβλέπεται ξεχωριστή ζώνη πύκνωσης (0.00m)</t>
  </si>
  <si>
    <t>1.3.15</t>
  </si>
  <si>
    <t>Βήμα σούστας (απόσταση μεταξύ σπειρών)</t>
  </si>
  <si>
    <t>Σχέδιο 00Σ &amp; 001Σ: Σπειροειδείς συνδετήρες Υ10/15 (βήμα 150mm)</t>
  </si>
  <si>
    <t>1.3.16</t>
  </si>
  <si>
    <t>Στεφάνια αναμονής starter — ρητά από σχέδιο (κενό → υπολογισμός)</t>
  </si>
  <si>
    <t>—</t>
  </si>
  <si>
    <t>1.3.17</t>
  </si>
  <si>
    <t>Πρόσθετος οπλισμός (U-bars κ.λπ.) — Πλήθος</t>
  </si>
  <si>
    <t>1.3.18</t>
  </si>
  <si>
    <t>Πρόσθετος οπλισμός — Διάμετρος Φ</t>
  </si>
  <si>
    <t>1.3.19</t>
  </si>
  <si>
    <t>Πρόσθετος οπλισμός — Μήκος ανά βέργα</t>
  </si>
  <si>
    <t>2. ΤΕΛΙΚΕΣ ΠΟΣΟΤΗΤΕΣ ΓΙΑ ΤΗΝ ΟΙΚΟΝΟΜΙΚΗ ΠΡΟΣΦΟΡΑ</t>
  </si>
  <si>
    <t>Σύνολο Έργου</t>
  </si>
  <si>
    <t>Πλήθος Πασσάλων</t>
  </si>
  <si>
    <t>Μέση ανά Πάσσαλο</t>
  </si>
  <si>
    <t>Τροφοδοτεί</t>
  </si>
  <si>
    <t>2.1</t>
  </si>
  <si>
    <t>Τρέχοντα μέτρα διάτρησης Ø800mm</t>
  </si>
  <si>
    <t>Φύλλο 1</t>
  </si>
  <si>
    <t>2.2</t>
  </si>
  <si>
    <t>Τρέχοντα μέτρα διάτρησης Ø600mm</t>
  </si>
  <si>
    <t>2.3</t>
  </si>
  <si>
    <t>2.4</t>
  </si>
  <si>
    <t>Χάλυβας οπλισμού B500C (κάθετα σίδερα + σούστα + στεφάνια αναμονής)</t>
  </si>
  <si>
    <t>2.5</t>
  </si>
  <si>
    <t>2Β. ΣΥΓΚΕΝΤΡΩΤΙΚΟΣ ΠΙΝΑΚΑΣ ΠΡΑΞΕΩΝ, ΠΟΣΟΤΗΤΩΝ &amp; ΤΙΜΩΝ — ΣΥΝΟΛΟ ΕΡΓΟΥ (ΤΙΜΕΣ ΑΠΟ ΦΥΛΛΟ 3: «Τιμές &amp; Έλεγχος»)</t>
  </si>
  <si>
    <t>Πράξη / Εργασία (Σύνολο Έργου)</t>
  </si>
  <si>
    <t>Συνολική Ποσότητα</t>
  </si>
  <si>
    <t>Συνολικό Κόστος (€)</t>
  </si>
  <si>
    <t>Ανθρώπινη Επεξήγηση Πράξεων (Για Έλεγχο από Μηχανικό / Μάστρο — 100% Δυναμική)</t>
  </si>
  <si>
    <t>2Β.1</t>
  </si>
  <si>
    <t>2Β.2a</t>
  </si>
  <si>
    <t>Εκσκαφή / Διάτρηση πασσάλων Ø800mm (15 τεμ.)</t>
  </si>
  <si>
    <t>2Β.2b</t>
  </si>
  <si>
    <t>Εκσκαφή / Διάτρηση πασσάλων Ø600mm (20 τεμ.)</t>
  </si>
  <si>
    <t>2Β.3</t>
  </si>
  <si>
    <t>2Β.4α</t>
  </si>
  <si>
    <t xml:space="preserve">   ↳ Οπλισμός: Κάθετα σίδερα κλωβού</t>
  </si>
  <si>
    <t>2Β.4β</t>
  </si>
  <si>
    <t xml:space="preserve">   ↳ Οπλισμός: Σούστα σώματος πασσάλου (κάτω από το Cut-Off, με +1)</t>
  </si>
  <si>
    <t>2Β.4γ</t>
  </si>
  <si>
    <t xml:space="preserve">   ↳ Οπλισμός: Στεφάνια αναμονής starter (πάνω από το Cut-Off, χωρίς +1)</t>
  </si>
  <si>
    <t>2Β.4</t>
  </si>
  <si>
    <t>Χάλυβας οπλισμού B500C — ΣΥΝΟΛΟ ΚΛΩΒΟΥ (4α + 4β + 4γ)</t>
  </si>
  <si>
    <t>2Β.5</t>
  </si>
  <si>
    <t>ΓΕΝΙΚΟ ΣΥΝΟΛΟ ΕΡΓΟΥ (ΑΘΡΟΙΣΜΑ ΚΥΡΙΩΝ ΠΡΑΞΕΩΝ 2Β — ΧΩΡΙΣ Φ.Π.Α.)</t>
  </si>
  <si>
    <t>2Γ. ΛΙΣΤΑ ΑΝΑ ΤΥΠΟ ΠΑΣΣΑΛΟΥ — ΠΟΣΟΤΗΤΑ ΑΝΑ 1 ΠΑΣΣΑΛΟ &amp; ΚΟΣΤΟΣ ΑΝΑ 1 ΠΑΣΣΑΛΟ ΓΙΑ ΚΑΘΕ ΠΡΑΞΗ</t>
  </si>
  <si>
    <t>ΤΥΠΟΣ ΠΑΣΣΑΛΟΥ 1: Πάσσαλοι ΠΣ Ø800mm (Κοιτόστρωση Υπογείου) — Κωδικοί: ΠΣ #1 έως ΠΣ #15 (12 σε κοιτόστρωση 55εκ. + 3 σε κοιτόστρωση 40εκ.) (Πλήθος Ομάδας: 15 πασσ.) — ΠΟΣΟΤΗΤΑ &amp; ΚΟΣΤΟΣ ΑΝΑ 1 ΠΑΣΣΑΛΟ</t>
  </si>
  <si>
    <t>Πράξη / Εργασία (Ανά 1 Πάσσαλο Τύπου 1)</t>
  </si>
  <si>
    <t>Ποσότητα ανά 1 Πάσσαλο</t>
  </si>
  <si>
    <t>Κόστος ανά 1 Πάσσαλο (€)</t>
  </si>
  <si>
    <t>Ανθρώπινη Επεξήγηση για 1 Πάσσαλο &amp; Σύνολο Ομάδας (15 πασσ.) — 100% Δυναμική</t>
  </si>
  <si>
    <t>2Γ.1.1</t>
  </si>
  <si>
    <t>Μετακινήσεις γεωτρύπανου &amp; Συνοδεία Αστυνομίας (επιμερισμός σε 1 πάσσαλο)</t>
  </si>
  <si>
    <t>2Γ.1.2</t>
  </si>
  <si>
    <t>Εκσκαφή / Διάτρηση πασσάλου Ø800mm (μέτρα ανά 1 πάσσαλο)</t>
  </si>
  <si>
    <t>2Γ.1.3</t>
  </si>
  <si>
    <t>2Γ.1.4α</t>
  </si>
  <si>
    <t xml:space="preserve">   ↳ Οπλισμός: Κάθετα σίδερα κλωβού (kg ανά 1 πάσσαλο)</t>
  </si>
  <si>
    <t>2Γ.1.4β</t>
  </si>
  <si>
    <t xml:space="preserve">   ↳ Οπλισμός: Σούστα σώματος κάτω από Cut-Off, με +1 (kg ανά 1 πάσσαλο)</t>
  </si>
  <si>
    <t>2Γ.1.4γ</t>
  </si>
  <si>
    <t xml:space="preserve">   ↳ Οπλισμός: Στεφάνια αναμονής starter πάνω από Cut-Off, χωρίς +1 (kg ανά 1 πάσσαλο)</t>
  </si>
  <si>
    <t>2Γ.1.4</t>
  </si>
  <si>
    <t>Χάλυβας οπλισμού B500C — ΣΥΝΟΛΟ ΚΛΩΒΟΥ ΑΝΑ 1 ΠΑΣΣΑΛΟ (4α + 4β + 4γ)</t>
  </si>
  <si>
    <t>2Γ.1.5</t>
  </si>
  <si>
    <t>ΣΥΝΟΛΙΚΟ ΚΟΣΤΟΣ ΓΙΑ 1 ΠΑΣΣΑΛΟ ΤΥΠΟΥ 1 (Πάσσαλοι ΠΣ Ø800mm (Κοιτόστρωση Υπογείου)) — ΧΩΡΙΣ Φ.Π.Α.:</t>
  </si>
  <si>
    <t>ΣΥΝΟΛΙΚΟ ΚΟΣΤΟΣ ΟΜΑΔΑΣ 1 (15 ΠΑΣΣΑΛΟΙ × ΚΟΣΤΟΣ 1 ΠΑΣΣΑΛΟΥ):</t>
  </si>
  <si>
    <t>ΤΥΠΟΣ ΠΑΣΣΑΛΟΥ 2: Πάσσαλοι ΠΣ1 Ø600mm (Περίφραξη / Περιμετρικά Τοιχεία) — Κωδικοί: ΠΣ1 #1 έως ΠΣ1 #20 (ανά ~5m στην περίφραξη ΤΠ1/ΤΠ2/ΤΑ4) (Πλήθος Ομάδας: 20 πασσ.) — ΠΟΣΟΤΗΤΑ &amp; ΚΟΣΤΟΣ ΑΝΑ 1 ΠΑΣΣΑΛΟ</t>
  </si>
  <si>
    <t>Πράξη / Εργασία (Ανά 1 Πάσσαλο Τύπου 2)</t>
  </si>
  <si>
    <t>Ανθρώπινη Επεξήγηση για 1 Πάσσαλο &amp; Σύνολο Ομάδας (20 πασσ.) — 100% Δυναμική</t>
  </si>
  <si>
    <t>2Γ.2.1</t>
  </si>
  <si>
    <t>2Γ.2.2</t>
  </si>
  <si>
    <t>Εκσκαφή / Διάτρηση πασσάλου Ø600mm (μέτρα ανά 1 πάσσαλο)</t>
  </si>
  <si>
    <t>2Γ.2.3</t>
  </si>
  <si>
    <t>2Γ.2.4α</t>
  </si>
  <si>
    <t>2Γ.2.4β</t>
  </si>
  <si>
    <t>2Γ.2.4γ</t>
  </si>
  <si>
    <t>2Γ.2.4</t>
  </si>
  <si>
    <t>2Γ.2.5</t>
  </si>
  <si>
    <t>ΣΥΝΟΛΙΚΟ ΚΟΣΤΟΣ ΓΙΑ 1 ΠΑΣΣΑΛΟ ΤΥΠΟΥ 2 (Πάσσαλοι ΠΣ1 Ø600mm (Περίφραξη / Περιμετρικά Τοιχεία)) — ΧΩΡΙΣ Φ.Π.Α.:</t>
  </si>
  <si>
    <t>ΣΥΝΟΛΙΚΟ ΚΟΣΤΟΣ ΟΜΑΔΑΣ 2 (20 ΠΑΣΣΑΛΟΙ × ΚΟΣΤΟΣ 1 ΠΑΣΣΑΛΟΥ):</t>
  </si>
  <si>
    <t>ΓΕΝΙΚΟ ΣΥΝΟΛΟ ΕΡΓΟΥ ΑΠΟ ΑΘΡΟΙΣΜΑ ΤΥΠΩΝ ΠΑΣΣΑΛΩΝ (2Γ = 2Β = ΦΥΛΛΟ 1):</t>
  </si>
  <si>
    <t>3. ΣΤΑΘΕΡΕΣ ΤΕΧΝΙΚΕΣ ΠΑΡΑΔΟΧΕΣ (αριθμοί στη Στήλη D)</t>
  </si>
  <si>
    <t>Παραδοχή</t>
  </si>
  <si>
    <t>Προέλευση</t>
  </si>
  <si>
    <t>3.1</t>
  </si>
  <si>
    <t>Συντελεστής απώλειας σκυροδέματος</t>
  </si>
  <si>
    <t>%</t>
  </si>
  <si>
    <t>Τιμοκατάλογος (γρ. 27)</t>
  </si>
  <si>
    <t>3.2</t>
  </si>
  <si>
    <t>Πυκνότητα χάλυβα ρ (kg/m³)</t>
  </si>
  <si>
    <t>Τιμοκατάλογος (γρ. 26)</t>
  </si>
  <si>
    <t>3.3</t>
  </si>
  <si>
    <t>Μέγιστο εμπορικό μήκος βέργας</t>
  </si>
  <si>
    <t>Τιμοκατάλογος (γρ. 29)</t>
  </si>
  <si>
    <t>3.4</t>
  </si>
  <si>
    <t>Συντελεστής μάτισης (× Φ, αν δεν δίνεται στο σχέδιο)</t>
  </si>
  <si>
    <t>Τιμοκατάλογος (γρ. 30)</t>
  </si>
  <si>
    <t>3.5</t>
  </si>
  <si>
    <t>Μέγιστο ύψος υπερκάλυψης σκυροδέματος</t>
  </si>
  <si>
    <t>Τιμοκατάλογος (γρ. 31)</t>
  </si>
  <si>
    <t>3.6</t>
  </si>
  <si>
    <t>Μαθηματική σταθερά π</t>
  </si>
  <si>
    <t>PI()</t>
  </si>
  <si>
    <t>3.7</t>
  </si>
  <si>
    <t>Starter = βάθος πεδιλόπλακας − (αν δεν δίνεται starter)</t>
  </si>
  <si>
    <t>Κανόνας εταιρείας RULES_v6 §11.1</t>
  </si>
  <si>
    <t>3.8</t>
  </si>
  <si>
    <t>Γωνία πάνω (αν δεν δίνεται στο σχέδιο)</t>
  </si>
  <si>
    <t>Κανόνας εταιρείας RULES_v6 §11.2</t>
  </si>
  <si>
    <t>4. ΑΝΑΛΥΤΙΚΑ ΜΑΘΗΜΑΤΙΚΑ ΒΗΜΑ-ΒΗΜΑ (τιμές ανά πάσσαλο, σύνολο = Σ πλήθος × τιμή)</t>
  </si>
  <si>
    <t>Βήμα</t>
  </si>
  <si>
    <t>Υπολογισμός</t>
  </si>
  <si>
    <t>Ομάδα 1
Πάσσαλοι ΠΣ Ø800mm (Κοιτόστρωση Υπογείου)</t>
  </si>
  <si>
    <t>Ομάδα 2
Πάσσαλοι ΠΣ1 Ø600mm (Περίφραξη / Περιμετρικά Τοιχεία)</t>
  </si>
  <si>
    <t>Τρόπος Υπολογισμού (Ανθρώπινα)</t>
  </si>
  <si>
    <t>Κενό τρύπημα (από πλατφόρμα μέχρι Cut-Off)</t>
  </si>
  <si>
    <t>Κενό τρύπημα = Στάθμη πλατφόρμας − Στάθμη αποκοπής (Cut-Off)</t>
  </si>
  <si>
    <t>2</t>
  </si>
  <si>
    <t>Ύψος υπερκάλυψης κουγκριού (πάνω από το Cut-Off)</t>
  </si>
  <si>
    <t>Υπερκάλυψη κουγκριού = έως +2.00m πάνω από το Cut-Off (όταν υπάρχει κενό τρύπημα)</t>
  </si>
  <si>
    <t>Συνολικό βάθος τρυπήματος ανά πάσσαλο</t>
  </si>
  <si>
    <t>Συνολικό βάθος τρυπήματος = Ύψος σκυροδετημένου πασσάλου + Κενό τρύπημα</t>
  </si>
  <si>
    <t>Γεωμετρικός όγκος εκσκαφής τρύπας (κυβικά χώματος ανά πάσσαλο)</t>
  </si>
  <si>
    <t>Όγκος εκσκαφής = Εμβαδόν τρύπας (π × Διάμετρος² / 4) × Συνολικό βάθος τρυπήματος</t>
  </si>
  <si>
    <t>Συνολικό ύψος σκυροδέτησης (με την υπερκάλυψη)</t>
  </si>
  <si>
    <t>Ύψος σκυροδέτησης = Ύψος σκυροδετημένου πασσάλου + Υπερκάλυψη κουγκριού</t>
  </si>
  <si>
    <t>6</t>
  </si>
  <si>
    <t>Κυβικά σκυροδέματος ανά πάσσαλο (με +10% απώλεια)</t>
  </si>
  <si>
    <t>Κυβικά κουγκριού = Εμβαδόν τρύπας × Ύψος σκυροδέτησης × 1.10 (+10% απώλεια)</t>
  </si>
  <si>
    <t>7</t>
  </si>
  <si>
    <t>Διάμετρος στεφανιού κλωβού (έξω-έξω)</t>
  </si>
  <si>
    <t>Διάμετρος κλωβού = Διάμετρος τρύπας − (2 × Επικάλυψη Cover)</t>
  </si>
  <si>
    <t>8</t>
  </si>
  <si>
    <t>Περίμετρος στεφανιού κλωβού (μήκος 1 σπείρας)</t>
  </si>
  <si>
    <t>Περίμετρος στεφανιού = π (3.1416) × Διάμετρος στεφανιού κλωβού</t>
  </si>
  <si>
    <t>9</t>
  </si>
  <si>
    <t>Βασικό μήκος κάθετης βέργας (χωρίς μάτιση)</t>
  </si>
  <si>
    <t>Βασικό μήκος βέργας = Ύψος πασσάλου + Ύψος αναμονής starter + Γωνία πάνω + Γωνία κάτω</t>
  </si>
  <si>
    <t>10</t>
  </si>
  <si>
    <t>Αριθμός ματίσεων ανά κάθετη βέργα</t>
  </si>
  <si>
    <t>Αριθμός ματίσεων = 1 μάτιση για κάθε 12 μέτρα βέργας (όταν ξεπερνά τα 12.00m)</t>
  </si>
  <si>
    <t>11</t>
  </si>
  <si>
    <t>Συνολικό μήκος κάθετης βέργας (με τη μάτιση)</t>
  </si>
  <si>
    <t>Συνολικό μήκος βέργας = Βασικό μήκος βέργας + (Αριθμός ματίσεων × Ύψος μάτισης)</t>
  </si>
  <si>
    <t>12</t>
  </si>
  <si>
    <t>Βάρος ενός μέτρου κάθετης βέργας</t>
  </si>
  <si>
    <t>kg/m</t>
  </si>
  <si>
    <t>Βάρος μέτρου κάθετου σιδήρου = Εμβαδόν διατομής σιδήρου × 7,850 kg/m³</t>
  </si>
  <si>
    <t>13</t>
  </si>
  <si>
    <t>Βάρος κάθετων σιδήρων ανά πάσσαλο</t>
  </si>
  <si>
    <t>Βάρος κάθετων σιδήρων = Πλήθος κάθετων σιδήρων × Συνολικό μήκος βέργας × Βάρος μέτρου</t>
  </si>
  <si>
    <t>14</t>
  </si>
  <si>
    <t>Αριθμός σπειρών σούστας στο σώμα πασσάλου (κάτω από Cut-Off, με +1)</t>
  </si>
  <si>
    <t>Αριθμός σπειρών σούστας = ROUNDUP(Ύψος πασσάλου ÷ Βήμα σούστας) + 1 (κάτω από το Cut-Off μπαίνει +1)</t>
  </si>
  <si>
    <t>15</t>
  </si>
  <si>
    <t>Βάρος ενός μέτρου σιδήρου σούστας</t>
  </si>
  <si>
    <t>Βάρος μέτρου σούστας = Εμβαδόν διατομής σούστας × 7,850 kg/m³</t>
  </si>
  <si>
    <t>16</t>
  </si>
  <si>
    <t>Βάρος σούστας σώματος ανά πάσσαλο</t>
  </si>
  <si>
    <t>Βάρος σούστας σώματος = Αριθμός σπειρών × Περίμετρος στεφανιού × Βάρος μέτρου</t>
  </si>
  <si>
    <t>17</t>
  </si>
  <si>
    <t>Αριθμός στεφανιών στην αναμονή starter (πάνω από Cut-Off, χωρίς +1)</t>
  </si>
  <si>
    <t>Στεφάνια αναμονής starter = ROUNDUP(Ύψος αναμονής ÷ Βήμα) — χωρίς +1</t>
  </si>
  <si>
    <t>18</t>
  </si>
  <si>
    <t>Βάρος στεφανιών αναμονής starter ανά πάσσαλο</t>
  </si>
  <si>
    <t>Βάρος στεφανιών αναμονής = Αριθμός στεφανιών αναμονής × Περίμετρος στεφανιού × Βάρος μέτρου</t>
  </si>
  <si>
    <t>19</t>
  </si>
  <si>
    <t>Βάρος πρόσθετου οπλισμού (U-bars κ.λπ.) ανά πάσσαλο</t>
  </si>
  <si>
    <t>Βάρος πρόσθετου οπλισμού = Πλήθος × Μήκος βέργας × Βάρος μέτρου</t>
  </si>
  <si>
    <t>20</t>
  </si>
  <si>
    <t>Συνολικό βάρος σιδήρου κλωβού ανά πάσσαλο</t>
  </si>
  <si>
    <t>Συνολικό βάρος σιδήρου = Κάθετα σίδερα + Σούστα σώματος + Στεφάνια αναμονής + Πρόσθετος</t>
  </si>
  <si>
    <t>21</t>
  </si>
  <si>
    <t>Προστατευτικά sleeves αναμονών ανά πάσσαλο</t>
  </si>
  <si>
    <t>Sleeves ανά πάσσαλο = 1 τεμάχιο σε κάθε κάθετο σίδερο (στρογγυλοποίηση στο 0,50 € στο Φύλλο 3)</t>
  </si>
  <si>
    <t>22</t>
  </si>
  <si>
    <t>Κεφαλοκοπή (σπάσιμο κεφαλής) ανά πάσσαλο</t>
  </si>
  <si>
    <t>Κεφαλοκοπή ανά πάσσαλο = 1 τεμάχιο ανά πάσσαλο (όταν υπάρχει κενό τρύπημα &amp; Κουμπί 1 = ΝΑΙ)</t>
  </si>
  <si>
    <t>5. ΠΗΓΕΣ ΔΕΔΟΜΕΝΩΝ — ΑΠΟ ΠΟΥ ΠΡΟΗΛΘΕ ΚΑΘΕ ΣΤΟΙΧΕΙΟ (DRAWING AUDIT)</t>
  </si>
  <si>
    <t>Στοιχείο</t>
  </si>
  <si>
    <t>Κατάσταση</t>
  </si>
  <si>
    <t>Πηγή / Σημείο στο σχέδιο / Αιτιολόγηση</t>
  </si>
  <si>
    <t>Συνοδεία Αστυνομίας (Από Κεντρικά: Σπύρου Κυπριανού 32, Άγιος Συλάς έως Παρεκκλησιά)</t>
  </si>
  <si>
    <t>ΚΑΝΟΝΑΣ</t>
  </si>
  <si>
    <t>28.0 km × 8.00 €/km = 224.00 €</t>
  </si>
  <si>
    <t>Κανόνας εταιρείας (RULES_v7 §11.8): Η Συνοδεία Αστυνομίας χρεώνεται ΚΑΙ εντός ΚΑΙ εκτός Λεμεσού βάσει της οδικής απόστασης από τα Κεντρικά της Εταιρείας (Σπύρου Κυπριανού 32, Γ' Βιομηχανική Περιοχή Αγίου Συλά, Ύψωνας) μέχρι το χωριό του έργου (Παρεκκλησιά) = 28,0 km × 8,00 €/km = 224,00 € (Σύνολο Μετακίνησης = 1.000,00 € + 224,00 € = 1.224,00 €).</t>
  </si>
  <si>
    <t>Πλήθος Πασσάλων ΠΣ (Ø800mm)</t>
  </si>
  <si>
    <t>ΜΕΤΡΗΣΗ</t>
  </si>
  <si>
    <t>15 τεμ.</t>
  </si>
  <si>
    <t>Καταμέτρηση με Python OpenCV &amp; ανάλυση διανυσμάτων PDF στο Φύλλο 00Σ (12 τεμ. κάτω από την κύρια κοιτόστρωση 55εκ. + 3 τεμ. κάτω από την κοιτόστρωση 40εκ.). Δεν υπάρχει πίνακας απαρίθμησης στο σχέδιο.</t>
  </si>
  <si>
    <t>Πλήθος Πασσάλων ΠΣ1 (Ø600mm)</t>
  </si>
  <si>
    <t>20 τεμ.</t>
  </si>
  <si>
    <t>Καταμέτρηση με Python OpenCV &amp; ανάλυση διανυσμάτων PDF στο Φύλλο 00Σ («ΚΑΘΕ 5m ΣΕ ΟΛΗ ΤΗ ΠΕΡΙΦΡΑΞΗ»: 4 αριστερά + 7 κάτω + 3 δεξιά + 3 διαγώνια + 3 άνω = 20 τεμ.).</t>
  </si>
  <si>
    <t>Διάμετρος &amp; Βάθος Πασσάλων ΠΣ</t>
  </si>
  <si>
    <t>ΣΧΕΔΙΟ</t>
  </si>
  <si>
    <t>Ø800mm, L = 10.00m</t>
  </si>
  <si>
    <t>Φύλλα 00Σ &amp; 001Σ — «ΛΕΠΤΟΜΕΡΕΙΑ ΠΑΣΣΑΛΟΥ ΠΣ: ΠΑΣΣΑΛΟΣ ΠΣ ΔΙΑΜΕΤΡΟΥ 800mm, ΒΑΘΟΣ 10m».</t>
  </si>
  <si>
    <t>Διάμετρος &amp; Βάθος Πασσάλων ΠΣ1</t>
  </si>
  <si>
    <t>Ø600mm, L = 5.00m</t>
  </si>
  <si>
    <t>Φύλλο 00Σ — «ΛΕΠΤΟΜΕΡΕΙΑ ΠΑΣΣΑΛΟΥ ΠΣ1: ΠΑΣΣΑΛΟΣ ΠΣ1 ΔΙΑΜΕΤΡΟΥ 600mm, ΒΑΘΟΣ 5m».</t>
  </si>
  <si>
    <t>Οπλισμός Πασσάλων ΠΣ &amp; ΠΣ1</t>
  </si>
  <si>
    <t>ΠΣ: 16Υ20, ΠΣ1: 10Υ20, Σπείρα Υ10/15</t>
  </si>
  <si>
    <t>Φύλλο 00Σ — ΠΣ: «ΟΠΛΙΣΜΟΣ: 16Υ20, ΣΥΝΔΕΤΗΡΕΣ: ΣΠΕΙΡΟΕΙΔΕΙΣ Υ10/15», ΠΣ1: «ΟΠΛΙΣΜΟΣ: 10Υ20, ΣΥΝΔΕΤΗΡΕΣ: ΣΠΕΙΡΟΕΙΔΕΙΣ Υ10/15», Σημείωση 2: «Χάλυβας γενικά στριφτός B500C».</t>
  </si>
  <si>
    <t>Κατηγορία Σκυροδέματος</t>
  </si>
  <si>
    <t>Φύλλο 00Σ, Σημείωση 1: «1. Σκυρόδεμα C25/30» (Τιμή αγοράς 105,00 €/m³ + 15,00 €/m³ τοποθέτηση = 120,00 €/m³ από Τιμοκατάλογο Εταιρείας v4).</t>
  </si>
  <si>
    <t>Επικάλυψη Οπλισμού (Cover)</t>
  </si>
  <si>
    <t>50 mm (5 εκ.)</t>
  </si>
  <si>
    <t>Φύλλο 00Σ, Σημείωση 4: «4. Επικάλυψη οπλισμού πεδίλων και γενικά στοιχείων μέσα στο έδαφος, 5 εκ.».</t>
  </si>
  <si>
    <t>Πάχος Κοιτόστρωσης / Πεδιλοδοκού &amp; Μήκος Αναμονής Starter</t>
  </si>
  <si>
    <t>Πάχος 0.55m → Starter = 0.45m</t>
  </si>
  <si>
    <t>Φύλλο 00Σ («ΚΟΙΤΟΣΤΡΩΣΗ ΠΑΧΟΥΣ 55εκ.») &amp; Φύλλο 001Σ («ΛΕΠΤΟΜΕΡΕΙΑ ΠΑΣΣΑΛΟΥ ΚΑΤΩ ΑΠΟ ΚΟΙΤΟΣΤΡΩΣΗ», διάσταση 55 εκ.: «Ο οπλισμός του πασσάλου να συνεχίζει μέχρι και το πάνω μέρος της πεδιλοδοκού»). Βάσει RULES_v7 §11.1: Starter = 0.55 − 0.10 = 0.45m.</t>
  </si>
  <si>
    <t>Γωνία Αγκύρωσης Πάνω (Top Bend)</t>
  </si>
  <si>
    <t>0.50 m</t>
  </si>
  <si>
    <t>Φύλλο 001Σ («και να γυρίζει γωνία μέσα στη κοιτόστρωση» χωρίς αναγραφή διάστασης) → Εφαρμογή κανόνα εταιρείας RULES_v7 §11.2: 0.50m ανά κάθετη ράβδο.</t>
  </si>
  <si>
    <t>Υψόμετρα Πλατφόρμας Διάτρησης (WPL) &amp; Αποκοπής (Cut-Off)</t>
  </si>
  <si>
    <t>ΠΑΡΑΔΟΧΗ</t>
  </si>
  <si>
    <t>Δh = 0.00 m (ΚΟΚΚΙΝΟΣ ΣΥΝΑΓΕΡΜΟΣ)</t>
  </si>
  <si>
    <t>Στα σχέδια 00Σ &amp; 001Σ αναγράφονται υψόμετρα εδάφους/δαπέδων, αλλά ΔΕΝ καθορίζεται η στάθμη πλατφόρμας έδρασης του γεωτρύπανου (WPL) σε σχέση με τη στάθμη αποκοπής (Cut-Off) κάθε πασσάλου. Ενεργοποιήθηκε Κόκκινος Συναγερμός με προσωρινό Δh = 0.00m.</t>
  </si>
  <si>
    <t>Κατάσταση: ΣΧΕΔΙΟ = γράφεται ρητά στο σχέδιο | ΜΕΤΡΗΣΗ = μετρήθηκε γραφικά από το σχέδιο | ΚΑΝΟΝΙΣΜΟΣ = Ευρωκώδικας | ΚΑΝΟΝΑΣ = κανόνας εταιρείας (RULES) | ΤΙΜΟΚΑΤΑΛΟΓΟΣ | ΧΡΗΣΤΗΣ = οδηγία χρήστη | ΠΑΡΑΔΟΧΗ = δεν δίνεται, απαιτεί επιβεβαίωση</t>
  </si>
  <si>
    <t>ΘΕΜΕΛΙΟΤΕΧΝΙΚΗ ΛΤΔ — ΚΕΝΤΡΙΚΟΣ ΠΙΝΑΚΑΣ ΤΙΜΩΝ, ΚΟΥΜΠΙΩΝ (ΝΑΙ/ΟΧΙ) &amp; ΕΛΕΓΧΟΥ ΕΡΓΟΥ</t>
  </si>
  <si>
    <t>ΝΑΙ</t>
  </si>
  <si>
    <t>Όλες οι τιμές μονάδας, τα κουτάκια σκυροδέματος/sleeve (άτομα, λεπτά, εργατοώρα, τέλλα) και τα κουμπιά ΝΑΙ/ΟΧΙ ορίζονται ΕΔΩ και ενημερώνουν αυτόματα όλα τα φύλλα και όλες τις σημειώσεις!</t>
  </si>
  <si>
    <t>ΟΧΙ</t>
  </si>
  <si>
    <t>Α. ΚΥΡΙΕΣ ΤΙΜΕΣ ΜΟΝΑΔΑΣ &amp; ΜΕΤΑΚΙΝΗΣΕΙΣ (ΚΙΤΡΙΝΟ = ΑΛΛΑΖΕΙΣ ΕΔΩ)</t>
  </si>
  <si>
    <t>Περιγραφή Τιμής / Παραμέτρου</t>
  </si>
  <si>
    <t>Τιμή [ΑΛΛΑΖΕΙΣ ΕΔΩ]</t>
  </si>
  <si>
    <t>Πού Εφαρμόζεται (100% Δυναμική Σημείωση)</t>
  </si>
  <si>
    <t>Τ.1</t>
  </si>
  <si>
    <t>Χιλιόμετρα εκτός Λεμεσού για επιβάρυνση ζωνών +200€/10km (0 km αν το έργο είναι μέσα στη Λεμεσό)</t>
  </si>
  <si>
    <t>Έργο στην Παρεκκλησιά (Εντός επαρχίας Λεμεσού — 0 km εκτός Λεμεσού για τις ζώνες +200€/10km)</t>
  </si>
  <si>
    <t>Τ.2</t>
  </si>
  <si>
    <t>Μετακίνηση γεωτρύπανου — Βασική τιμή (Μέσα στη Λεμεσό)</t>
  </si>
  <si>
    <t>Τιμοκατάλογος (γρ. 5)</t>
  </si>
  <si>
    <t>Τ.3</t>
  </si>
  <si>
    <t>Τιμοκατάλογος (γρ. 6)</t>
  </si>
  <si>
    <t>Τ.4.1</t>
  </si>
  <si>
    <t>Τρύπημα / Διάτρηση Πασσάλων Ø800mm</t>
  </si>
  <si>
    <t>Τιμοκατάλογος (γρ. 11)</t>
  </si>
  <si>
    <t>Τ.4.2</t>
  </si>
  <si>
    <t>Τρύπημα / Διάτρηση Πασσάλων Ø600mm</t>
  </si>
  <si>
    <t>Τιμοκατάλογος (γρ. 9)</t>
  </si>
  <si>
    <t>Τ.5</t>
  </si>
  <si>
    <t>Χάλυβας οπλισμού B500C (Κάθετα σίδερα &amp; Σούστα) — Τιμή κιλού</t>
  </si>
  <si>
    <t>Τιμοκατάλογος (γρ. 19)</t>
  </si>
  <si>
    <t>Τ.6</t>
  </si>
  <si>
    <t>Κεφαλοκοπή πασσάλων (Pile Breaking) — Τιμή τεμαχίου</t>
  </si>
  <si>
    <t>Τιμοκατάλογος (γρ. 23)</t>
  </si>
  <si>
    <t>Β. ΥΠΟΛΟΓΙΣΜΟΣ ΤΙΜΗΣ ΚΑΝΟΝΙΚΟΥ ΣΚΥΡΟΔΕΜΑΤΟΣ (C25/30) — ΚΟΥΤΑΚΙΑ ΜΗΧΑΝΙΚΟΥ</t>
  </si>
  <si>
    <t>Παράμετρος Κόστους Σκυροδέτησης</t>
  </si>
  <si>
    <t>Τιμή / Κουτάκι</t>
  </si>
  <si>
    <t>Προέλευση / Τύπος</t>
  </si>
  <si>
    <t>Δυναμική Επεξήγηση</t>
  </si>
  <si>
    <t>Τ.Β.1</t>
  </si>
  <si>
    <t>Τιμή αγοράς σκυροδέματος (C25/30) από προμηθευτή [ΚΟΥΤΑΚΙ ΜΗΧΑΝΙΚΟΥ]</t>
  </si>
  <si>
    <t>Τιμοκατάλογος (γρ. 16)</t>
  </si>
  <si>
    <t>Τ.Β.2</t>
  </si>
  <si>
    <t>Κόστος τοποθέτησης σκυροδέματος (σταθερό ανά κυβικό)</t>
  </si>
  <si>
    <t>Τιμοκατάλογος (γρ. 18)</t>
  </si>
  <si>
    <t>Τ.Β.3</t>
  </si>
  <si>
    <t>Κόστος στησίματος αντλίας (πρέσας) ανά στήσιμο [ΚΟΥΤΑΚΙ ΜΗΧΑΝΙΚΟΥ]</t>
  </si>
  <si>
    <t>Κουτάκι Μηχανικού (Κόστος στησίματος αντλίας)</t>
  </si>
  <si>
    <t>Τ.Β.4</t>
  </si>
  <si>
    <t>Πόσες τρύπες (πασσάλους) θα κάνει η αντλία ανά στήσιμο [ΚΟΥΤΑΚΙ ΜΗΧΑΝΙΚΟΥ]</t>
  </si>
  <si>
    <t>τρύπες</t>
  </si>
  <si>
    <t>Κουτάκι Μηχανικού (Τρύπες/πασσάλους ανά στήσιμο αντλίας)</t>
  </si>
  <si>
    <t>Τ.Β.5</t>
  </si>
  <si>
    <t>Κυβικά κουγκριού που αντλεί η αντλία ανά στήσιμο (Τρύπες × m³/τρύπα)</t>
  </si>
  <si>
    <t>Τ.Β.6</t>
  </si>
  <si>
    <t>Επιβάρυνση στησίματος αντλίας ανά κυβικό (Στήσιμο ÷ m³ ανά στήσιμο)</t>
  </si>
  <si>
    <t>Τ.Β.7</t>
  </si>
  <si>
    <t>ΤΕΛΙΚΗ ΤΙΜΗ ΣΚΥΡΟΔΕΤΗΣΗΣ (C25/30) ΑΝΑ ΚΥΒΙΚΟ [ΣΤΡΟΓΓΥΛΟΠΟΙΗΜΕΝΗ ΣΕ ΑΚΕΡΑΙΟ €]</t>
  </si>
  <si>
    <t>Γ. ΚΟΣΤΟΛΟΓΗΣΗ SLEEVE ΕΡΓΟΥ — ΜΟΝΟ ΓΙΑ SLEEVE Φ32 (ΓΙΑ ΚΆΘΕΤΟ ΣΊΔΕΡΟ Φ20 ≤ Φ20)</t>
  </si>
  <si>
    <t>Στοιχείο Κόστους Sleeve Έργου</t>
  </si>
  <si>
    <t>Τ.Γ.1</t>
  </si>
  <si>
    <t>Τελικό Αποτέλεσμα Sleeve (Sleeve Φ32): ((Κόστος αγοράς + Κόστος τοποθέτησης) × Profit, Waste, Overhead)</t>
  </si>
  <si>
    <t>Από Τιμοκατάλογο Εταιρείας: ((Κόστος αγοράς + Κόστος τοποθέτησης) × Profit, Waste, Overhead)</t>
  </si>
  <si>
    <t>Τ.Γ.2</t>
  </si>
  <si>
    <t>ΣΤΡΟΓΓΥΛΕΜΕΝΟ ΤΕΛΙΚΟ ΑΠΟΤΕΛΕΣΜΑ SLEEVE (Sleeve Φ32) [ΣΤΟ ΠΛΗΣΙΕΣΤΕΡΟ 0,50 €]</t>
  </si>
  <si>
    <t>Τ.Δ.1</t>
  </si>
  <si>
    <t>Χιλιόμετρα Συνοδείας Αστυνομίας (Από Κεντρικά: Σπύρου Κυπριανού 32, Άγιος Συλάς μέχρι το χωριό/έργο — ΚΑΙ εντός ΚΑΙ εκτός Λεμεσού)</t>
  </si>
  <si>
    <t>Οδική απόσταση 28,0 km από τα Κεντρικά (Σπύρου Κυπριανού 32, Άγιος Συλάς) έως την Παρεκκλησιά (× 8,00 €/km = 224,00 €)</t>
  </si>
  <si>
    <t>Τ.Δ.2</t>
  </si>
  <si>
    <t>€/km</t>
  </si>
  <si>
    <t>Τιμοκατάλογος (γρ. 48)</t>
  </si>
  <si>
    <t>Τ.Δ.3</t>
  </si>
  <si>
    <t>Προστίθεται αυτόματα στις Μετακινήσεις (Φύλλο 1 Γρ. 1 &amp; Φύλλο 2 2Β.1 &amp; 2Γ)</t>
  </si>
  <si>
    <t>Ε. ΚΟΥΜΠΙΑ ΕΠΙΛΟΓΗΣ ΕΡΓΑΣΙΩΝ (ΠΑΤΗΣΕ «ΝΑΙ» Ή «ΟΧΙ») — ΚΕΦΑΛΟΚΟΠΗ &amp; ΑΠΟΜΑΚΡΥΝΣΗ ΧΩΜΑΤΟΣ</t>
  </si>
  <si>
    <t>Εργασία / Ερώτηση Ευθύνης (Πάνω μας ή Πάνω τους;)</t>
  </si>
  <si>
    <t>ΚΟΥΜΠΙ / ΤΙΜΗ
[ΠΑΤΗΣΕ ΕΔΩ]</t>
  </si>
  <si>
    <t>Προέλευση / Επιλογή</t>
  </si>
  <si>
    <t>Τι κάνει όταν πατήσεις ΝΑΙ ή ΟΧΙ (100% Δυναμική Σημείωση)</t>
  </si>
  <si>
    <t>Τ.Ε.1</t>
  </si>
  <si>
    <t>ΚΟΥΜΠΙ 1 — Η Κεφαλοκοπή Πασσάλων (Pile Breaking) είναι πάνω μας; [Πάτησε το βελάκι: ΝΑΙ / ΟΧΙ]</t>
  </si>
  <si>
    <t>ΝΑΙ / ΟΧΙ</t>
  </si>
  <si>
    <t>Κουμπί Επιλογής Μηχανικού (Dropdown: ΝΑΙ ή ΟΧΙ)</t>
  </si>
  <si>
    <t>Τ.Ε.2</t>
  </si>
  <si>
    <t>ΚΟΥΜΠΙ 2 — Η Απομάκρυνση Εκσκαπτόμενου Χώματος &amp; Λατομικά Τέλη είναι πάνω μας; [Πάτησε το βελάκι: ΝΑΙ / ΟΧΙ]</t>
  </si>
  <si>
    <t>Τ.Ε.3</t>
  </si>
  <si>
    <t>Τιμή Απομάκρυνσης Εκσκαπτόμενου Χώματος &amp; Λατομικών Τελών (ανά m³ εκσκαφής)</t>
  </si>
  <si>
    <t>Τιμοκατάλογος (γρ. 49)</t>
  </si>
  <si>
    <t>Τ.Ε.4</t>
  </si>
  <si>
    <t>Συνολικά Κυβικά Εκσκαπτόμενου Χώματος Έργου (V_exc από Τεχνικούς Υπολογισμούς)</t>
  </si>
  <si>
    <t>Αυτόματος υπολογισμός: Άθροισμα (π × Διάμετρος² / 4 × Βάθος Τρυπήματος) όλων των πασσάλων</t>
  </si>
  <si>
    <t>Τ.Ε.5</t>
  </si>
  <si>
    <t>Συνολικό Κόστος Απομάκρυνσης Χώματος &amp; Λατομικών Τελών (όταν Κουμπί 2 = ΝΑΙ)</t>
  </si>
  <si>
    <t>Τροφοδοτεί Φύλλο 1 (Γρ. 7) &amp; Φύλλο 2 (2Β.7 &amp; 2Γ)</t>
  </si>
  <si>
    <t>ΓΕΝΙΚΟ ΣΥΝΟΛΟ ΠΡΟΣΦΟΡΑΣ (ΧΩΡΙΣ Φ.Π.Α.):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</si>
</sst>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 &quot;€&quot;"/>
    <numFmt numFmtId="166" formatCode="#,##0\ &quot;€&quot;"/>
    <numFmt numFmtId="167" formatCode="#,##0.00\ &quot;€/km&quot;"/>
    <numFmt numFmtId="168" formatCode="0.00000"/>
    <numFmt numFmtId="169" formatCode="#,##0.0"/>
    <numFmt numFmtId="170" formatCode="#,##0;\-#,##0;&quot;&quot;"/>
    <numFmt numFmtId="171" formatCode="0.00;\-0.00;&quot;&quot;"/>
    <numFmt numFmtId="172" formatCode="#,##0.00\ &quot;€&quot;;\-#,##0.00\ &quot;€&quot;;&quot;&quot;"/>
    <numFmt numFmtId="173" formatCode="0.0%"/>
    <numFmt numFmtId="174" formatCode="0.000"/>
  </numFmts>
  <fonts count="14" x14ac:knownFonts="1">
    <font>
      <sz val="11"/>
      <color theme="1"/>
      <name val="Calibri"/>
      <family val="2"/>
      <scheme val="minor"/>
    </font>
    <font>
      <b/>
      <sz val="13"/>
      <color rgb="FFFFFFFF"/>
      <name val="Calibri"/>
    </font>
    <font>
      <i/>
      <sz val="10"/>
      <color rgb="FF4B5563"/>
      <name val="Calibri"/>
    </font>
    <font>
      <b/>
      <sz val="11"/>
      <color rgb="FF1E40AF"/>
      <name val="Calibri"/>
    </font>
    <font>
      <b/>
      <sz val="10"/>
      <color rgb="FFFFFFFF"/>
      <name val="Calibri"/>
    </font>
    <font>
      <b/>
      <sz val="10"/>
      <name val="Calibri"/>
    </font>
    <font>
      <sz val="9"/>
      <color rgb="FF374151"/>
      <name val="Calibri"/>
    </font>
    <font>
      <b/>
      <sz val="10"/>
      <color rgb="FF065F46"/>
      <name val="Calibri"/>
    </font>
    <font>
      <b/>
      <sz val="11"/>
      <color rgb="FF92400E"/>
      <name val="Calibri"/>
    </font>
    <font>
      <sz val="11"/>
      <color rgb="FFFFFFFF"/>
      <name val="Calibri"/>
    </font>
    <font>
      <b/>
      <sz val="10"/>
      <color rgb="FF991B1B"/>
      <name val="Calibri"/>
    </font>
    <font>
      <b/>
      <sz val="11"/>
      <color rgb="FF065F46"/>
      <name val="Calibri"/>
    </font>
    <font>
      <i/>
      <sz val="9"/>
      <color rgb="FF334155"/>
      <name val="Calibri"/>
    </font>
    <font>
      <b/>
      <sz val="10"/>
      <color rgb="FF1E40AF"/>
      <name val="Calibri"/>
    </font>
  </fonts>
  <fills count="14">
    <fill>
      <patternFill patternType="none"/>
    </fill>
    <fill>
      <patternFill patternType="gray125"/>
    </fill>
    <fill>
      <patternFill patternType="solid">
        <fgColor rgb="FF1E3A8A"/>
      </patternFill>
    </fill>
    <fill>
      <patternFill patternType="solid">
        <fgColor rgb="FF1E40AF"/>
      </patternFill>
    </fill>
    <fill>
      <patternFill patternType="solid">
        <fgColor rgb="FFFEF9C3"/>
      </patternFill>
    </fill>
    <fill>
      <patternFill patternType="solid">
        <fgColor rgb="FFF1F5F9"/>
      </patternFill>
    </fill>
    <fill>
      <patternFill patternType="solid">
        <fgColor rgb="FFD1FAE5"/>
      </patternFill>
    </fill>
    <fill>
      <patternFill patternType="solid">
        <fgColor rgb="FFFDE047"/>
      </patternFill>
    </fill>
    <fill>
      <patternFill patternType="solid">
        <fgColor rgb="FFFEF3C7"/>
      </patternFill>
    </fill>
    <fill>
      <patternFill patternType="solid">
        <fgColor rgb="FFFEE2E2"/>
      </patternFill>
    </fill>
    <fill>
      <patternFill patternType="solid">
        <fgColor rgb="FFF8FAFC"/>
      </patternFill>
    </fill>
    <fill>
      <patternFill patternType="solid">
        <fgColor rgb="FF0F766E"/>
      </patternFill>
    </fill>
    <fill>
      <patternFill patternType="solid">
        <fgColor rgb="FFFFEDD5"/>
      </patternFill>
    </fill>
    <fill>
      <patternFill patternType="solid">
        <fgColor rgb="FFDCFCE7"/>
      </patternFill>
    </fill>
  </fills>
  <borders count="6">
    <border>
      <left/>
      <right/>
      <top/>
      <bottom/>
      <diagonal/>
    </border>
    <border>
      <left style="thin">
        <color rgb="FFD1D5DB"/>
      </left>
      <right style="thin">
        <color rgb="FFD1D5DB"/>
      </right>
      <top style="thin">
        <color rgb="FFD1D5DB"/>
      </top>
      <bottom style="thin">
        <color rgb="FFD1D5DB"/>
      </bottom>
      <diagonal/>
    </border>
    <border>
      <left style="medium">
        <color rgb="FFD97706"/>
      </left>
      <right style="medium">
        <color rgb="FFD97706"/>
      </right>
      <top style="medium">
        <color rgb="FFD97706"/>
      </top>
      <bottom style="medium">
        <color rgb="FFD97706"/>
      </bottom>
      <diagonal/>
    </border>
    <border>
      <left style="thin">
        <color rgb="FF10B981"/>
      </left>
      <right style="thin">
        <color rgb="FF10B981"/>
      </right>
      <top style="thin">
        <color rgb="FF10B981"/>
      </top>
      <bottom style="thin">
        <color rgb="FF10B981"/>
      </bottom>
      <diagonal/>
    </border>
    <border>
      <left style="thin">
        <color rgb="FFB45309"/>
      </left>
      <right style="thin">
        <color rgb="FFB45309"/>
      </right>
      <top style="thin">
        <color rgb="FFB45309"/>
      </top>
      <bottom style="double">
        <color rgb="FFB45309"/>
      </bottom>
      <diagonal/>
    </border>
    <border>
      <left style="medium">
        <color rgb="FFDC2626"/>
      </left>
      <right style="medium">
        <color rgb="FFDC2626"/>
      </right>
      <top style="medium">
        <color rgb="FFDC2626"/>
      </top>
      <bottom style="medium">
        <color rgb="FFDC2626"/>
      </bottom>
      <diagonal/>
    </border>
  </borders>
  <cellStyleXfs count="1">
    <xf numFmtId="0" fontId="0" fillId="0" borderId="0"/>
  </cellStyleXfs>
  <cellXfs count="77">
    <xf numFmtId="0" fontId="0" fillId="0" borderId="0" xfId="0"/>
    <xf numFmtId="0" fontId="2" fillId="0" borderId="0" xfId="0" applyFont="1"/>
    <xf numFmtId="0" fontId="4" fillId="3" borderId="0" xfId="0" applyFont="1" applyFill="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right" vertical="center"/>
    </xf>
    <xf numFmtId="165" fontId="5" fillId="5" borderId="1" xfId="0" applyNumberFormat="1" applyFont="1" applyFill="1" applyBorder="1" applyAlignment="1">
      <alignment horizontal="right" vertical="center"/>
    </xf>
    <xf numFmtId="165" fontId="0" fillId="0" borderId="1" xfId="0" applyNumberFormat="1" applyBorder="1" applyAlignment="1">
      <alignment horizontal="right" vertical="center"/>
    </xf>
    <xf numFmtId="2" fontId="0" fillId="0" borderId="1" xfId="0" applyNumberFormat="1" applyBorder="1" applyAlignment="1">
      <alignment horizontal="right" vertical="center"/>
    </xf>
    <xf numFmtId="166" fontId="5" fillId="5" borderId="1" xfId="0" applyNumberFormat="1" applyFont="1" applyFill="1" applyBorder="1" applyAlignment="1">
      <alignment horizontal="right" vertical="center"/>
    </xf>
    <xf numFmtId="169" fontId="0" fillId="0" borderId="1" xfId="0" applyNumberFormat="1" applyBorder="1" applyAlignment="1">
      <alignment horizontal="right" vertical="center"/>
    </xf>
    <xf numFmtId="170" fontId="0" fillId="0" borderId="1" xfId="0" applyNumberFormat="1" applyBorder="1" applyAlignment="1">
      <alignment horizontal="right" vertical="center"/>
    </xf>
    <xf numFmtId="172" fontId="5" fillId="0" borderId="1" xfId="0" applyNumberFormat="1" applyFont="1" applyBorder="1" applyAlignment="1">
      <alignment horizontal="right" vertical="center"/>
    </xf>
    <xf numFmtId="172" fontId="0" fillId="0" borderId="1" xfId="0" applyNumberFormat="1" applyBorder="1" applyAlignment="1">
      <alignment horizontal="right" vertical="center"/>
    </xf>
    <xf numFmtId="171" fontId="0" fillId="0" borderId="1" xfId="0" applyNumberFormat="1" applyBorder="1" applyAlignment="1">
      <alignment horizontal="right" vertical="center"/>
    </xf>
    <xf numFmtId="165" fontId="8" fillId="8" borderId="4" xfId="0" applyNumberFormat="1" applyFont="1" applyFill="1" applyBorder="1" applyAlignment="1">
      <alignment horizontal="right" vertical="center"/>
    </xf>
    <xf numFmtId="0" fontId="13" fillId="0" borderId="0" xfId="0" applyFont="1"/>
    <xf numFmtId="0" fontId="6" fillId="0" borderId="0" xfId="0" applyFont="1" applyAlignment="1">
      <alignment horizontal="left" vertical="center" wrapText="1"/>
    </xf>
    <xf numFmtId="0" fontId="3" fillId="0" borderId="0" xfId="0" applyFont="1"/>
    <xf numFmtId="0" fontId="0" fillId="0" borderId="1" xfId="0" applyBorder="1"/>
    <xf numFmtId="164" fontId="5" fillId="5" borderId="1" xfId="0" applyNumberFormat="1" applyFont="1" applyFill="1" applyBorder="1" applyAlignment="1">
      <alignment horizontal="right" vertical="center"/>
    </xf>
    <xf numFmtId="164" fontId="0" fillId="0" borderId="1" xfId="0" applyNumberFormat="1" applyBorder="1" applyAlignment="1">
      <alignment horizontal="right" vertical="center"/>
    </xf>
    <xf numFmtId="1" fontId="0" fillId="0" borderId="1" xfId="0" applyNumberFormat="1" applyBorder="1" applyAlignment="1">
      <alignment horizontal="right" vertical="center"/>
    </xf>
    <xf numFmtId="2" fontId="10" fillId="9" borderId="5" xfId="0" applyNumberFormat="1" applyFont="1" applyFill="1" applyBorder="1" applyAlignment="1">
      <alignment horizontal="right" vertical="center"/>
    </xf>
    <xf numFmtId="168" fontId="0" fillId="0" borderId="1" xfId="0" applyNumberFormat="1" applyBorder="1" applyAlignment="1">
      <alignment horizontal="right" vertical="center"/>
    </xf>
    <xf numFmtId="0" fontId="5" fillId="0" borderId="1" xfId="0" applyFont="1" applyBorder="1" applyAlignment="1">
      <alignment horizontal="center" vertical="center" wrapText="1"/>
    </xf>
    <xf numFmtId="3" fontId="5" fillId="0" borderId="1" xfId="0" applyNumberFormat="1" applyFont="1" applyBorder="1" applyAlignment="1">
      <alignment horizontal="right" vertical="center"/>
    </xf>
    <xf numFmtId="0" fontId="11" fillId="0" borderId="0" xfId="0" applyFont="1"/>
    <xf numFmtId="0" fontId="7" fillId="6" borderId="3" xfId="0" applyFont="1" applyFill="1" applyBorder="1" applyAlignment="1">
      <alignment horizontal="center" vertical="center" wrapText="1"/>
    </xf>
    <xf numFmtId="0" fontId="7" fillId="6" borderId="3" xfId="0" applyFont="1" applyFill="1" applyBorder="1"/>
    <xf numFmtId="2" fontId="7" fillId="6" borderId="3" xfId="0" applyNumberFormat="1" applyFont="1" applyFill="1" applyBorder="1"/>
    <xf numFmtId="3" fontId="7" fillId="6" borderId="3" xfId="0" applyNumberFormat="1" applyFont="1" applyFill="1" applyBorder="1"/>
    <xf numFmtId="169" fontId="7" fillId="6" borderId="3" xfId="0" applyNumberFormat="1" applyFont="1" applyFill="1" applyBorder="1"/>
    <xf numFmtId="170" fontId="7" fillId="6" borderId="3" xfId="0" applyNumberFormat="1" applyFont="1" applyFill="1" applyBorder="1"/>
    <xf numFmtId="171" fontId="7" fillId="6" borderId="3" xfId="0" applyNumberFormat="1" applyFont="1" applyFill="1" applyBorder="1"/>
    <xf numFmtId="0" fontId="5" fillId="0" borderId="1" xfId="0" applyFont="1" applyBorder="1" applyAlignment="1">
      <alignment horizontal="left" vertical="center" wrapText="1"/>
    </xf>
    <xf numFmtId="165" fontId="5" fillId="0" borderId="1" xfId="0" applyNumberFormat="1" applyFont="1" applyBorder="1" applyAlignment="1">
      <alignment horizontal="right" vertical="center"/>
    </xf>
    <xf numFmtId="0" fontId="6" fillId="0" borderId="1" xfId="0" applyFont="1" applyBorder="1" applyAlignment="1">
      <alignment horizontal="left" vertical="center" wrapText="1"/>
    </xf>
    <xf numFmtId="2" fontId="5" fillId="0" borderId="1" xfId="0" applyNumberFormat="1" applyFont="1" applyBorder="1" applyAlignment="1">
      <alignment horizontal="right" vertical="center"/>
    </xf>
    <xf numFmtId="0" fontId="12" fillId="10" borderId="1" xfId="0" applyFont="1" applyFill="1" applyBorder="1" applyAlignment="1">
      <alignment horizontal="center" vertical="center" wrapText="1"/>
    </xf>
    <xf numFmtId="0" fontId="12" fillId="10" borderId="1" xfId="0" applyFont="1" applyFill="1" applyBorder="1" applyAlignment="1">
      <alignment horizontal="left" vertical="center" wrapText="1"/>
    </xf>
    <xf numFmtId="169" fontId="12" fillId="10" borderId="1" xfId="0" applyNumberFormat="1" applyFont="1" applyFill="1" applyBorder="1" applyAlignment="1">
      <alignment horizontal="right" vertical="center"/>
    </xf>
    <xf numFmtId="165" fontId="12" fillId="10" borderId="1" xfId="0" applyNumberFormat="1" applyFont="1" applyFill="1" applyBorder="1" applyAlignment="1">
      <alignment horizontal="right" vertical="center"/>
    </xf>
    <xf numFmtId="0" fontId="6" fillId="10" borderId="1" xfId="0" applyFont="1" applyFill="1" applyBorder="1" applyAlignment="1">
      <alignment horizontal="left" vertical="center" wrapText="1"/>
    </xf>
    <xf numFmtId="169" fontId="5" fillId="0" borderId="1" xfId="0" applyNumberFormat="1" applyFont="1" applyBorder="1" applyAlignment="1">
      <alignment horizontal="right" vertical="center"/>
    </xf>
    <xf numFmtId="170" fontId="5" fillId="0" borderId="1" xfId="0" applyNumberFormat="1" applyFont="1" applyBorder="1" applyAlignment="1">
      <alignment horizontal="right" vertical="center"/>
    </xf>
    <xf numFmtId="171" fontId="5" fillId="0" borderId="1" xfId="0" applyNumberFormat="1" applyFont="1" applyBorder="1" applyAlignment="1">
      <alignment horizontal="right" vertical="center"/>
    </xf>
    <xf numFmtId="0" fontId="8" fillId="8" borderId="4" xfId="0" applyFont="1" applyFill="1" applyBorder="1" applyAlignment="1">
      <alignment horizontal="left" vertical="center" wrapText="1"/>
    </xf>
    <xf numFmtId="165" fontId="7" fillId="6" borderId="3" xfId="0" applyNumberFormat="1" applyFont="1" applyFill="1" applyBorder="1" applyAlignment="1">
      <alignment horizontal="right" vertical="center"/>
    </xf>
    <xf numFmtId="0" fontId="7" fillId="6" borderId="3" xfId="0" applyFont="1" applyFill="1" applyBorder="1" applyAlignment="1">
      <alignment horizontal="left" vertical="center" wrapText="1"/>
    </xf>
    <xf numFmtId="173" fontId="0" fillId="0" borderId="1" xfId="0" applyNumberFormat="1" applyBorder="1" applyAlignment="1">
      <alignment horizontal="right" vertical="center"/>
    </xf>
    <xf numFmtId="174" fontId="0" fillId="0" borderId="1" xfId="0" applyNumberFormat="1" applyBorder="1" applyAlignment="1">
      <alignment horizontal="right" vertical="center"/>
    </xf>
    <xf numFmtId="0" fontId="5" fillId="1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9" fillId="0" borderId="0" xfId="0" applyFont="1"/>
    <xf numFmtId="164" fontId="5" fillId="4" borderId="2" xfId="0" applyNumberFormat="1" applyFont="1" applyFill="1" applyBorder="1" applyAlignment="1">
      <alignment horizontal="right" vertical="center"/>
    </xf>
    <xf numFmtId="165" fontId="5" fillId="4" borderId="2" xfId="0" applyNumberFormat="1" applyFont="1" applyFill="1" applyBorder="1" applyAlignment="1">
      <alignment horizontal="right" vertical="center"/>
    </xf>
    <xf numFmtId="3" fontId="5" fillId="4" borderId="2" xfId="0" applyNumberFormat="1" applyFont="1" applyFill="1" applyBorder="1" applyAlignment="1">
      <alignment horizontal="right" vertical="center"/>
    </xf>
    <xf numFmtId="2" fontId="5" fillId="5" borderId="1" xfId="0" applyNumberFormat="1" applyFont="1" applyFill="1" applyBorder="1" applyAlignment="1">
      <alignment horizontal="right" vertical="center"/>
    </xf>
    <xf numFmtId="166" fontId="7" fillId="6" borderId="3" xfId="0" applyNumberFormat="1" applyFont="1" applyFill="1" applyBorder="1" applyAlignment="1">
      <alignment horizontal="right" vertical="center"/>
    </xf>
    <xf numFmtId="167" fontId="5" fillId="4" borderId="2" xfId="0" applyNumberFormat="1" applyFont="1" applyFill="1" applyBorder="1" applyAlignment="1">
      <alignment horizontal="right" vertical="center"/>
    </xf>
    <xf numFmtId="0" fontId="8" fillId="7"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8" fillId="8" borderId="4" xfId="0" applyFont="1" applyFill="1" applyBorder="1" applyAlignment="1">
      <alignment horizontal="right" vertical="center"/>
    </xf>
    <xf numFmtId="0" fontId="0" fillId="8" borderId="4" xfId="0" applyFill="1" applyBorder="1"/>
    <xf numFmtId="0" fontId="6" fillId="0" borderId="0" xfId="0" applyFont="1" applyAlignment="1">
      <alignment horizontal="left" vertical="center" wrapText="1"/>
    </xf>
    <xf numFmtId="0" fontId="10" fillId="9" borderId="5" xfId="0" applyFont="1" applyFill="1" applyBorder="1" applyAlignment="1">
      <alignment horizontal="center" vertical="center" wrapText="1"/>
    </xf>
    <xf numFmtId="0" fontId="0" fillId="0" borderId="5" xfId="0" applyBorder="1"/>
    <xf numFmtId="0" fontId="4" fillId="11" borderId="0" xfId="0" applyFont="1" applyFill="1" applyAlignment="1">
      <alignment horizontal="left" vertical="center" wrapText="1"/>
    </xf>
    <xf numFmtId="0" fontId="4" fillId="3" borderId="0" xfId="0" applyFont="1" applyFill="1" applyAlignment="1">
      <alignment horizontal="center" vertical="center" wrapText="1"/>
    </xf>
    <xf numFmtId="0" fontId="7" fillId="6" borderId="3" xfId="0" applyFont="1" applyFill="1" applyBorder="1" applyAlignment="1">
      <alignment horizontal="right" vertical="center"/>
    </xf>
    <xf numFmtId="0" fontId="0" fillId="6" borderId="3" xfId="0" applyFill="1" applyBorder="1"/>
    <xf numFmtId="0" fontId="2" fillId="0" borderId="0" xfId="0" applyFont="1"/>
    <xf numFmtId="0" fontId="8" fillId="8" borderId="4"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workbookViewId="0">
      <selection sqref="A1:G1"/>
    </sheetView>
  </sheetViews>
  <sheetFormatPr defaultRowHeight="14.5" x14ac:dyDescent="0.35"/>
  <cols>
    <col min="1" max="1" width="7" customWidth="1"/>
    <col min="2" max="2" width="58" customWidth="1"/>
    <col min="3" max="3" width="14" customWidth="1"/>
    <col min="4" max="4" width="10" customWidth="1"/>
    <col min="5" max="6" width="18" customWidth="1"/>
    <col min="7" max="7" width="20" customWidth="1"/>
  </cols>
  <sheetData>
    <row r="1" spans="1:7" ht="28" customHeight="1" x14ac:dyDescent="0.35">
      <c r="A1" s="64" t="s">
        <v>0</v>
      </c>
      <c r="B1" s="65"/>
      <c r="C1" s="65"/>
      <c r="D1" s="65"/>
      <c r="E1" s="65"/>
      <c r="F1" s="65"/>
      <c r="G1" s="65"/>
    </row>
    <row r="2" spans="1:7" x14ac:dyDescent="0.35">
      <c r="A2" s="1" t="s">
        <v>1</v>
      </c>
    </row>
    <row r="4" spans="1:7" ht="24" customHeight="1" x14ac:dyDescent="0.35">
      <c r="A4" s="69" t="s">
        <v>2</v>
      </c>
      <c r="B4" s="70"/>
      <c r="C4" s="70"/>
      <c r="D4" s="70"/>
      <c r="E4" s="70"/>
      <c r="F4" s="70"/>
      <c r="G4" s="70"/>
    </row>
    <row r="5" spans="1:7" ht="24" customHeight="1" x14ac:dyDescent="0.35">
      <c r="A5" s="70"/>
      <c r="B5" s="70"/>
      <c r="C5" s="70"/>
      <c r="D5" s="70"/>
      <c r="E5" s="70"/>
      <c r="F5" s="70"/>
      <c r="G5" s="70"/>
    </row>
    <row r="7" spans="1:7" ht="30" customHeight="1" x14ac:dyDescent="0.35">
      <c r="A7" s="2" t="s">
        <v>3</v>
      </c>
      <c r="B7" s="2" t="s">
        <v>4</v>
      </c>
      <c r="C7" s="2" t="s">
        <v>5</v>
      </c>
      <c r="D7" s="2" t="s">
        <v>6</v>
      </c>
      <c r="E7" s="2" t="s">
        <v>7</v>
      </c>
      <c r="F7" s="2" t="s">
        <v>8</v>
      </c>
      <c r="G7" s="2" t="s">
        <v>9</v>
      </c>
    </row>
    <row r="8" spans="1:7" ht="30" customHeight="1" x14ac:dyDescent="0.35">
      <c r="A8" s="3" t="s">
        <v>10</v>
      </c>
      <c r="B8" s="4" t="s">
        <v>11</v>
      </c>
      <c r="C8" s="5">
        <f>'Τεχνικοί Υπολογισμοί'!$D$14</f>
        <v>35</v>
      </c>
      <c r="D8" s="3" t="s">
        <v>12</v>
      </c>
      <c r="E8" s="6">
        <f>'Τεχνικοί Υπολογισμοί'!$D$15</f>
        <v>34.971428571428568</v>
      </c>
      <c r="F8" s="7">
        <f>$C$8*$E$8</f>
        <v>1223.9999999999998</v>
      </c>
      <c r="G8" s="7">
        <f>$F$8/'Τεχνικοί Υπολογισμοί'!$D$14</f>
        <v>34.971428571428568</v>
      </c>
    </row>
    <row r="9" spans="1:7" ht="30" customHeight="1" x14ac:dyDescent="0.35">
      <c r="A9" s="3" t="s">
        <v>13</v>
      </c>
      <c r="B9" s="4" t="s">
        <v>14</v>
      </c>
      <c r="C9" s="8">
        <f>'Τεχνικοί Υπολογισμοί'!$D$45</f>
        <v>150</v>
      </c>
      <c r="D9" s="3" t="s">
        <v>15</v>
      </c>
      <c r="E9" s="6">
        <f>'Τιμές &amp; Έλεγχος'!$D$9</f>
        <v>115</v>
      </c>
      <c r="F9" s="7">
        <f>$C$9*$E$9</f>
        <v>17250</v>
      </c>
      <c r="G9" s="7">
        <f>$F$9/'Τεχνικοί Υπολογισμοί'!$D$14</f>
        <v>492.85714285714283</v>
      </c>
    </row>
    <row r="10" spans="1:7" ht="30" customHeight="1" x14ac:dyDescent="0.35">
      <c r="A10" s="3" t="s">
        <v>16</v>
      </c>
      <c r="B10" s="4" t="s">
        <v>17</v>
      </c>
      <c r="C10" s="8">
        <f>'Τεχνικοί Υπολογισμοί'!$D$46</f>
        <v>100</v>
      </c>
      <c r="D10" s="3" t="s">
        <v>15</v>
      </c>
      <c r="E10" s="6">
        <f>'Τιμές &amp; Έλεγχος'!$D$10</f>
        <v>90</v>
      </c>
      <c r="F10" s="7">
        <f>$C$10*$E$10</f>
        <v>9000</v>
      </c>
      <c r="G10" s="7">
        <f>$F$10/'Τεχνικοί Υπολογισμοί'!$D$14</f>
        <v>257.14285714285717</v>
      </c>
    </row>
    <row r="11" spans="1:7" ht="30" customHeight="1" x14ac:dyDescent="0.35">
      <c r="A11" s="3" t="s">
        <v>18</v>
      </c>
      <c r="B11" s="4" t="str">
        <f>"Σκυροδέτηση πασσάλων "&amp;'Τεχνικοί Υπολογισμοί'!$D$18&amp;" (με απώλεια +"&amp;ROUND('Τεχνικοί Υπολογισμοί'!$D$101*100,0)&amp;"%)"</f>
        <v>Σκυροδέτηση πασσάλων C25/30 (με απώλεια +10%)</v>
      </c>
      <c r="C11" s="8">
        <f>'Τεχνικοί Υπολογισμοί'!$D$47</f>
        <v>114.03981332530951</v>
      </c>
      <c r="D11" s="3" t="s">
        <v>19</v>
      </c>
      <c r="E11" s="9">
        <f>'Τιμές &amp; Έλεγχος'!$D$22</f>
        <v>120</v>
      </c>
      <c r="F11" s="7">
        <f>$C$11*$E$11</f>
        <v>13684.777599037141</v>
      </c>
      <c r="G11" s="7">
        <f>$F$11/'Τεχνικοί Υπολογισμοί'!$D$14</f>
        <v>390.99364568677544</v>
      </c>
    </row>
    <row r="12" spans="1:7" ht="30" customHeight="1" x14ac:dyDescent="0.35">
      <c r="A12" s="3" t="s">
        <v>20</v>
      </c>
      <c r="B12" s="4" t="str">
        <f>"Χάλυβας οπλισμού B500C (κάθετα σίδερα "&amp;'Τεχνικοί Υπολογισμοί'!$D$28&amp;"Φ"&amp;'Τεχνικοί Υπολογισμοί'!$D$29&amp;", σούστα Φ"&amp;'Τεχνικοί Υπολογισμοί'!$D$34&amp;"/"&amp;ROUND('Τεχνικοί Υπολογισμοί'!$D$37/10,0)&amp;" &amp; στεφάνια αναμονής)"</f>
        <v>Χάλυβας οπλισμού B500C (κάθετα σίδερα 16Φ20, σούστα Φ10/15 &amp; στεφάνια αναμονής)</v>
      </c>
      <c r="C12" s="10">
        <f>'Τεχνικοί Υπολογισμοί'!$D$48</f>
        <v>11595.753641463441</v>
      </c>
      <c r="D12" s="3" t="s">
        <v>21</v>
      </c>
      <c r="E12" s="6">
        <f>'Τιμές &amp; Έλεγχος'!$D$11</f>
        <v>1.1000000000000001</v>
      </c>
      <c r="F12" s="7">
        <f>$C$12*$E$12</f>
        <v>12755.329005609787</v>
      </c>
      <c r="G12" s="7">
        <f>$F$12/'Τεχνικοί Υπολογισμοί'!$D$14</f>
        <v>364.43797158885104</v>
      </c>
    </row>
    <row r="13" spans="1:7" ht="30" customHeight="1" x14ac:dyDescent="0.35">
      <c r="A13" s="3" t="s">
        <v>22</v>
      </c>
      <c r="B13" s="4" t="str">
        <f>"Sleeves προστασίας αναμονών starter (Sleeve Φ32 για κάθετα σίδερα Φ"&amp;'Τεχνικοί Υπολογισμοί'!$D$29&amp;")"</f>
        <v>Sleeves προστασίας αναμονών starter (Sleeve Φ32 για κάθετα σίδερα Φ20)</v>
      </c>
      <c r="C13" s="5">
        <f>'Τεχνικοί Υπολογισμοί'!$D$49</f>
        <v>0</v>
      </c>
      <c r="D13" s="3" t="s">
        <v>23</v>
      </c>
      <c r="E13" s="6">
        <f>'Τιμές &amp; Έλεγχος'!$D$27</f>
        <v>3</v>
      </c>
      <c r="F13" s="7">
        <f>$C$13*$E$13</f>
        <v>0</v>
      </c>
      <c r="G13" s="7">
        <f>$F$13/'Τεχνικοί Υπολογισμοί'!$D$14</f>
        <v>0</v>
      </c>
    </row>
    <row r="14" spans="1:7" ht="30" customHeight="1" x14ac:dyDescent="0.35">
      <c r="A14" s="3" t="str">
        <f>IF('Τιμές &amp; Έλεγχος'!$D$36="ΝΑΙ","6","")</f>
        <v>6</v>
      </c>
      <c r="B14" s="4" t="str">
        <f>IF('Τιμές &amp; Έλεγχος'!$D$36="ΝΑΙ","Κεφαλοκοπή πασσάλων / Pile Breaking","")</f>
        <v>Κεφαλοκοπή πασσάλων / Pile Breaking</v>
      </c>
      <c r="C14" s="11">
        <f>IF('Τιμές &amp; Έλεγχος'!$D$36="ΝΑΙ",'Τεχνικοί Υπολογισμοί'!$D$50,0)</f>
        <v>0</v>
      </c>
      <c r="D14" s="3" t="str">
        <f>IF('Τιμές &amp; Έλεγχος'!$D$36="ΝΑΙ","τεμ.","")</f>
        <v>τεμ.</v>
      </c>
      <c r="E14" s="12">
        <f>IF('Τιμές &amp; Έλεγχος'!$D$36="ΝΑΙ",'Τιμές &amp; Έλεγχος'!$D$12,0)</f>
        <v>150</v>
      </c>
      <c r="F14" s="13">
        <f>$C$14*$E$14</f>
        <v>0</v>
      </c>
      <c r="G14" s="13">
        <f>$F$14/'Τεχνικοί Υπολογισμοί'!$D$14</f>
        <v>0</v>
      </c>
    </row>
    <row r="15" spans="1:7" ht="30" customHeight="1" x14ac:dyDescent="0.35">
      <c r="A15" s="3" t="str">
        <f>IF('Τιμές &amp; Έλεγχος'!$D$37="ΝΑΙ",IF('Τιμές &amp; Έλεγχος'!$D$36="ΝΑΙ","7","6"),"")</f>
        <v>7</v>
      </c>
      <c r="B15" s="4" t="str">
        <f>IF('Τιμές &amp; Έλεγχος'!$D$37="ΝΑΙ","Απομάκρυνση εκσκαπτόμενου χώματος &amp; Λατομικά τέλη","")</f>
        <v>Απομάκρυνση εκσκαπτόμενου χώματος &amp; Λατομικά τέλη</v>
      </c>
      <c r="C15" s="14">
        <f>IF('Τιμές &amp; Έλεγχος'!$D$37="ΝΑΙ",'Τεχνικοί Υπολογισμοί'!$D$51,0)</f>
        <v>103.67255756846318</v>
      </c>
      <c r="D15" s="3" t="str">
        <f>IF('Τιμές &amp; Έλεγχος'!$D$37="ΝΑΙ","m³","")</f>
        <v>m³</v>
      </c>
      <c r="E15" s="12">
        <f>IF('Τιμές &amp; Έλεγχος'!$D$37="ΝΑΙ",'Τιμές &amp; Έλεγχος'!$D$38,0)</f>
        <v>15</v>
      </c>
      <c r="F15" s="13">
        <f>$C$15*$E$15</f>
        <v>1555.0883635269477</v>
      </c>
      <c r="G15" s="13">
        <f>$F$15/'Τεχνικοί Υπολογισμοί'!$D$14</f>
        <v>44.431096100769935</v>
      </c>
    </row>
    <row r="16" spans="1:7" ht="26" customHeight="1" x14ac:dyDescent="0.35">
      <c r="A16" s="66" t="s">
        <v>24</v>
      </c>
      <c r="B16" s="67"/>
      <c r="C16" s="67"/>
      <c r="D16" s="67"/>
      <c r="E16" s="67"/>
      <c r="F16" s="15">
        <f>$F$8+$F$9+$F$10+$F$11+$F$12+$F$13+$F$14+$F$15</f>
        <v>55469.194968173884</v>
      </c>
      <c r="G16" s="15">
        <f>$F$16/'Τεχνικοί Υπολογισμοί'!$D$14</f>
        <v>1584.8341419478252</v>
      </c>
    </row>
    <row r="18" spans="1:7" x14ac:dyDescent="0.35">
      <c r="A18" s="16" t="s">
        <v>25</v>
      </c>
    </row>
    <row r="19" spans="1:7" ht="24" customHeight="1" x14ac:dyDescent="0.35">
      <c r="A19" s="68" t="str">
        <f>"1. Στις τιμές ΔΕΝ περιλαμβάνεται ο Φ.Π.Α. — Γενικό Σύνολο Προσφοράς: "&amp;ROUND($F$16,2)&amp;" € (Μέσο κόστος ανά πάσσαλο: "&amp;ROUND($F$16/'Τεχνικοί Υπολογισμοί'!$D$14,2)&amp;" € για "&amp;'Τεχνικοί Υπολογισμοί'!$D$14&amp;" πασσάλους)."</f>
        <v>1. Στις τιμές ΔΕΝ περιλαμβάνεται ο Φ.Π.Α. — Γενικό Σύνολο Προσφοράς: 55469.19 € (Μέσο κόστος ανά πάσσαλο: 1584.83 € για 35 πασσάλους).</v>
      </c>
      <c r="B19" s="65"/>
      <c r="C19" s="65"/>
      <c r="D19" s="65"/>
      <c r="E19" s="65"/>
      <c r="F19" s="65"/>
      <c r="G19" s="65"/>
    </row>
    <row r="20" spans="1:7" ht="24" customHeight="1" x14ac:dyDescent="0.35">
      <c r="A20" s="68" t="str">
        <f>"2. Μετακινήσεις γεωτρύπανου: Βασική Λεμεσού ("&amp;ROUND('Τιμές &amp; Έλεγχος'!$D$7,2)&amp;" €) + Εκτός Λεμεσού ανά "&amp;ROUND('Τεχνικοί Υπολογισμοί'!$D$8,0)&amp;"km ("&amp;'Τεχνικοί Υπολογισμοί'!$D$9&amp;" × "&amp;ROUND('Τιμές &amp; Έλεγχος'!$D$8,2)&amp;" € = "&amp;ROUND('Τεχνικοί Υπολογισμοί'!$D$9*'Τιμές &amp; Έλεγχος'!$D$8,2)&amp;" €) + Συνοδεία Αστυνομίας από Σπύρου Κυπριανού 32, Αγ. Συλά ("&amp;ROUND('Τιμές &amp; Έλεγχος'!$D$30,1)&amp;" km × "&amp;ROUND('Τιμές &amp; Έλεγχος'!$D$31,2)&amp;" €/km = "&amp;ROUND('Τιμές &amp; Έλεγχος'!$D$32,2)&amp;" €) = "&amp;ROUND('Τεχνικοί Υπολογισμοί'!$D$13,2)&amp;" € ("&amp;ROUND($E$8,2)&amp;" €/πάσσαλο)."</f>
        <v>2. Μετακινήσεις γεωτρύπανου: Βασική Λεμεσού (1000 €) + Εκτός Λεμεσού ανά 10km (0 × 200 € = 0 €) + Συνοδεία Αστυνομίας από Σπύρου Κυπριανού 32, Αγ. Συλά (28 km × 8 €/km = 224 €) = 1224 € (34.97 €/πάσσαλο).</v>
      </c>
      <c r="B20" s="65"/>
      <c r="C20" s="65"/>
      <c r="D20" s="65"/>
      <c r="E20" s="65"/>
      <c r="F20" s="65"/>
      <c r="G20" s="65"/>
    </row>
    <row r="21" spans="1:7" ht="24" customHeight="1" x14ac:dyDescent="0.35">
      <c r="A21" s="68" t="str">
        <f>"3. Εκσκαφή / Διάτρηση (από στάθμη πλατφόρμας WPL "&amp;ROUND('Τεχνικοί Υπολογισμοί'!$D$17,2)&amp;"m): Ύψος σκυροδετημένου πασσάλου = "&amp;ROUND('Τεχνικοί Υπολογισμοί'!$D$25,3)&amp;"m, Συνολικά μέτρα διάτρησης = "&amp;ROUND('Τεχνικοί Υπολογισμοί'!$D$45,2)&amp;"m × Τιμή μέτρου ("&amp;ROUND($E$9,2)&amp;" €) = "&amp;ROUND($F$9,2)&amp;" €."</f>
        <v>3. Εκσκαφή / Διάτρηση (από στάθμη πλατφόρμας WPL 0m): Ύψος σκυροδετημένου πασσάλου = 10m, Συνολικά μέτρα διάτρησης = 150m × Τιμή μέτρου (115 €) = 17250 €.</v>
      </c>
      <c r="B21" s="65"/>
      <c r="C21" s="65"/>
      <c r="D21" s="65"/>
      <c r="E21" s="65"/>
      <c r="F21" s="65"/>
      <c r="G21" s="65"/>
    </row>
    <row r="22" spans="1:7" ht="24" customHeight="1" x14ac:dyDescent="0.35">
      <c r="A22" s="68" t="str">
        <f>"4. Σκυρόδεμα "&amp;'Τεχνικοί Υπολογισμοί'!$D$18&amp;": ROUND(Αγορά "&amp;ROUND('Τιμές &amp; Έλεγχος'!$D$16,2)&amp;" €/m³ + Τοποθέτηση "&amp;ROUND('Τιμές &amp; Έλεγχος'!$D$17,2)&amp;" €/m³ + Αντλία "&amp;ROUND('Τιμές &amp; Έλεγχος'!$D$21,2)&amp;" €/m³, 0) = "&amp;ROUND($E$11,0)&amp;" €/m³ × "&amp;ROUND('Τεχνικοί Υπολογισμοί'!$D$47,2)&amp;" m³ = "&amp;ROUND($F$11,2)&amp;" €."</f>
        <v>4. Σκυρόδεμα C25/30: ROUND(Αγορά 105 €/m³ + Τοποθέτηση 15 €/m³ + Αντλία 0 €/m³, 0) = 120 €/m³ × 114.04 m³ = 13684.78 €.</v>
      </c>
      <c r="B22" s="65"/>
      <c r="C22" s="65"/>
      <c r="D22" s="65"/>
      <c r="E22" s="65"/>
      <c r="F22" s="65"/>
      <c r="G22" s="65"/>
    </row>
    <row r="23" spans="1:7" ht="24" customHeight="1" x14ac:dyDescent="0.35">
      <c r="A23" s="68" t="str">
        <f>"5. Οπλισμός κλωβού ("&amp;'Τεχνικοί Υπολογισμοί'!$D$28&amp;"Φ"&amp;'Τεχνικοί Υπολογισμοί'!$D$29&amp;" + σούστα Φ"&amp;'Τεχνικοί Υπολογισμοί'!$D$34&amp;"/"&amp;ROUND('Τεχνικοί Υπολογισμοί'!$D$37/10,0)&amp;"): Αναμονή starter = "&amp;ROUND('Τεχνικοί Υπολογισμοί'!$D$30,2)&amp;"m, Γωνία πάνω = "&amp;ROUND('Τεχνικοί Υπολογισμοί'!$D$31,2)&amp;"m, Γωνία κάτω = "&amp;ROUND('Τεχνικοί Υπολογισμοί'!$D$32,2)&amp;"m, Ύψος μάτισης = "&amp;ROUND('Τεχνικοί Υπολογισμοί'!$D$33,2)&amp;"m ("&amp;'Τεχνικοί Υπολογισμοί'!$D$121&amp;" μάτιση), Σπείρες σούστας = "&amp;'Τεχνικοί Υπολογισμοί'!$D$125&amp;" (με +1) + "&amp;'Τεχνικοί Υπολογισμοί'!$D$128&amp;" στεφάνια αναμονής (χωρίς +1) → "&amp;ROUND('Τεχνικοί Υπολογισμοί'!$D$131,2)&amp;" kg/πασσ., Σύνολο = "&amp;ROUND('Τεχνικοί Υπολογισμοί'!$D$48,1)&amp;" kg × Τιμή κιλού ("&amp;ROUND($E$12,2)&amp;" €) = "&amp;ROUND($F$12,2)&amp;" €."</f>
        <v>5. Οπλισμός κλωβού (16Φ20 + σούστα Φ10/15): Αναμονή starter = 0.45m, Γωνία πάνω = 0.5m, Γωνία κάτω = 0m, Ύψος μάτισης = 1m (0 μάτιση), Σπείρες σούστας = 68 (με +1) + 3 στεφάνια αναμονής (χωρίς +1) → 528.33 kg/πασσ., Σύνολο = 11595.8 kg × Τιμή κιλού (1.1 €) = 12755.33 €.</v>
      </c>
      <c r="B23" s="65"/>
      <c r="C23" s="65"/>
      <c r="D23" s="65"/>
      <c r="E23" s="65"/>
      <c r="F23" s="65"/>
      <c r="G23" s="65"/>
    </row>
    <row r="24" spans="1:7" ht="24" customHeight="1" x14ac:dyDescent="0.35">
      <c r="A24" s="68" t="str">
        <f>"6. Sleeves αναμονών (Sleeve Φ32 για Φ"&amp;'Τεχνικοί Υπολογισμοί'!$D$29&amp;"): ((Κόστος αγοράς + Κόστος τοποθέτησης) × Profit, Waste, Overhead) = "&amp;ROUND('Τιμές &amp; Έλεγχος'!$D$26,2)&amp;" € → Στρογγυλεμένο τελικό αποτέλεσμα = "&amp;ROUND($E$13,2)&amp;" €/τεμ. × "&amp;'Τεχνικοί Υπολογισμοί'!$D$49&amp;" τεμ. = "&amp;ROUND($F$13,2)&amp;" €."</f>
        <v>6. Sleeves αναμονών (Sleeve Φ32 για Φ20): ((Κόστος αγοράς + Κόστος τοποθέτησης) × Profit, Waste, Overhead) = 2.87 € → Στρογγυλεμένο τελικό αποτέλεσμα = 3 €/τεμ. × 0 τεμ. = 0 €.</v>
      </c>
      <c r="B24" s="65"/>
      <c r="C24" s="65"/>
      <c r="D24" s="65"/>
      <c r="E24" s="65"/>
      <c r="F24" s="65"/>
      <c r="G24" s="65"/>
    </row>
    <row r="25" spans="1:7" ht="24" customHeight="1" x14ac:dyDescent="0.35">
      <c r="A25" s="68" t="str">
        <f>"7. Κεφαλοκοπή πασσάλων (Κουμπί Τ.Ε.1 = "&amp;'Τιμές &amp; Έλεγχος'!$D$36&amp;"): "&amp;IF('Τιμές &amp; Έλεγχος'!$D$36="ΝΑΙ","ΠΕΡΙΛΑΜΒΑΝΕΤΑΙ στην προσφορά ("&amp;$C$14&amp;" τεμ. × "&amp;ROUND($E$14,2)&amp;" € = "&amp;ROUND($F$14,2)&amp;" €).","ΔΕΝ ΠΕΡΙΛΑΜΒΑΝΕΤΑΙ στην προσφορά (Ευθύνη Πελάτη / Εργολάβου — 0,00 €).")&amp;" | Απομάκρυνση εκσκαπτόμενου χώματος &amp; Λατομικά τέλη (Κουμπί Τ.Ε.2 = "&amp;'Τιμές &amp; Έλεγχος'!$D$37&amp;"): "&amp;IF('Τιμές &amp; Έλεγχος'!$D$37="ΝΑΙ","ΠΕΡΙΛΑΜΒΑΝΕΤΑΙ στην προσφορά ("&amp;ROUND($C$15,2)&amp;" m³ × "&amp;ROUND($E$15,2)&amp;" €/m³ = "&amp;ROUND($F$15,2)&amp;" €).","ΔΕΝ ΠΕΡΙΛΑΜΒΑΝΕΤΑΙ στην προσφορά (Ευθύνη Πελάτη / Εργολάβου — 0,00 €).")</f>
        <v>7. Κεφαλοκοπή πασσάλων (Κουμπί Τ.Ε.1 = ΝΑΙ): ΠΕΡΙΛΑΜΒΑΝΕΤΑΙ στην προσφορά (0 τεμ. × 150 € = 0 €). | Απομάκρυνση εκσκαπτόμενου χώματος &amp; Λατομικά τέλη (Κουμπί Τ.Ε.2 = ΝΑΙ): ΠΕΡΙΛΑΜΒΑΝΕΤΑΙ στην προσφορά (103.67 m³ × 15 €/m³ = 1555.09 €).</v>
      </c>
      <c r="B25" s="65"/>
      <c r="C25" s="65"/>
      <c r="D25" s="65"/>
      <c r="E25" s="65"/>
      <c r="F25" s="65"/>
      <c r="G25" s="65"/>
    </row>
    <row r="26" spans="1:7" ht="24" customHeight="1" x14ac:dyDescent="0.35">
      <c r="A26" s="68" t="s">
        <v>26</v>
      </c>
      <c r="B26" s="65"/>
      <c r="C26" s="65"/>
      <c r="D26" s="65"/>
      <c r="E26" s="65"/>
      <c r="F26" s="65"/>
      <c r="G26" s="65"/>
    </row>
  </sheetData>
  <mergeCells count="11">
    <mergeCell ref="A24:G24"/>
    <mergeCell ref="A26:G26"/>
    <mergeCell ref="A25:G25"/>
    <mergeCell ref="A19:G19"/>
    <mergeCell ref="A23:G23"/>
    <mergeCell ref="A1:G1"/>
    <mergeCell ref="A16:E16"/>
    <mergeCell ref="A21:G21"/>
    <mergeCell ref="A22:G22"/>
    <mergeCell ref="A20:G20"/>
    <mergeCell ref="A4:G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8"/>
  <sheetViews>
    <sheetView workbookViewId="0">
      <pane xSplit="3" ySplit="3" topLeftCell="D4" activePane="bottomRight" state="frozen"/>
      <selection pane="topRight"/>
      <selection pane="bottomLeft"/>
      <selection pane="bottomRight"/>
    </sheetView>
  </sheetViews>
  <sheetFormatPr defaultRowHeight="14.5" x14ac:dyDescent="0.35"/>
  <cols>
    <col min="1" max="1" width="10" customWidth="1"/>
    <col min="2" max="2" width="56" customWidth="1"/>
    <col min="3" max="3" width="11" customWidth="1"/>
    <col min="4" max="5" width="16" customWidth="1"/>
    <col min="6" max="6" width="18" customWidth="1"/>
    <col min="7" max="7" width="76" customWidth="1"/>
  </cols>
  <sheetData>
    <row r="1" spans="1:7" ht="28" customHeight="1" x14ac:dyDescent="0.35">
      <c r="A1" s="64" t="s">
        <v>27</v>
      </c>
      <c r="B1" s="65"/>
      <c r="C1" s="65"/>
      <c r="D1" s="65"/>
      <c r="E1" s="65"/>
      <c r="F1" s="65"/>
      <c r="G1" s="65"/>
    </row>
    <row r="2" spans="1:7" x14ac:dyDescent="0.35">
      <c r="A2" s="1" t="s">
        <v>28</v>
      </c>
    </row>
    <row r="4" spans="1:7" x14ac:dyDescent="0.35">
      <c r="A4" s="18" t="s">
        <v>29</v>
      </c>
    </row>
    <row r="5" spans="1:7" ht="30" customHeight="1" x14ac:dyDescent="0.35">
      <c r="A5" s="2" t="s">
        <v>30</v>
      </c>
      <c r="B5" s="2" t="s">
        <v>31</v>
      </c>
      <c r="C5" s="2" t="s">
        <v>6</v>
      </c>
      <c r="D5" s="2" t="s">
        <v>32</v>
      </c>
      <c r="E5" s="2"/>
      <c r="F5" s="2"/>
      <c r="G5" s="2" t="s">
        <v>33</v>
      </c>
    </row>
    <row r="6" spans="1:7" x14ac:dyDescent="0.35">
      <c r="A6" s="18" t="s">
        <v>34</v>
      </c>
    </row>
    <row r="7" spans="1:7" x14ac:dyDescent="0.35">
      <c r="A7" s="3" t="s">
        <v>35</v>
      </c>
      <c r="B7" s="19" t="s">
        <v>36</v>
      </c>
      <c r="C7" s="3" t="s">
        <v>37</v>
      </c>
      <c r="D7" s="20">
        <f>'Τιμές &amp; Έλεγχος'!$D$6</f>
        <v>0</v>
      </c>
      <c r="G7" s="17" t="s">
        <v>38</v>
      </c>
    </row>
    <row r="8" spans="1:7" x14ac:dyDescent="0.35">
      <c r="A8" s="3" t="s">
        <v>39</v>
      </c>
      <c r="B8" s="19" t="s">
        <v>40</v>
      </c>
      <c r="C8" s="3" t="s">
        <v>37</v>
      </c>
      <c r="D8" s="21">
        <v>10</v>
      </c>
      <c r="G8" s="17" t="s">
        <v>41</v>
      </c>
    </row>
    <row r="9" spans="1:7" x14ac:dyDescent="0.35">
      <c r="A9" s="3" t="s">
        <v>42</v>
      </c>
      <c r="B9" s="19" t="s">
        <v>43</v>
      </c>
      <c r="C9" s="3" t="s">
        <v>44</v>
      </c>
      <c r="D9" s="22">
        <f>IF('Τιμές &amp; Έλεγχος'!$D$6&gt;0,ROUNDUP(ROUND('Τιμές &amp; Έλεγχος'!$D$6/$D$8,9),0),0)</f>
        <v>0</v>
      </c>
      <c r="G9" s="17" t="s">
        <v>45</v>
      </c>
    </row>
    <row r="10" spans="1:7" x14ac:dyDescent="0.35">
      <c r="A10" s="3" t="s">
        <v>46</v>
      </c>
      <c r="B10" s="19" t="s">
        <v>47</v>
      </c>
      <c r="C10" s="3" t="s">
        <v>48</v>
      </c>
      <c r="D10" s="6">
        <f>'Τιμές &amp; Έλεγχος'!$D$7</f>
        <v>1000</v>
      </c>
      <c r="G10" s="17" t="s">
        <v>49</v>
      </c>
    </row>
    <row r="11" spans="1:7" x14ac:dyDescent="0.35">
      <c r="A11" s="3" t="s">
        <v>50</v>
      </c>
      <c r="B11" s="19" t="s">
        <v>51</v>
      </c>
      <c r="C11" s="3" t="s">
        <v>48</v>
      </c>
      <c r="D11" s="6">
        <f>'Τιμές &amp; Έλεγχος'!$D$8</f>
        <v>200</v>
      </c>
      <c r="G11" s="17" t="s">
        <v>52</v>
      </c>
    </row>
    <row r="12" spans="1:7" x14ac:dyDescent="0.35">
      <c r="A12" s="3" t="s">
        <v>53</v>
      </c>
      <c r="B12" s="19" t="s">
        <v>54</v>
      </c>
      <c r="C12" s="3" t="s">
        <v>48</v>
      </c>
      <c r="D12" s="6">
        <f>'Τιμές &amp; Έλεγχος'!$D$32</f>
        <v>224</v>
      </c>
      <c r="G12" s="17" t="s">
        <v>55</v>
      </c>
    </row>
    <row r="13" spans="1:7" x14ac:dyDescent="0.35">
      <c r="A13" s="3" t="s">
        <v>56</v>
      </c>
      <c r="B13" s="19" t="s">
        <v>57</v>
      </c>
      <c r="C13" s="3" t="s">
        <v>48</v>
      </c>
      <c r="D13" s="7">
        <f>'Τιμές &amp; Έλεγχος'!$D$7+$D$9*'Τιμές &amp; Έλεγχος'!$D$8+'Τιμές &amp; Έλεγχος'!$D$32</f>
        <v>1224</v>
      </c>
      <c r="G13" s="17" t="s">
        <v>58</v>
      </c>
    </row>
    <row r="14" spans="1:7" x14ac:dyDescent="0.35">
      <c r="A14" s="3" t="s">
        <v>59</v>
      </c>
      <c r="B14" s="19" t="s">
        <v>60</v>
      </c>
      <c r="C14" s="3" t="s">
        <v>23</v>
      </c>
      <c r="D14" s="5">
        <f>$D$23+$E$23</f>
        <v>35</v>
      </c>
      <c r="G14" s="17" t="s">
        <v>61</v>
      </c>
    </row>
    <row r="15" spans="1:7" x14ac:dyDescent="0.35">
      <c r="A15" s="3" t="s">
        <v>62</v>
      </c>
      <c r="B15" s="19" t="s">
        <v>63</v>
      </c>
      <c r="C15" s="3" t="s">
        <v>48</v>
      </c>
      <c r="D15" s="7">
        <f>$D$13/$D$14</f>
        <v>34.971428571428568</v>
      </c>
      <c r="G15" s="17" t="s">
        <v>64</v>
      </c>
    </row>
    <row r="16" spans="1:7" x14ac:dyDescent="0.35">
      <c r="A16" s="18" t="s">
        <v>65</v>
      </c>
    </row>
    <row r="17" spans="1:7" x14ac:dyDescent="0.35">
      <c r="A17" s="3" t="s">
        <v>66</v>
      </c>
      <c r="B17" s="19" t="s">
        <v>67</v>
      </c>
      <c r="C17" s="3" t="s">
        <v>15</v>
      </c>
      <c r="D17" s="23">
        <v>0</v>
      </c>
      <c r="G17" s="17" t="s">
        <v>68</v>
      </c>
    </row>
    <row r="18" spans="1:7" x14ac:dyDescent="0.35">
      <c r="A18" s="3" t="s">
        <v>69</v>
      </c>
      <c r="B18" s="19" t="s">
        <v>70</v>
      </c>
      <c r="C18" s="3" t="s">
        <v>71</v>
      </c>
      <c r="D18" s="24" t="s">
        <v>72</v>
      </c>
      <c r="G18" s="17" t="s">
        <v>73</v>
      </c>
    </row>
    <row r="19" spans="1:7" ht="24" x14ac:dyDescent="0.35">
      <c r="A19" s="3" t="s">
        <v>74</v>
      </c>
      <c r="B19" s="19" t="s">
        <v>75</v>
      </c>
      <c r="C19" s="3" t="s">
        <v>76</v>
      </c>
      <c r="D19" s="22">
        <v>50</v>
      </c>
      <c r="G19" s="17" t="s">
        <v>77</v>
      </c>
    </row>
    <row r="20" spans="1:7" x14ac:dyDescent="0.35">
      <c r="A20" s="18" t="s">
        <v>78</v>
      </c>
    </row>
    <row r="21" spans="1:7" ht="30" customHeight="1" x14ac:dyDescent="0.35">
      <c r="A21" s="2" t="s">
        <v>30</v>
      </c>
      <c r="B21" s="2" t="s">
        <v>31</v>
      </c>
      <c r="C21" s="2" t="s">
        <v>6</v>
      </c>
      <c r="D21" s="2" t="s">
        <v>79</v>
      </c>
      <c r="E21" s="2" t="s">
        <v>80</v>
      </c>
      <c r="F21" s="2"/>
      <c r="G21" s="2" t="s">
        <v>81</v>
      </c>
    </row>
    <row r="22" spans="1:7" ht="30" customHeight="1" x14ac:dyDescent="0.35">
      <c r="A22" s="3" t="s">
        <v>82</v>
      </c>
      <c r="B22" s="19" t="s">
        <v>83</v>
      </c>
      <c r="D22" s="25" t="s">
        <v>84</v>
      </c>
      <c r="E22" s="25" t="s">
        <v>85</v>
      </c>
    </row>
    <row r="23" spans="1:7" x14ac:dyDescent="0.35">
      <c r="A23" s="3" t="s">
        <v>86</v>
      </c>
      <c r="B23" s="19" t="s">
        <v>87</v>
      </c>
      <c r="C23" s="3" t="s">
        <v>23</v>
      </c>
      <c r="D23" s="5">
        <v>15</v>
      </c>
      <c r="E23" s="5">
        <v>20</v>
      </c>
      <c r="F23" s="26">
        <f>$D$23+$E$23</f>
        <v>35</v>
      </c>
      <c r="G23" s="17" t="s">
        <v>88</v>
      </c>
    </row>
    <row r="24" spans="1:7" x14ac:dyDescent="0.35">
      <c r="A24" s="3" t="s">
        <v>89</v>
      </c>
      <c r="B24" s="19" t="s">
        <v>90</v>
      </c>
      <c r="C24" s="3" t="s">
        <v>76</v>
      </c>
      <c r="D24" s="22">
        <v>800</v>
      </c>
      <c r="E24" s="22">
        <v>600</v>
      </c>
      <c r="G24" s="17" t="s">
        <v>91</v>
      </c>
    </row>
    <row r="25" spans="1:7" x14ac:dyDescent="0.35">
      <c r="A25" s="3" t="s">
        <v>92</v>
      </c>
      <c r="B25" s="19" t="s">
        <v>93</v>
      </c>
      <c r="C25" s="3" t="s">
        <v>15</v>
      </c>
      <c r="D25" s="8">
        <v>10</v>
      </c>
      <c r="E25" s="8">
        <v>5</v>
      </c>
      <c r="G25" s="17" t="s">
        <v>94</v>
      </c>
    </row>
    <row r="26" spans="1:7" x14ac:dyDescent="0.35">
      <c r="A26" s="3" t="s">
        <v>95</v>
      </c>
      <c r="B26" s="19" t="s">
        <v>96</v>
      </c>
      <c r="C26" s="3" t="s">
        <v>15</v>
      </c>
      <c r="D26" s="23" t="s">
        <v>97</v>
      </c>
      <c r="E26" s="23" t="s">
        <v>97</v>
      </c>
      <c r="G26" s="17" t="s">
        <v>98</v>
      </c>
    </row>
    <row r="27" spans="1:7" ht="24" x14ac:dyDescent="0.35">
      <c r="A27" s="3" t="s">
        <v>99</v>
      </c>
      <c r="B27" s="19" t="s">
        <v>100</v>
      </c>
      <c r="C27" s="3" t="s">
        <v>15</v>
      </c>
      <c r="D27" s="8">
        <v>0.55000000000000004</v>
      </c>
      <c r="E27" s="8">
        <v>0.55000000000000004</v>
      </c>
      <c r="G27" s="17" t="s">
        <v>101</v>
      </c>
    </row>
    <row r="28" spans="1:7" x14ac:dyDescent="0.35">
      <c r="A28" s="3" t="s">
        <v>102</v>
      </c>
      <c r="B28" s="19" t="s">
        <v>103</v>
      </c>
      <c r="C28" s="3" t="s">
        <v>23</v>
      </c>
      <c r="D28" s="5">
        <v>16</v>
      </c>
      <c r="E28" s="5">
        <v>10</v>
      </c>
      <c r="G28" s="17" t="s">
        <v>104</v>
      </c>
    </row>
    <row r="29" spans="1:7" x14ac:dyDescent="0.35">
      <c r="A29" s="3" t="s">
        <v>105</v>
      </c>
      <c r="B29" s="19" t="s">
        <v>106</v>
      </c>
      <c r="C29" s="3" t="s">
        <v>76</v>
      </c>
      <c r="D29" s="22">
        <v>20</v>
      </c>
      <c r="E29" s="22">
        <v>20</v>
      </c>
      <c r="G29" s="17" t="s">
        <v>107</v>
      </c>
    </row>
    <row r="30" spans="1:7" x14ac:dyDescent="0.35">
      <c r="A30" s="3" t="s">
        <v>108</v>
      </c>
      <c r="B30" s="19" t="s">
        <v>109</v>
      </c>
      <c r="C30" s="3" t="s">
        <v>15</v>
      </c>
      <c r="D30" s="8">
        <f>$D$27-$D$107</f>
        <v>0.45000000000000007</v>
      </c>
      <c r="E30" s="8">
        <f>$E$27-$D$107</f>
        <v>0.45000000000000007</v>
      </c>
      <c r="G30" s="17" t="s">
        <v>110</v>
      </c>
    </row>
    <row r="31" spans="1:7" x14ac:dyDescent="0.35">
      <c r="A31" s="3" t="s">
        <v>111</v>
      </c>
      <c r="B31" s="19" t="s">
        <v>112</v>
      </c>
      <c r="C31" s="3" t="s">
        <v>15</v>
      </c>
      <c r="D31" s="8">
        <f>$D$108</f>
        <v>0.5</v>
      </c>
      <c r="E31" s="8">
        <f>$D$108</f>
        <v>0.5</v>
      </c>
      <c r="G31" s="17" t="s">
        <v>113</v>
      </c>
    </row>
    <row r="32" spans="1:7" x14ac:dyDescent="0.35">
      <c r="A32" s="3" t="s">
        <v>114</v>
      </c>
      <c r="B32" s="19" t="s">
        <v>115</v>
      </c>
      <c r="C32" s="3" t="s">
        <v>15</v>
      </c>
      <c r="D32" s="8">
        <v>0</v>
      </c>
      <c r="E32" s="8">
        <v>0</v>
      </c>
      <c r="G32" s="17" t="s">
        <v>116</v>
      </c>
    </row>
    <row r="33" spans="1:7" x14ac:dyDescent="0.35">
      <c r="A33" s="3" t="s">
        <v>117</v>
      </c>
      <c r="B33" s="19" t="s">
        <v>118</v>
      </c>
      <c r="C33" s="3" t="s">
        <v>15</v>
      </c>
      <c r="D33" s="8">
        <f>$D$104*$D$29/1000</f>
        <v>1</v>
      </c>
      <c r="E33" s="8">
        <f>$D$104*$E$29/1000</f>
        <v>1</v>
      </c>
      <c r="G33" s="17" t="s">
        <v>119</v>
      </c>
    </row>
    <row r="34" spans="1:7" x14ac:dyDescent="0.35">
      <c r="A34" s="3" t="s">
        <v>120</v>
      </c>
      <c r="B34" s="19" t="s">
        <v>121</v>
      </c>
      <c r="C34" s="3" t="s">
        <v>76</v>
      </c>
      <c r="D34" s="22">
        <v>10</v>
      </c>
      <c r="E34" s="22">
        <v>10</v>
      </c>
      <c r="G34" s="17" t="s">
        <v>122</v>
      </c>
    </row>
    <row r="35" spans="1:7" x14ac:dyDescent="0.35">
      <c r="A35" s="3" t="s">
        <v>123</v>
      </c>
      <c r="B35" s="19" t="s">
        <v>124</v>
      </c>
      <c r="C35" s="3" t="s">
        <v>76</v>
      </c>
      <c r="D35" s="22">
        <v>150</v>
      </c>
      <c r="E35" s="22">
        <v>150</v>
      </c>
      <c r="G35" s="17" t="s">
        <v>125</v>
      </c>
    </row>
    <row r="36" spans="1:7" x14ac:dyDescent="0.35">
      <c r="A36" s="3" t="s">
        <v>126</v>
      </c>
      <c r="B36" s="19" t="s">
        <v>127</v>
      </c>
      <c r="C36" s="3" t="s">
        <v>15</v>
      </c>
      <c r="D36" s="8">
        <v>0</v>
      </c>
      <c r="E36" s="8">
        <v>0</v>
      </c>
      <c r="G36" s="17" t="s">
        <v>128</v>
      </c>
    </row>
    <row r="37" spans="1:7" x14ac:dyDescent="0.35">
      <c r="A37" s="3" t="s">
        <v>129</v>
      </c>
      <c r="B37" s="19" t="s">
        <v>130</v>
      </c>
      <c r="C37" s="3" t="s">
        <v>76</v>
      </c>
      <c r="D37" s="22">
        <v>150</v>
      </c>
      <c r="E37" s="22">
        <v>150</v>
      </c>
      <c r="G37" s="17" t="s">
        <v>131</v>
      </c>
    </row>
    <row r="38" spans="1:7" x14ac:dyDescent="0.35">
      <c r="A38" s="3" t="s">
        <v>132</v>
      </c>
      <c r="B38" s="19" t="s">
        <v>133</v>
      </c>
      <c r="C38" s="3" t="s">
        <v>23</v>
      </c>
      <c r="D38" s="5" t="s">
        <v>134</v>
      </c>
      <c r="E38" s="5" t="s">
        <v>134</v>
      </c>
      <c r="G38" s="17"/>
    </row>
    <row r="39" spans="1:7" x14ac:dyDescent="0.35">
      <c r="A39" s="3" t="s">
        <v>135</v>
      </c>
      <c r="B39" s="19" t="s">
        <v>136</v>
      </c>
      <c r="C39" s="3" t="s">
        <v>23</v>
      </c>
      <c r="D39" s="5">
        <v>0</v>
      </c>
      <c r="E39" s="5">
        <v>0</v>
      </c>
      <c r="G39" s="17"/>
    </row>
    <row r="40" spans="1:7" x14ac:dyDescent="0.35">
      <c r="A40" s="3" t="s">
        <v>137</v>
      </c>
      <c r="B40" s="19" t="s">
        <v>138</v>
      </c>
      <c r="C40" s="3" t="s">
        <v>76</v>
      </c>
      <c r="D40" s="22">
        <v>0</v>
      </c>
      <c r="E40" s="22">
        <v>0</v>
      </c>
      <c r="G40" s="17"/>
    </row>
    <row r="41" spans="1:7" x14ac:dyDescent="0.35">
      <c r="A41" s="3" t="s">
        <v>139</v>
      </c>
      <c r="B41" s="19" t="s">
        <v>140</v>
      </c>
      <c r="C41" s="3" t="s">
        <v>15</v>
      </c>
      <c r="D41" s="8">
        <v>0</v>
      </c>
      <c r="E41" s="8">
        <v>0</v>
      </c>
      <c r="G41" s="17"/>
    </row>
    <row r="43" spans="1:7" x14ac:dyDescent="0.35">
      <c r="A43" s="27" t="s">
        <v>141</v>
      </c>
    </row>
    <row r="44" spans="1:7" ht="30" customHeight="1" x14ac:dyDescent="0.35">
      <c r="A44" s="2" t="s">
        <v>30</v>
      </c>
      <c r="B44" s="2" t="s">
        <v>5</v>
      </c>
      <c r="C44" s="2" t="s">
        <v>6</v>
      </c>
      <c r="D44" s="2" t="s">
        <v>142</v>
      </c>
      <c r="E44" s="2" t="s">
        <v>143</v>
      </c>
      <c r="F44" s="2" t="s">
        <v>144</v>
      </c>
      <c r="G44" s="2" t="s">
        <v>145</v>
      </c>
    </row>
    <row r="45" spans="1:7" x14ac:dyDescent="0.35">
      <c r="A45" s="28" t="s">
        <v>146</v>
      </c>
      <c r="B45" s="29" t="s">
        <v>147</v>
      </c>
      <c r="C45" s="28" t="s">
        <v>15</v>
      </c>
      <c r="D45" s="30">
        <f>$D$23*$D$114</f>
        <v>150</v>
      </c>
      <c r="E45" s="31">
        <f>$D$23</f>
        <v>15</v>
      </c>
      <c r="F45" s="30">
        <f>$D$45/$E$45</f>
        <v>10</v>
      </c>
      <c r="G45" s="28" t="s">
        <v>148</v>
      </c>
    </row>
    <row r="46" spans="1:7" x14ac:dyDescent="0.35">
      <c r="A46" s="28" t="s">
        <v>149</v>
      </c>
      <c r="B46" s="29" t="s">
        <v>150</v>
      </c>
      <c r="C46" s="28" t="s">
        <v>15</v>
      </c>
      <c r="D46" s="30">
        <f>$E$23*$E$114</f>
        <v>100</v>
      </c>
      <c r="E46" s="31">
        <f>$E$23</f>
        <v>20</v>
      </c>
      <c r="F46" s="30">
        <f>$D$46/$E$46</f>
        <v>5</v>
      </c>
      <c r="G46" s="28" t="s">
        <v>148</v>
      </c>
    </row>
    <row r="47" spans="1:7" x14ac:dyDescent="0.35">
      <c r="A47" s="28" t="s">
        <v>151</v>
      </c>
      <c r="B47" s="29" t="str">
        <f>"Σκυρόδεμα "&amp;$D$18&amp;" με απώλεια"</f>
        <v>Σκυρόδεμα C25/30 με απώλεια</v>
      </c>
      <c r="C47" s="28" t="s">
        <v>19</v>
      </c>
      <c r="D47" s="30">
        <f>$F$117</f>
        <v>114.03981332530951</v>
      </c>
      <c r="E47" s="31">
        <f>$D$14</f>
        <v>35</v>
      </c>
      <c r="F47" s="30">
        <f>$D$47/$E$47</f>
        <v>3.2582803807231286</v>
      </c>
      <c r="G47" s="28" t="s">
        <v>148</v>
      </c>
    </row>
    <row r="48" spans="1:7" x14ac:dyDescent="0.35">
      <c r="A48" s="28" t="s">
        <v>152</v>
      </c>
      <c r="B48" s="29" t="s">
        <v>153</v>
      </c>
      <c r="C48" s="28" t="s">
        <v>21</v>
      </c>
      <c r="D48" s="32">
        <f>$F$131</f>
        <v>11595.753641463441</v>
      </c>
      <c r="E48" s="31">
        <f>$D$14</f>
        <v>35</v>
      </c>
      <c r="F48" s="32">
        <f>$D$48/$E$48</f>
        <v>331.3072468989555</v>
      </c>
      <c r="G48" s="28" t="s">
        <v>148</v>
      </c>
    </row>
    <row r="49" spans="1:7" x14ac:dyDescent="0.35">
      <c r="A49" s="28" t="s">
        <v>154</v>
      </c>
      <c r="B49" s="29" t="str">
        <f>"Sleeves προστασίας αναμονών starter (Sleeve Φ32 για Φ"&amp;$D$29&amp;")"</f>
        <v>Sleeves προστασίας αναμονών starter (Sleeve Φ32 για Φ20)</v>
      </c>
      <c r="C49" s="28" t="s">
        <v>23</v>
      </c>
      <c r="D49" s="31">
        <f>$F$132</f>
        <v>0</v>
      </c>
      <c r="E49" s="31">
        <f>$D$14</f>
        <v>35</v>
      </c>
      <c r="F49" s="31">
        <f>$D$49/$E$49</f>
        <v>0</v>
      </c>
      <c r="G49" s="28" t="s">
        <v>148</v>
      </c>
    </row>
    <row r="50" spans="1:7" x14ac:dyDescent="0.35">
      <c r="A50" s="28" t="str">
        <f>IF('Τιμές &amp; Έλεγχος'!$D$36="ΝΑΙ","2.6","")</f>
        <v>2.6</v>
      </c>
      <c r="B50" s="29" t="str">
        <f>IF('Τιμές &amp; Έλεγχος'!$D$36="ΝΑΙ","Κεφαλοκοπή πασσάλων (σπάσιμο κεφαλής)","")</f>
        <v>Κεφαλοκοπή πασσάλων (σπάσιμο κεφαλής)</v>
      </c>
      <c r="C50" s="28" t="str">
        <f>IF('Τιμές &amp; Έλεγχος'!$D$36="ΝΑΙ","τεμ.","")</f>
        <v>τεμ.</v>
      </c>
      <c r="D50" s="33">
        <f>IF('Τιμές &amp; Έλεγχος'!$D$36="ΝΑΙ",$F$133,0)</f>
        <v>0</v>
      </c>
      <c r="E50" s="33">
        <f>IF('Τιμές &amp; Έλεγχος'!$D$36="ΝΑΙ",$D$14,0)</f>
        <v>35</v>
      </c>
      <c r="F50" s="33">
        <f>IF('Τιμές &amp; Έλεγχος'!$D$36="ΝΑΙ",$D$50/$E$50,0)</f>
        <v>0</v>
      </c>
      <c r="G50" s="28" t="str">
        <f>IF('Τιμές &amp; Έλεγχος'!$D$36="ΝΑΙ","Φύλλο 1","")</f>
        <v>Φύλλο 1</v>
      </c>
    </row>
    <row r="51" spans="1:7" x14ac:dyDescent="0.35">
      <c r="A51" s="28" t="str">
        <f>IF('Τιμές &amp; Έλεγχος'!$D$37="ΝΑΙ","2.7","")</f>
        <v>2.7</v>
      </c>
      <c r="B51" s="29" t="str">
        <f>IF('Τιμές &amp; Έλεγχος'!$D$37="ΝΑΙ","Απομάκρυνση εκσκαπτόμενου χώματος &amp; Λατομικά τέλη","")</f>
        <v>Απομάκρυνση εκσκαπτόμενου χώματος &amp; Λατομικά τέλη</v>
      </c>
      <c r="C51" s="28" t="str">
        <f>IF('Τιμές &amp; Έλεγχος'!$D$37="ΝΑΙ","m³","")</f>
        <v>m³</v>
      </c>
      <c r="D51" s="34">
        <f>IF('Τιμές &amp; Έλεγχος'!$D$37="ΝΑΙ",$F$115,0)</f>
        <v>103.67255756846318</v>
      </c>
      <c r="E51" s="33">
        <f>IF('Τιμές &amp; Έλεγχος'!$D$37="ΝΑΙ",$D$14,0)</f>
        <v>35</v>
      </c>
      <c r="F51" s="34">
        <f>IF('Τιμές &amp; Έλεγχος'!$D$37="ΝΑΙ",$D$51/$E$51,0)</f>
        <v>2.9620730733846621</v>
      </c>
      <c r="G51" s="28" t="str">
        <f>IF('Τιμές &amp; Έλεγχος'!$D$37="ΝΑΙ","Φύλλο 1","")</f>
        <v>Φύλλο 1</v>
      </c>
    </row>
    <row r="53" spans="1:7" x14ac:dyDescent="0.35">
      <c r="A53" s="18" t="s">
        <v>155</v>
      </c>
    </row>
    <row r="54" spans="1:7" ht="30" customHeight="1" x14ac:dyDescent="0.35">
      <c r="A54" s="2" t="s">
        <v>30</v>
      </c>
      <c r="B54" s="2" t="s">
        <v>156</v>
      </c>
      <c r="C54" s="2" t="s">
        <v>6</v>
      </c>
      <c r="D54" s="2" t="s">
        <v>157</v>
      </c>
      <c r="E54" s="2" t="s">
        <v>7</v>
      </c>
      <c r="F54" s="2" t="s">
        <v>158</v>
      </c>
      <c r="G54" s="2" t="s">
        <v>159</v>
      </c>
    </row>
    <row r="55" spans="1:7" ht="34" customHeight="1" x14ac:dyDescent="0.35">
      <c r="A55" s="25" t="s">
        <v>160</v>
      </c>
      <c r="B55" s="35" t="s">
        <v>11</v>
      </c>
      <c r="C55" s="25" t="s">
        <v>12</v>
      </c>
      <c r="D55" s="26">
        <f>$D$14</f>
        <v>35</v>
      </c>
      <c r="E55" s="6">
        <f>$D$15</f>
        <v>34.971428571428568</v>
      </c>
      <c r="F55" s="36">
        <f>$D$55*$E$55</f>
        <v>1223.9999999999998</v>
      </c>
      <c r="G55" s="37" t="str">
        <f>"Βασική Λεμεσού ("&amp;ROUND('Τιμές &amp; Έλεγχος'!$D$7,2)&amp;" €) + Εκτός Λεμεσού ανά "&amp;ROUND($D$8,0)&amp;"km ("&amp;$D$9&amp;" × "&amp;ROUND('Τιμές &amp; Έλεγχος'!$D$8,2)&amp;" € = "&amp;ROUND($D$9*'Τιμές &amp; Έλεγχος'!$D$8,2)&amp;" €) + Συνοδεία Αστυνομίας από Αγ. Συλά ("&amp;ROUND('Τιμές &amp; Έλεγχος'!$D$30,1)&amp;" km × "&amp;ROUND('Τιμές &amp; Έλεγχος'!$D$31,2)&amp;" €/km = "&amp;ROUND('Τιμές &amp; Έλεγχος'!$D$32,2)&amp;" €) = Σύνολο ("&amp;ROUND($D$13,2)&amp;" €) ÷ Πάσσαλοι ("&amp;$D$14&amp;") = "&amp;ROUND($D$15,2)&amp;" €/πάσσαλο"</f>
        <v>Βασική Λεμεσού (1000 €) + Εκτός Λεμεσού ανά 10km (0 × 200 € = 0 €) + Συνοδεία Αστυνομίας από Αγ. Συλά (28 km × 8 €/km = 224 €) = Σύνολο (1224 €) ÷ Πάσσαλοι (35) = 34.97 €/πάσσαλο</v>
      </c>
    </row>
    <row r="56" spans="1:7" ht="34" customHeight="1" x14ac:dyDescent="0.35">
      <c r="A56" s="25" t="s">
        <v>161</v>
      </c>
      <c r="B56" s="35" t="s">
        <v>162</v>
      </c>
      <c r="C56" s="25" t="s">
        <v>15</v>
      </c>
      <c r="D56" s="38">
        <f>$D$45</f>
        <v>150</v>
      </c>
      <c r="E56" s="6">
        <f>'Τιμές &amp; Έλεγχος'!$D$9</f>
        <v>115</v>
      </c>
      <c r="F56" s="36">
        <f>$D$56*$E$56</f>
        <v>17250</v>
      </c>
      <c r="G56" s="37" t="str">
        <f>"Τρύπημα: "&amp;$D$23&amp;" πασσ. × [Ύψος πασσάλου ("&amp;ROUND($D$25,3)&amp;"m) + Κενό τρύπημα ("&amp;ROUND($D$112,3)&amp;"m) = "&amp;ROUND($D$114,2)&amp;"m]"&amp;" = Σύνολο ("&amp;ROUND($D$56,2)&amp;"m) × Τιμή μέτρου ("&amp;ROUND($E$56,2)&amp;" €) = "&amp;ROUND($F$56,2)&amp;" €"</f>
        <v>Τρύπημα: 15 πασσ. × [Ύψος πασσάλου (10m) + Κενό τρύπημα (0m) = 10m] = Σύνολο (150m) × Τιμή μέτρου (115 €) = 17250 €</v>
      </c>
    </row>
    <row r="57" spans="1:7" ht="34" customHeight="1" x14ac:dyDescent="0.35">
      <c r="A57" s="25" t="s">
        <v>163</v>
      </c>
      <c r="B57" s="35" t="s">
        <v>164</v>
      </c>
      <c r="C57" s="25" t="s">
        <v>15</v>
      </c>
      <c r="D57" s="38">
        <f>$D$46</f>
        <v>100</v>
      </c>
      <c r="E57" s="6">
        <f>'Τιμές &amp; Έλεγχος'!$D$10</f>
        <v>90</v>
      </c>
      <c r="F57" s="36">
        <f>$D$57*$E$57</f>
        <v>9000</v>
      </c>
      <c r="G57" s="37" t="str">
        <f>"Τρύπημα: "&amp;$E$23&amp;" πασσ. × [Ύψος πασσάλου ("&amp;ROUND($E$25,3)&amp;"m) + Κενό τρύπημα ("&amp;ROUND($E$112,3)&amp;"m) = "&amp;ROUND($E$114,2)&amp;"m]"&amp;" = Σύνολο ("&amp;ROUND($D$57,2)&amp;"m) × Τιμή μέτρου ("&amp;ROUND($E$57,2)&amp;" €) = "&amp;ROUND($F$57,2)&amp;" €"</f>
        <v>Τρύπημα: 20 πασσ. × [Ύψος πασσάλου (5m) + Κενό τρύπημα (0m) = 5m] = Σύνολο (100m) × Τιμή μέτρου (90 €) = 9000 €</v>
      </c>
    </row>
    <row r="58" spans="1:7" ht="34" customHeight="1" x14ac:dyDescent="0.35">
      <c r="A58" s="25" t="s">
        <v>165</v>
      </c>
      <c r="B58" s="35" t="str">
        <f>"Σκυρόδεμα πασσάλων "&amp;$D$18&amp;" (με +"&amp;ROUND($D$101*100,0)&amp;"% απώλεια)"</f>
        <v>Σκυρόδεμα πασσάλων C25/30 (με +10% απώλεια)</v>
      </c>
      <c r="C58" s="25" t="s">
        <v>19</v>
      </c>
      <c r="D58" s="38">
        <f>$D$47</f>
        <v>114.03981332530951</v>
      </c>
      <c r="E58" s="9">
        <f>'Τιμές &amp; Έλεγχος'!$D$22</f>
        <v>120</v>
      </c>
      <c r="F58" s="36">
        <f>$D$58*$E$58</f>
        <v>13684.777599037141</v>
      </c>
      <c r="G58" s="37" t="str">
        <f>"Κουγκρί ανά πάσσαλο: Εμβαδόν Ø"&amp;$D$24&amp;"mm × [Ύψος πασσάλου ("&amp;ROUND($D$25,3)&amp;"m) + Υπερκάλυψη ("&amp;ROUND($D$113,2)&amp;"m) = "&amp;ROUND($D$116,3)&amp;"m] × Απώλεια (+"&amp;ROUND($D$101*100,0)&amp;"%) = "&amp;ROUND($D$117,3)&amp;" m³/πασσ. → Σύνολο ("&amp;ROUND($D$58,2)&amp;" m³) × Στρογγυλοποιημένη Τιμή κυβικού [ROUND(Αγορά "&amp;ROUND('Τιμές &amp; Έλεγχος'!$D$16,2)&amp;" € + Τοποθέτηση "&amp;ROUND('Τιμές &amp; Έλεγχος'!$D$17,2)&amp;" € + Αντλία "&amp;ROUND('Τιμές &amp; Έλεγχος'!$D$21,2)&amp;" €, 0) = "&amp;ROUND($E$58,0)&amp;" €/m³] = "&amp;ROUND($F$58,2)&amp;" €"</f>
        <v>Κουγκρί ανά πάσσαλο: Εμβαδόν Ø800mm × [Ύψος πασσάλου (10m) + Υπερκάλυψη (0m) = 10m] × Απώλεια (+10%) = 5.529 m³/πασσ. → Σύνολο (114.04 m³) × Στρογγυλοποιημένη Τιμή κυβικού [ROUND(Αγορά 105 € + Τοποθέτηση 15 € + Αντλία 0 €, 0) = 120 €/m³] = 13684.78 €</v>
      </c>
    </row>
    <row r="59" spans="1:7" ht="34" customHeight="1" x14ac:dyDescent="0.35">
      <c r="A59" s="39" t="s">
        <v>166</v>
      </c>
      <c r="B59" s="40" t="s">
        <v>167</v>
      </c>
      <c r="C59" s="39" t="s">
        <v>21</v>
      </c>
      <c r="D59" s="41">
        <f>$F$124</f>
        <v>9415.7615898535769</v>
      </c>
      <c r="E59" s="42">
        <f>'Τιμές &amp; Έλεγχος'!$D$11</f>
        <v>1.1000000000000001</v>
      </c>
      <c r="F59" s="42">
        <f>$D$59*$E$59</f>
        <v>10357.337748838936</v>
      </c>
      <c r="G59" s="43" t="str">
        <f>"Μήκος κάθετης βέργας = Ύψος πασσάλου ("&amp;ROUND($D$25,3)&amp;"m) + Ύψος αναμονής starter ("&amp;ROUND($D$30,2)&amp;"m) + Γωνία πάνω ("&amp;ROUND($D$31,2)&amp;"m) + Γωνία κάτω ("&amp;ROUND($D$32,2)&amp;"m) + Ύψος μάτισης ("&amp;$D$121&amp;" μάτιση × "&amp;ROUND($D$33,2)&amp;"m) = "&amp;ROUND($D$122,3)&amp;"m → "&amp;$D$28&amp;" σίδερα Φ"&amp;$D$29&amp;" × "&amp;ROUND($D$122,3)&amp;"m × Βάρος μέτρου ("&amp;ROUND($D$123,3)&amp;" kg/m) = "&amp;ROUND($D$124,2)&amp;" kg/πασσ. → Σύνολο ("&amp;ROUND($D$59,1)&amp;" kg) × "&amp;ROUND($E$59,2)&amp;" € = "&amp;ROUND($F$59,2)&amp;" €"</f>
        <v>Μήκος κάθετης βέργας = Ύψος πασσάλου (10m) + Ύψος αναμονής starter (0.45m) + Γωνία πάνω (0.5m) + Γωνία κάτω (0m) + Ύψος μάτισης (0 μάτιση × 1m) = 10.95m → 16 σίδερα Φ20 × 10.95m × Βάρος μέτρου (2.466 kg/m) = 432.07 kg/πασσ. → Σύνολο (9415.8 kg) × 1.1 € = 10357.34 €</v>
      </c>
    </row>
    <row r="60" spans="1:7" ht="34" customHeight="1" x14ac:dyDescent="0.35">
      <c r="A60" s="39" t="s">
        <v>168</v>
      </c>
      <c r="B60" s="40" t="s">
        <v>169</v>
      </c>
      <c r="C60" s="39" t="s">
        <v>21</v>
      </c>
      <c r="D60" s="41">
        <f>$F$127</f>
        <v>2060.8720949914687</v>
      </c>
      <c r="E60" s="42">
        <f>'Τιμές &amp; Έλεγχος'!$D$11</f>
        <v>1.1000000000000001</v>
      </c>
      <c r="F60" s="42">
        <f>$D$60*$E$60</f>
        <v>2266.9593044906155</v>
      </c>
      <c r="G60" s="43" t="str">
        <f>"Αριθμός σπειρών σούστας = [Ύψος πασσάλου ("&amp;ROUND($D$25,3)&amp;"m) ÷ Βήμα σούστας ("&amp;ROUND($D$37/1000,3)&amp;"m) = "&amp;($D$125-1)&amp;"] + 1 = "&amp;$D$125&amp;" σπείρες × Περίμετρος στεφανιού κλωβού ("&amp;ROUND($D$119,3)&amp;"m) × Βάρος μέτρου Φ"&amp;$D$34&amp;" ("&amp;ROUND($D$126,3)&amp;" kg/m) = "&amp;ROUND($D$127,2)&amp;" kg/πασσ. → Σύνολο ("&amp;ROUND($D$60,1)&amp;" kg) × "&amp;ROUND($E$60,2)&amp;" € = "&amp;ROUND($F$60,2)&amp;" €"</f>
        <v>Αριθμός σπειρών σούστας = [Ύψος πασσάλου (10m) ÷ Βήμα σούστας (0.15m) = 67] + 1 = 68 σπείρες × Περίμετρος στεφανιού κλωβού (2.199m) × Βάρος μέτρου Φ10 (0.617 kg/m) = 92.2 kg/πασσ. → Σύνολο (2060.9 kg) × 1.1 € = 2266.96 €</v>
      </c>
    </row>
    <row r="61" spans="1:7" ht="34" customHeight="1" x14ac:dyDescent="0.35">
      <c r="A61" s="39" t="s">
        <v>170</v>
      </c>
      <c r="B61" s="40" t="s">
        <v>171</v>
      </c>
      <c r="C61" s="39" t="s">
        <v>21</v>
      </c>
      <c r="D61" s="41">
        <f>$F$129</f>
        <v>119.11995661839785</v>
      </c>
      <c r="E61" s="42">
        <f>'Τιμές &amp; Έλεγχος'!$D$11</f>
        <v>1.1000000000000001</v>
      </c>
      <c r="F61" s="42">
        <f>$D$61*$E$61</f>
        <v>131.03195228023765</v>
      </c>
      <c r="G61" s="43" t="str">
        <f>"Αριθμός στεφανιών αναμονής = Ύψος αναμονής starter ("&amp;ROUND($D$30,2)&amp;"m) ÷ Βήμα ("&amp;ROUND($D$37/1000,3)&amp;"m) = "&amp;$D$128&amp;" στεφάνια (χωρίς +1) × Περίμετρος στεφανιού κλωβού ("&amp;ROUND($D$119,3)&amp;"m) × Βάρος μέτρου Φ"&amp;$D$34&amp;" ("&amp;ROUND($D$126,3)&amp;" kg/m) = "&amp;ROUND($D$129,2)&amp;" kg/πασσ. → Σύνολο ("&amp;ROUND($D$61,1)&amp;" kg) × "&amp;ROUND($E$61,2)&amp;" € = "&amp;ROUND($F$61,2)&amp;" €"</f>
        <v>Αριθμός στεφανιών αναμονής = Ύψος αναμονής starter (0.45m) ÷ Βήμα (0.15m) = 3 στεφάνια (χωρίς +1) × Περίμετρος στεφανιού κλωβού (2.199m) × Βάρος μέτρου Φ10 (0.617 kg/m) = 4.07 kg/πασσ. → Σύνολο (119.1 kg) × 1.1 € = 131.03 €</v>
      </c>
    </row>
    <row r="62" spans="1:7" ht="34" customHeight="1" x14ac:dyDescent="0.35">
      <c r="A62" s="25" t="s">
        <v>172</v>
      </c>
      <c r="B62" s="35" t="s">
        <v>173</v>
      </c>
      <c r="C62" s="25" t="s">
        <v>21</v>
      </c>
      <c r="D62" s="44">
        <f>$D$48</f>
        <v>11595.753641463441</v>
      </c>
      <c r="E62" s="6">
        <f>'Τιμές &amp; Έλεγχος'!$D$11</f>
        <v>1.1000000000000001</v>
      </c>
      <c r="F62" s="36">
        <f>$D$62*$E$62</f>
        <v>12755.329005609787</v>
      </c>
      <c r="G62" s="37" t="str">
        <f>"Συνολικό βάρος ανά πάσσαλο = Κάθετα σίδερα ("&amp;ROUND($D$124,2)&amp;" kg) + Σούστα σώματος ("&amp;ROUND($D$127,2)&amp;" kg) + Στεφάνια αναμονής ("&amp;ROUND($D$129,2)&amp;" kg) = "&amp;ROUND($D$131,2)&amp;" kg/πασσ. → Σύνολο έργου ("&amp;ROUND($D$62,1)&amp;" kg) × Τιμή κιλού ("&amp;ROUND($E$62,2)&amp;" €) = "&amp;ROUND($F$62,2)&amp;" € ("&amp;ROUND($F$62/$D$14,2)&amp;" €/πασσ.)"</f>
        <v>Συνολικό βάρος ανά πάσσαλο = Κάθετα σίδερα (432.07 kg) + Σούστα σώματος (92.2 kg) + Στεφάνια αναμονής (4.07 kg) = 528.33 kg/πασσ. → Σύνολο έργου (11595.8 kg) × Τιμή κιλού (1.1 €) = 12755.33 € (364.44 €/πασσ.)</v>
      </c>
    </row>
    <row r="63" spans="1:7" ht="34" customHeight="1" x14ac:dyDescent="0.35">
      <c r="A63" s="25" t="s">
        <v>174</v>
      </c>
      <c r="B63" s="35" t="str">
        <f>"Sleeves προστασίας αναμονών starter (Sleeve Φ32 για κάθετα σίδερα Φ"&amp;$D$29&amp;")"</f>
        <v>Sleeves προστασίας αναμονών starter (Sleeve Φ32 για κάθετα σίδερα Φ20)</v>
      </c>
      <c r="C63" s="25" t="s">
        <v>23</v>
      </c>
      <c r="D63" s="26">
        <f>$D$49</f>
        <v>0</v>
      </c>
      <c r="E63" s="6">
        <f>'Τιμές &amp; Έλεγχος'!$D$27</f>
        <v>3</v>
      </c>
      <c r="F63" s="36">
        <f>$D$63*$E$63</f>
        <v>0</v>
      </c>
      <c r="G63" s="37" t="str">
        <f>"Sleeve Φ32 (για σίδερα Φ"&amp;$D$29&amp;"): ((Κόστος αγοράς + Κόστος τοποθέτησης) × Profit, Waste, Overhead) = "&amp;ROUND('Τιμές &amp; Έλεγχος'!$D$26,2)&amp;" € → Στρογγυλεμένο τελικό αποτέλεσμα = "&amp;ROUND($E$63,2)&amp;" €/τεμ. × "&amp;$D$63&amp;" τεμ. = "&amp;ROUND($F$63,2)&amp;" €"</f>
        <v>Sleeve Φ32 (για σίδερα Φ20): ((Κόστος αγοράς + Κόστος τοποθέτησης) × Profit, Waste, Overhead) = 2.87 € → Στρογγυλεμένο τελικό αποτέλεσμα = 3 €/τεμ. × 0 τεμ. = 0 €</v>
      </c>
    </row>
    <row r="64" spans="1:7" ht="34" customHeight="1" x14ac:dyDescent="0.35">
      <c r="A64" s="25" t="str">
        <f>IF('Τιμές &amp; Έλεγχος'!$D$36="ΝΑΙ","2Β.6","")</f>
        <v>2Β.6</v>
      </c>
      <c r="B64" s="35" t="str">
        <f>IF('Τιμές &amp; Έλεγχος'!$D$36="ΝΑΙ","Κεφαλοκοπή πασσάλων (σπάσιμο κεφαλής / Pile Breaking)","")</f>
        <v>Κεφαλοκοπή πασσάλων (σπάσιμο κεφαλής / Pile Breaking)</v>
      </c>
      <c r="C64" s="25" t="str">
        <f>IF('Τιμές &amp; Έλεγχος'!$D$36="ΝΑΙ","τεμ.","")</f>
        <v>τεμ.</v>
      </c>
      <c r="D64" s="45">
        <f>IF('Τιμές &amp; Έλεγχος'!$D$36="ΝΑΙ",$D$50,0)</f>
        <v>0</v>
      </c>
      <c r="E64" s="12">
        <f>IF('Τιμές &amp; Έλεγχος'!$D$36="ΝΑΙ",'Τιμές &amp; Έλεγχος'!$D$12,0)</f>
        <v>150</v>
      </c>
      <c r="F64" s="12">
        <f>$D$64*$E$64</f>
        <v>0</v>
      </c>
      <c r="G64" s="37" t="str">
        <f>IF('Τιμές &amp; Έλεγχος'!$D$36="ΝΑΙ","Κεφαλοκοπή (Κουμπί Τ.Ε.1 = ΝΑΙ): "&amp;$D$133&amp;" σπάσιμο κεφαλής/πάσσαλο × "&amp;$D$14&amp;" πασσάλους = "&amp;$D$64&amp;" τεμάχια × Τιμή τεμαχίου ("&amp;ROUND($E$64,2)&amp;" €) = "&amp;ROUND($F$64,2)&amp;" € ("&amp;ROUND($F$64/$D$14,2)&amp;" €/πασσ.)","")</f>
        <v>Κεφαλοκοπή (Κουμπί Τ.Ε.1 = ΝΑΙ): 0 σπάσιμο κεφαλής/πάσσαλο × 35 πασσάλους = 0 τεμάχια × Τιμή τεμαχίου (150 €) = 0 € (0 €/πασσ.)</v>
      </c>
    </row>
    <row r="65" spans="1:7" ht="34" customHeight="1" x14ac:dyDescent="0.35">
      <c r="A65" s="25" t="str">
        <f>IF('Τιμές &amp; Έλεγχος'!$D$37="ΝΑΙ",IF('Τιμές &amp; Έλεγχος'!$D$36="ΝΑΙ","2Β.7","2Β.6"),"")</f>
        <v>2Β.7</v>
      </c>
      <c r="B65" s="35" t="str">
        <f>IF('Τιμές &amp; Έλεγχος'!$D$37="ΝΑΙ","Απομάκρυνση εκσκαπτόμενου χώματος &amp; Λατομικά τέλη","")</f>
        <v>Απομάκρυνση εκσκαπτόμενου χώματος &amp; Λατομικά τέλη</v>
      </c>
      <c r="C65" s="25" t="str">
        <f>IF('Τιμές &amp; Έλεγχος'!$D$37="ΝΑΙ","m³","")</f>
        <v>m³</v>
      </c>
      <c r="D65" s="46">
        <f>IF('Τιμές &amp; Έλεγχος'!$D$37="ΝΑΙ",$D$51,0)</f>
        <v>103.67255756846318</v>
      </c>
      <c r="E65" s="12">
        <f>IF('Τιμές &amp; Έλεγχος'!$D$37="ΝΑΙ",'Τιμές &amp; Έλεγχος'!$D$38,0)</f>
        <v>15</v>
      </c>
      <c r="F65" s="12">
        <f>$D$65*$E$65</f>
        <v>1555.0883635269477</v>
      </c>
      <c r="G65" s="37" t="str">
        <f>IF('Τιμές &amp; Έλεγχος'!$D$37="ΝΑΙ","Απομάκρυνση εκσκαπτόμενου χώματος &amp; Λατομικά τέλη (Κουμπί Τ.Ε.2 = ΝΑΙ): Συνολικός όγκος εκσκαφής τρυπών ("&amp;ROUND($D$65,2)&amp;" m³) × Τιμή κυβικού ("&amp;ROUND($E$65,2)&amp;" €/m³) = "&amp;ROUND($F$65,2)&amp;" € ("&amp;ROUND($F$65/$D$14,2)&amp;" €/πασσ.)","")</f>
        <v>Απομάκρυνση εκσκαπτόμενου χώματος &amp; Λατομικά τέλη (Κουμπί Τ.Ε.2 = ΝΑΙ): Συνολικός όγκος εκσκαφής τρυπών (103.67 m³) × Τιμή κυβικού (15 €/m³) = 1555.09 € (44.43 €/πασσ.)</v>
      </c>
    </row>
    <row r="66" spans="1:7" ht="26" customHeight="1" x14ac:dyDescent="0.35">
      <c r="A66" s="66" t="s">
        <v>175</v>
      </c>
      <c r="B66" s="67"/>
      <c r="C66" s="67"/>
      <c r="D66" s="67"/>
      <c r="E66" s="67"/>
      <c r="F66" s="15">
        <f>$F$55+$F$56+$F$57+$F$58+$F$62+$F$63+$F$64+$F$65</f>
        <v>55469.194968173884</v>
      </c>
      <c r="G66" s="47" t="str">
        <f>"Σύνολο Προσφοράς = "&amp;ROUND($F$66,2)&amp;" € | Μέσο Κόστος ανά Πάσσαλο = "&amp;ROUND($F$66/$D$14,2)&amp;" €/πάσσαλο ("&amp;$D$14&amp;" πάσσαλοι)"</f>
        <v>Σύνολο Προσφοράς = 55469.19 € | Μέσο Κόστος ανά Πάσσαλο = 1584.83 €/πάσσαλο (35 πάσσαλοι)</v>
      </c>
    </row>
    <row r="68" spans="1:7" x14ac:dyDescent="0.35">
      <c r="A68" s="18" t="s">
        <v>176</v>
      </c>
    </row>
    <row r="69" spans="1:7" ht="24" customHeight="1" x14ac:dyDescent="0.35">
      <c r="A69" s="71" t="s">
        <v>177</v>
      </c>
      <c r="B69" s="65"/>
      <c r="C69" s="65"/>
      <c r="D69" s="65"/>
      <c r="E69" s="65"/>
      <c r="F69" s="65"/>
      <c r="G69" s="65"/>
    </row>
    <row r="70" spans="1:7" ht="28" customHeight="1" x14ac:dyDescent="0.35">
      <c r="A70" s="2" t="s">
        <v>30</v>
      </c>
      <c r="B70" s="2" t="s">
        <v>178</v>
      </c>
      <c r="C70" s="2" t="s">
        <v>6</v>
      </c>
      <c r="D70" s="2" t="s">
        <v>179</v>
      </c>
      <c r="E70" s="2" t="s">
        <v>7</v>
      </c>
      <c r="F70" s="2" t="s">
        <v>180</v>
      </c>
      <c r="G70" s="2" t="s">
        <v>181</v>
      </c>
    </row>
    <row r="71" spans="1:7" ht="30" customHeight="1" x14ac:dyDescent="0.35">
      <c r="A71" s="25" t="s">
        <v>182</v>
      </c>
      <c r="B71" s="35" t="s">
        <v>183</v>
      </c>
      <c r="C71" s="25" t="s">
        <v>12</v>
      </c>
      <c r="D71" s="26">
        <f>1</f>
        <v>1</v>
      </c>
      <c r="E71" s="6">
        <f>$D$15</f>
        <v>34.971428571428568</v>
      </c>
      <c r="F71" s="36">
        <f>$D$71*$E$71</f>
        <v>34.971428571428568</v>
      </c>
      <c r="G71" s="37" t="str">
        <f>"1 πάσσαλος × Επιμερισμένη μετακίνηση ("&amp;ROUND($D$15,2)&amp;" €) = "&amp;ROUND($F$71,2)&amp;" €/πάσσαλο (× "&amp;$D$23&amp;" πασσ. ομάδας = "&amp;ROUND($D$23*$F$71,2)&amp;" €)"</f>
        <v>1 πάσσαλος × Επιμερισμένη μετακίνηση (34.97 €) = 34.97 €/πάσσαλο (× 15 πασσ. ομάδας = 524.57 €)</v>
      </c>
    </row>
    <row r="72" spans="1:7" ht="30" customHeight="1" x14ac:dyDescent="0.35">
      <c r="A72" s="25" t="s">
        <v>184</v>
      </c>
      <c r="B72" s="35" t="s">
        <v>185</v>
      </c>
      <c r="C72" s="25" t="s">
        <v>15</v>
      </c>
      <c r="D72" s="38">
        <f>$D$114</f>
        <v>10</v>
      </c>
      <c r="E72" s="6">
        <f>'Τιμές &amp; Έλεγχος'!$D$9</f>
        <v>115</v>
      </c>
      <c r="F72" s="36">
        <f>$D$72*$E$72</f>
        <v>1150</v>
      </c>
      <c r="G72" s="37" t="str">
        <f>"Μέτρα τρυπήματος/πάσσαλο = Ύψος πασσάλου ("&amp;ROUND($D$25,3)&amp;"m) + Κενό τρύπημα ("&amp;ROUND($D$112,3)&amp;"m) = "&amp;ROUND($D$72,2)&amp;" m/πάσσαλο × "&amp;ROUND($E$72,2)&amp;" €/m = "&amp;ROUND($F$72,2)&amp;" €/πάσσαλο (× "&amp;$D$23&amp;" πασσ. = "&amp;ROUND($D$23*$F$72,2)&amp;" €)"</f>
        <v>Μέτρα τρυπήματος/πάσσαλο = Ύψος πασσάλου (10m) + Κενό τρύπημα (0m) = 10 m/πάσσαλο × 115 €/m = 1150 €/πάσσαλο (× 15 πασσ. = 17250 €)</v>
      </c>
    </row>
    <row r="73" spans="1:7" ht="30" customHeight="1" x14ac:dyDescent="0.35">
      <c r="A73" s="25" t="s">
        <v>186</v>
      </c>
      <c r="B73" s="35" t="str">
        <f>"Σκυρόδεμα πασσάλου "&amp;$D$18&amp;" με +"&amp;ROUND($D$101*100,0)&amp;"% απώλεια (m³ ανά 1 πάσσαλο)"</f>
        <v>Σκυρόδεμα πασσάλου C25/30 με +10% απώλεια (m³ ανά 1 πάσσαλο)</v>
      </c>
      <c r="C73" s="25" t="s">
        <v>19</v>
      </c>
      <c r="D73" s="38">
        <f>$D$117</f>
        <v>5.5292030703180366</v>
      </c>
      <c r="E73" s="9">
        <f>'Τιμές &amp; Έλεγχος'!$D$22</f>
        <v>120</v>
      </c>
      <c r="F73" s="36">
        <f>$D$73*$E$73</f>
        <v>663.50436843816442</v>
      </c>
      <c r="G73" s="37" t="str">
        <f>"Κυβικά κουγκριού/πάσσαλο = Εμβαδόν Ø"&amp;$D$24&amp;"mm × [Ύψος ("&amp;ROUND($D$25,3)&amp;"m) + Υπερκάλυψη ("&amp;ROUND($D$113,2)&amp;"m) = "&amp;ROUND($D$116,3)&amp;"m] × 1.10 = "&amp;ROUND($D$73,3)&amp;" m³/πάσσαλο × "&amp;ROUND($E$73,0)&amp;" €/m³ = "&amp;ROUND($F$73,2)&amp;" €/πάσσαλο (× "&amp;$D$23&amp;" πασσ. = "&amp;ROUND($D$23*$F$73,2)&amp;" €)"</f>
        <v>Κυβικά κουγκριού/πάσσαλο = Εμβαδόν Ø800mm × [Ύψος (10m) + Υπερκάλυψη (0m) = 10m] × 1.10 = 5.529 m³/πάσσαλο × 120 €/m³ = 663.5 €/πάσσαλο (× 15 πασσ. = 9952.57 €)</v>
      </c>
    </row>
    <row r="74" spans="1:7" ht="30" customHeight="1" x14ac:dyDescent="0.35">
      <c r="A74" s="39" t="s">
        <v>187</v>
      </c>
      <c r="B74" s="40" t="s">
        <v>188</v>
      </c>
      <c r="C74" s="39" t="s">
        <v>21</v>
      </c>
      <c r="D74" s="41">
        <f>$D$124</f>
        <v>432.06952083351138</v>
      </c>
      <c r="E74" s="42">
        <f>'Τιμές &amp; Έλεγχος'!$D$11</f>
        <v>1.1000000000000001</v>
      </c>
      <c r="F74" s="42">
        <f>$D$74*$E$74</f>
        <v>475.27647291686253</v>
      </c>
      <c r="G74" s="43" t="str">
        <f>$D$28&amp;" σίδερα Φ"&amp;$D$29&amp;" × Μήκος βέργας ("&amp;ROUND($D$122,3)&amp;"m με μάτιση "&amp;ROUND($D$33,2)&amp;"m) × "&amp;ROUND($D$123,3)&amp;" kg/m = "&amp;ROUND($D$74,2)&amp;" kg/πάσσαλο × "&amp;ROUND($E$74,2)&amp;" €/kg = "&amp;ROUND($F$74,2)&amp;" €/πάσσαλο"</f>
        <v>16 σίδερα Φ20 × Μήκος βέργας (10.95m με μάτιση 1m) × 2.466 kg/m = 432.07 kg/πάσσαλο × 1.1 €/kg = 475.28 €/πάσσαλο</v>
      </c>
    </row>
    <row r="75" spans="1:7" ht="30" customHeight="1" x14ac:dyDescent="0.35">
      <c r="A75" s="39" t="s">
        <v>189</v>
      </c>
      <c r="B75" s="40" t="s">
        <v>190</v>
      </c>
      <c r="C75" s="39" t="s">
        <v>21</v>
      </c>
      <c r="D75" s="41">
        <f>$D$127</f>
        <v>92.19690951277623</v>
      </c>
      <c r="E75" s="42">
        <f>'Τιμές &amp; Έλεγχος'!$D$11</f>
        <v>1.1000000000000001</v>
      </c>
      <c r="F75" s="42">
        <f>$D$75*$E$75</f>
        <v>101.41660046405386</v>
      </c>
      <c r="G75" s="43" t="str">
        <f>$D$125&amp;" σπείρες (με +1) × Περίμετρος ("&amp;ROUND($D$119,3)&amp;"m) × Βάρος Φ"&amp;$D$34&amp;" ("&amp;ROUND($D$126,3)&amp;" kg/m) = "&amp;ROUND($D$75,2)&amp;" kg/πάσσαλο × "&amp;ROUND($E$75,2)&amp;" €/kg = "&amp;ROUND($F$75,2)&amp;" €/πάσσαλο"</f>
        <v>68 σπείρες (με +1) × Περίμετρος (2.199m) × Βάρος Φ10 (0.617 kg/m) = 92.2 kg/πάσσαλο × 1.1 €/kg = 101.42 €/πάσσαλο</v>
      </c>
    </row>
    <row r="76" spans="1:7" ht="30" customHeight="1" x14ac:dyDescent="0.35">
      <c r="A76" s="39" t="s">
        <v>191</v>
      </c>
      <c r="B76" s="40" t="s">
        <v>192</v>
      </c>
      <c r="C76" s="39" t="s">
        <v>21</v>
      </c>
      <c r="D76" s="41">
        <f>$D$129</f>
        <v>4.067510713798951</v>
      </c>
      <c r="E76" s="42">
        <f>'Τιμές &amp; Έλεγχος'!$D$11</f>
        <v>1.1000000000000001</v>
      </c>
      <c r="F76" s="42">
        <f>$D$76*$E$76</f>
        <v>4.4742617851788467</v>
      </c>
      <c r="G76" s="43" t="str">
        <f>$D$128&amp;" στεφάνια (χωρίς +1) × Περίμετρος ("&amp;ROUND($D$119,3)&amp;"m) × Βάρος Φ"&amp;$D$34&amp;" ("&amp;ROUND($D$126,3)&amp;" kg/m) = "&amp;ROUND($D$76,2)&amp;" kg/πάσσαλο × "&amp;ROUND($E$76,2)&amp;" €/kg = "&amp;ROUND($F$76,2)&amp;" €/πάσσαλο"</f>
        <v>3 στεφάνια (χωρίς +1) × Περίμετρος (2.199m) × Βάρος Φ10 (0.617 kg/m) = 4.07 kg/πάσσαλο × 1.1 €/kg = 4.47 €/πάσσαλο</v>
      </c>
    </row>
    <row r="77" spans="1:7" ht="30" customHeight="1" x14ac:dyDescent="0.35">
      <c r="A77" s="25" t="s">
        <v>193</v>
      </c>
      <c r="B77" s="35" t="s">
        <v>194</v>
      </c>
      <c r="C77" s="25" t="s">
        <v>21</v>
      </c>
      <c r="D77" s="44">
        <f>$D$131</f>
        <v>528.33394106008654</v>
      </c>
      <c r="E77" s="6">
        <f>'Τιμές &amp; Έλεγχος'!$D$11</f>
        <v>1.1000000000000001</v>
      </c>
      <c r="F77" s="36">
        <f>$D$77*$E$77</f>
        <v>581.1673351660952</v>
      </c>
      <c r="G77" s="37" t="str">
        <f>"Σύνολο σιδήρου/πάσσαλο = Κάθετα ("&amp;ROUND($D$124,2)&amp;" kg) + Σούστα ("&amp;ROUND($D$127,2)&amp;" kg) + Στεφάνια ("&amp;ROUND($D$129,2)&amp;" kg) = "&amp;ROUND($D$77,2)&amp;" kg/πάσσαλο × "&amp;ROUND($E$77,2)&amp;" €/kg = "&amp;ROUND($F$77,2)&amp;" €/πάσσαλο (× "&amp;$D$23&amp;" πασσ. = "&amp;ROUND($D$23*$F$77,2)&amp;" €)"</f>
        <v>Σύνολο σιδήρου/πάσσαλο = Κάθετα (432.07 kg) + Σούστα (92.2 kg) + Στεφάνια (4.07 kg) = 528.33 kg/πάσσαλο × 1.1 €/kg = 581.17 €/πάσσαλο (× 15 πασσ. = 8717.51 €)</v>
      </c>
    </row>
    <row r="78" spans="1:7" ht="30" customHeight="1" x14ac:dyDescent="0.35">
      <c r="A78" s="25" t="s">
        <v>195</v>
      </c>
      <c r="B78" s="35" t="str">
        <f>"Sleeves προστασίας αναμονών starter (Sleeve Φ32 για Φ"&amp;$D$29&amp;" — τεμ. ανά 1 πάσσαλο)"</f>
        <v>Sleeves προστασίας αναμονών starter (Sleeve Φ32 για Φ20 — τεμ. ανά 1 πάσσαλο)</v>
      </c>
      <c r="C78" s="25" t="s">
        <v>23</v>
      </c>
      <c r="D78" s="26">
        <f>$D$132</f>
        <v>0</v>
      </c>
      <c r="E78" s="6">
        <f>'Τιμές &amp; Έλεγχος'!$D$27</f>
        <v>3</v>
      </c>
      <c r="F78" s="36">
        <f>$D$78*$E$78</f>
        <v>0</v>
      </c>
      <c r="G78" s="37" t="str">
        <f>"((Κόστος αγοράς + Κόστος τοποθέτησης) × Profit, Waste, Overhead) = "&amp;ROUND('Τιμές &amp; Έλεγχος'!$D$26,2)&amp;" € → Στρογγυλεμένο = "&amp;ROUND($E$78,2)&amp;" €/τεμ. × "&amp;$D$78&amp;" τεμ./πάσσαλο = "&amp;ROUND($F$78,2)&amp;" €/πάσσαλο (× "&amp;$D$23&amp;" πασσ. = "&amp;ROUND($D$23*$F$78,2)&amp;" €)"</f>
        <v>((Κόστος αγοράς + Κόστος τοποθέτησης) × Profit, Waste, Overhead) = 2.87 € → Στρογγυλεμένο = 3 €/τεμ. × 0 τεμ./πάσσαλο = 0 €/πάσσαλο (× 15 πασσ. = 0 €)</v>
      </c>
    </row>
    <row r="79" spans="1:7" ht="30" customHeight="1" x14ac:dyDescent="0.35">
      <c r="A79" s="25" t="str">
        <f>IF('Τιμές &amp; Έλεγχος'!$D$36="ΝΑΙ","2Γ.1.6","")</f>
        <v>2Γ.1.6</v>
      </c>
      <c r="B79" s="35" t="str">
        <f>IF('Τιμές &amp; Έλεγχος'!$D$36="ΝΑΙ","Κεφαλοκοπή πασσάλου / Pile Breaking (τεμ. ανά 1 πάσσαλο)","")</f>
        <v>Κεφαλοκοπή πασσάλου / Pile Breaking (τεμ. ανά 1 πάσσαλο)</v>
      </c>
      <c r="C79" s="25" t="str">
        <f>IF('Τιμές &amp; Έλεγχος'!$D$36="ΝΑΙ","τεμ.","")</f>
        <v>τεμ.</v>
      </c>
      <c r="D79" s="45">
        <f>IF('Τιμές &amp; Έλεγχος'!$D$36="ΝΑΙ",$D$133,0)</f>
        <v>0</v>
      </c>
      <c r="E79" s="12">
        <f>IF('Τιμές &amp; Έλεγχος'!$D$36="ΝΑΙ",'Τιμές &amp; Έλεγχος'!$D$12,0)</f>
        <v>150</v>
      </c>
      <c r="F79" s="12">
        <f>$D$79*$E$79</f>
        <v>0</v>
      </c>
      <c r="G79" s="37" t="str">
        <f>IF('Τιμές &amp; Έλεγχος'!$D$36="ΝΑΙ","Κεφαλοκοπή/πάσσαλο = "&amp;$D$79&amp;" τεμ./πάσσαλο × "&amp;ROUND($E$79,2)&amp;" € = "&amp;ROUND($F$79,2)&amp;" €/πάσσαλο (× "&amp;$D$23&amp;" πασσ. = "&amp;ROUND($D$23*$F$79,2)&amp;" €)","")</f>
        <v>Κεφαλοκοπή/πάσσαλο = 0 τεμ./πάσσαλο × 150 € = 0 €/πάσσαλο (× 15 πασσ. = 0 €)</v>
      </c>
    </row>
    <row r="80" spans="1:7" ht="30" customHeight="1" x14ac:dyDescent="0.35">
      <c r="A80" s="25" t="str">
        <f>IF('Τιμές &amp; Έλεγχος'!$D$37="ΝΑΙ",IF('Τιμές &amp; Έλεγχος'!$D$36="ΝΑΙ","2Γ.1.7","2Γ.1.6"),"")</f>
        <v>2Γ.1.7</v>
      </c>
      <c r="B80" s="35" t="str">
        <f>IF('Τιμές &amp; Έλεγχος'!$D$37="ΝΑΙ","Απομάκρυνση εκσκαπτόμενου χώματος &amp; Λατομικά τέλη (m³ ανά 1 πάσσαλο)","")</f>
        <v>Απομάκρυνση εκσκαπτόμενου χώματος &amp; Λατομικά τέλη (m³ ανά 1 πάσσαλο)</v>
      </c>
      <c r="C80" s="25" t="str">
        <f>IF('Τιμές &amp; Έλεγχος'!$D$37="ΝΑΙ","m³","")</f>
        <v>m³</v>
      </c>
      <c r="D80" s="46">
        <f>IF('Τιμές &amp; Έλεγχος'!$D$37="ΝΑΙ",$D$115,0)</f>
        <v>5.026548245743669</v>
      </c>
      <c r="E80" s="12">
        <f>IF('Τιμές &amp; Έλεγχος'!$D$37="ΝΑΙ",'Τιμές &amp; Έλεγχος'!$D$38,0)</f>
        <v>15</v>
      </c>
      <c r="F80" s="12">
        <f>$D$80*$E$80</f>
        <v>75.398223686155035</v>
      </c>
      <c r="G80" s="37" t="str">
        <f>IF('Τιμές &amp; Έλεγχος'!$D$37="ΝΑΙ","Όγκος εκσκαφής/πάσσαλο = Εμβαδόν Ø"&amp;$D$24&amp;"mm × Βάθος τρυπήματος ("&amp;ROUND($D$114,2)&amp;"m) = "&amp;ROUND($D$80,2)&amp;" m³/πάσσαλο × "&amp;ROUND($E$80,2)&amp;" €/m³ = "&amp;ROUND($F$80,2)&amp;" €/πάσσαλο (× "&amp;$D$23&amp;" πασσ. = "&amp;ROUND($D$23*$F$80,2)&amp;" €)","")</f>
        <v>Όγκος εκσκαφής/πάσσαλο = Εμβαδόν Ø800mm × Βάθος τρυπήματος (10m) = 5.03 m³/πάσσαλο × 15 €/m³ = 75.4 €/πάσσαλο (× 15 πασσ. = 1130.97 €)</v>
      </c>
    </row>
    <row r="81" spans="1:7" ht="24" customHeight="1" x14ac:dyDescent="0.35">
      <c r="A81" s="73" t="s">
        <v>196</v>
      </c>
      <c r="B81" s="74"/>
      <c r="C81" s="74"/>
      <c r="D81" s="74"/>
      <c r="E81" s="74"/>
      <c r="F81" s="48">
        <f>$F$71+$F$72+$F$73+$F$77+$F$78+$F$79+$F$80</f>
        <v>2505.0413558618434</v>
      </c>
      <c r="G81" s="49" t="str">
        <f>"Κόστος για 1 πάσσαλο Τύπου 1 = "&amp;ROUND($F$81,2)&amp;" €/πάσσαλο"</f>
        <v>Κόστος για 1 πάσσαλο Τύπου 1 = 2505.04 €/πάσσαλο</v>
      </c>
    </row>
    <row r="82" spans="1:7" ht="24" customHeight="1" x14ac:dyDescent="0.35">
      <c r="A82" s="66" t="s">
        <v>197</v>
      </c>
      <c r="B82" s="67"/>
      <c r="C82" s="67"/>
      <c r="D82" s="67"/>
      <c r="E82" s="67"/>
      <c r="F82" s="15">
        <f>$D$23*$F$81</f>
        <v>37575.620337927649</v>
      </c>
      <c r="G82" s="47" t="str">
        <f>$D$23&amp;" πάσσαλοι × "&amp;ROUND($F$81,2)&amp;" €/πάσσαλο = "&amp;ROUND($F$82,2)&amp;" €"</f>
        <v>15 πάσσαλοι × 2505.04 €/πάσσαλο = 37575.62 €</v>
      </c>
    </row>
    <row r="83" spans="1:7" ht="24" customHeight="1" x14ac:dyDescent="0.35">
      <c r="A83" s="71" t="s">
        <v>198</v>
      </c>
      <c r="B83" s="65"/>
      <c r="C83" s="65"/>
      <c r="D83" s="65"/>
      <c r="E83" s="65"/>
      <c r="F83" s="65"/>
      <c r="G83" s="65"/>
    </row>
    <row r="84" spans="1:7" ht="28" customHeight="1" x14ac:dyDescent="0.35">
      <c r="A84" s="2" t="s">
        <v>30</v>
      </c>
      <c r="B84" s="2" t="s">
        <v>199</v>
      </c>
      <c r="C84" s="2" t="s">
        <v>6</v>
      </c>
      <c r="D84" s="2" t="s">
        <v>179</v>
      </c>
      <c r="E84" s="2" t="s">
        <v>7</v>
      </c>
      <c r="F84" s="2" t="s">
        <v>180</v>
      </c>
      <c r="G84" s="2" t="s">
        <v>200</v>
      </c>
    </row>
    <row r="85" spans="1:7" ht="30" customHeight="1" x14ac:dyDescent="0.35">
      <c r="A85" s="25" t="s">
        <v>201</v>
      </c>
      <c r="B85" s="35" t="s">
        <v>183</v>
      </c>
      <c r="C85" s="25" t="s">
        <v>12</v>
      </c>
      <c r="D85" s="26">
        <f>1</f>
        <v>1</v>
      </c>
      <c r="E85" s="6">
        <f>$D$15</f>
        <v>34.971428571428568</v>
      </c>
      <c r="F85" s="36">
        <f>$D$85*$E$85</f>
        <v>34.971428571428568</v>
      </c>
      <c r="G85" s="37" t="str">
        <f>"1 πάσσαλος × Επιμερισμένη μετακίνηση ("&amp;ROUND($D$15,2)&amp;" €) = "&amp;ROUND($F$85,2)&amp;" €/πάσσαλο (× "&amp;$E$23&amp;" πασσ. ομάδας = "&amp;ROUND($E$23*$F$85,2)&amp;" €)"</f>
        <v>1 πάσσαλος × Επιμερισμένη μετακίνηση (34.97 €) = 34.97 €/πάσσαλο (× 20 πασσ. ομάδας = 699.43 €)</v>
      </c>
    </row>
    <row r="86" spans="1:7" ht="30" customHeight="1" x14ac:dyDescent="0.35">
      <c r="A86" s="25" t="s">
        <v>202</v>
      </c>
      <c r="B86" s="35" t="s">
        <v>203</v>
      </c>
      <c r="C86" s="25" t="s">
        <v>15</v>
      </c>
      <c r="D86" s="38">
        <f>$E$114</f>
        <v>5</v>
      </c>
      <c r="E86" s="6">
        <f>'Τιμές &amp; Έλεγχος'!$D$10</f>
        <v>90</v>
      </c>
      <c r="F86" s="36">
        <f>$D$86*$E$86</f>
        <v>450</v>
      </c>
      <c r="G86" s="37" t="str">
        <f>"Μέτρα τρυπήματος/πάσσαλο = Ύψος πασσάλου ("&amp;ROUND($E$25,3)&amp;"m) + Κενό τρύπημα ("&amp;ROUND($E$112,3)&amp;"m) = "&amp;ROUND($D$86,2)&amp;" m/πάσσαλο × "&amp;ROUND($E$86,2)&amp;" €/m = "&amp;ROUND($F$86,2)&amp;" €/πάσσαλο (× "&amp;$E$23&amp;" πασσ. = "&amp;ROUND($E$23*$F$86,2)&amp;" €)"</f>
        <v>Μέτρα τρυπήματος/πάσσαλο = Ύψος πασσάλου (5m) + Κενό τρύπημα (0m) = 5 m/πάσσαλο × 90 €/m = 450 €/πάσσαλο (× 20 πασσ. = 9000 €)</v>
      </c>
    </row>
    <row r="87" spans="1:7" ht="30" customHeight="1" x14ac:dyDescent="0.35">
      <c r="A87" s="25" t="s">
        <v>204</v>
      </c>
      <c r="B87" s="35" t="str">
        <f>"Σκυρόδεμα πασσάλου "&amp;$D$18&amp;" με +"&amp;ROUND($D$101*100,0)&amp;"% απώλεια (m³ ανά 1 πάσσαλο)"</f>
        <v>Σκυρόδεμα πασσάλου C25/30 με +10% απώλεια (m³ ανά 1 πάσσαλο)</v>
      </c>
      <c r="C87" s="25" t="s">
        <v>19</v>
      </c>
      <c r="D87" s="38">
        <f>$E$117</f>
        <v>1.5550883635269477</v>
      </c>
      <c r="E87" s="9">
        <f>'Τιμές &amp; Έλεγχος'!$D$22</f>
        <v>120</v>
      </c>
      <c r="F87" s="36">
        <f>$D$87*$E$87</f>
        <v>186.61060362323371</v>
      </c>
      <c r="G87" s="37" t="str">
        <f>"Κυβικά κουγκριού/πάσσαλο = Εμβαδόν Ø"&amp;$E$24&amp;"mm × [Ύψος ("&amp;ROUND($E$25,3)&amp;"m) + Υπερκάλυψη ("&amp;ROUND($E$113,2)&amp;"m) = "&amp;ROUND($E$116,3)&amp;"m] × 1.10 = "&amp;ROUND($D$87,3)&amp;" m³/πάσσαλο × "&amp;ROUND($E$87,0)&amp;" €/m³ = "&amp;ROUND($F$87,2)&amp;" €/πάσσαλο (× "&amp;$E$23&amp;" πασσ. = "&amp;ROUND($E$23*$F$87,2)&amp;" €)"</f>
        <v>Κυβικά κουγκριού/πάσσαλο = Εμβαδόν Ø600mm × [Ύψος (5m) + Υπερκάλυψη (0m) = 5m] × 1.10 = 1.555 m³/πάσσαλο × 120 €/m³ = 186.61 €/πάσσαλο (× 20 πασσ. = 3732.21 €)</v>
      </c>
    </row>
    <row r="88" spans="1:7" ht="30" customHeight="1" x14ac:dyDescent="0.35">
      <c r="A88" s="39" t="s">
        <v>205</v>
      </c>
      <c r="B88" s="40" t="s">
        <v>188</v>
      </c>
      <c r="C88" s="39" t="s">
        <v>21</v>
      </c>
      <c r="D88" s="41">
        <f>$E$124</f>
        <v>146.73593886754526</v>
      </c>
      <c r="E88" s="42">
        <f>'Τιμές &amp; Έλεγχος'!$D$11</f>
        <v>1.1000000000000001</v>
      </c>
      <c r="F88" s="42">
        <f>$D$88*$E$88</f>
        <v>161.40953275429979</v>
      </c>
      <c r="G88" s="43" t="str">
        <f>$E$28&amp;" σίδερα Φ"&amp;$E$29&amp;" × Μήκος βέργας ("&amp;ROUND($E$122,3)&amp;"m με μάτιση "&amp;ROUND($E$33,2)&amp;"m) × "&amp;ROUND($E$123,3)&amp;" kg/m = "&amp;ROUND($D$88,2)&amp;" kg/πάσσαλο × "&amp;ROUND($E$88,2)&amp;" €/kg = "&amp;ROUND($F$88,2)&amp;" €/πάσσαλο"</f>
        <v>10 σίδερα Φ20 × Μήκος βέργας (5.95m με μάτιση 1m) × 2.466 kg/m = 146.74 kg/πάσσαλο × 1.1 €/kg = 161.41 €/πάσσαλο</v>
      </c>
    </row>
    <row r="89" spans="1:7" ht="30" customHeight="1" x14ac:dyDescent="0.35">
      <c r="A89" s="39" t="s">
        <v>206</v>
      </c>
      <c r="B89" s="40" t="s">
        <v>190</v>
      </c>
      <c r="C89" s="39" t="s">
        <v>21</v>
      </c>
      <c r="D89" s="41">
        <f>$E$127</f>
        <v>33.895922614991257</v>
      </c>
      <c r="E89" s="42">
        <f>'Τιμές &amp; Έλεγχος'!$D$11</f>
        <v>1.1000000000000001</v>
      </c>
      <c r="F89" s="42">
        <f>$D$89*$E$89</f>
        <v>37.285514876490389</v>
      </c>
      <c r="G89" s="43" t="str">
        <f>$E$125&amp;" σπείρες (με +1) × Περίμετρος ("&amp;ROUND($E$119,3)&amp;"m) × Βάρος Φ"&amp;$E$34&amp;" ("&amp;ROUND($E$126,3)&amp;" kg/m) = "&amp;ROUND($D$89,2)&amp;" kg/πάσσαλο × "&amp;ROUND($E$89,2)&amp;" €/kg = "&amp;ROUND($F$89,2)&amp;" €/πάσσαλο"</f>
        <v>35 σπείρες (με +1) × Περίμετρος (1.571m) × Βάρος Φ10 (0.617 kg/m) = 33.9 kg/πάσσαλο × 1.1 €/kg = 37.29 €/πάσσαλο</v>
      </c>
    </row>
    <row r="90" spans="1:7" ht="30" customHeight="1" x14ac:dyDescent="0.35">
      <c r="A90" s="39" t="s">
        <v>207</v>
      </c>
      <c r="B90" s="40" t="s">
        <v>192</v>
      </c>
      <c r="C90" s="39" t="s">
        <v>21</v>
      </c>
      <c r="D90" s="41">
        <f>$E$129</f>
        <v>2.9053647955706796</v>
      </c>
      <c r="E90" s="42">
        <f>'Τιμές &amp; Έλεγχος'!$D$11</f>
        <v>1.1000000000000001</v>
      </c>
      <c r="F90" s="42">
        <f>$D$90*$E$90</f>
        <v>3.1959012751277478</v>
      </c>
      <c r="G90" s="43" t="str">
        <f>$E$128&amp;" στεφάνια (χωρίς +1) × Περίμετρος ("&amp;ROUND($E$119,3)&amp;"m) × Βάρος Φ"&amp;$E$34&amp;" ("&amp;ROUND($E$126,3)&amp;" kg/m) = "&amp;ROUND($D$90,2)&amp;" kg/πάσσαλο × "&amp;ROUND($E$90,2)&amp;" €/kg = "&amp;ROUND($F$90,2)&amp;" €/πάσσαλο"</f>
        <v>3 στεφάνια (χωρίς +1) × Περίμετρος (1.571m) × Βάρος Φ10 (0.617 kg/m) = 2.91 kg/πάσσαλο × 1.1 €/kg = 3.2 €/πάσσαλο</v>
      </c>
    </row>
    <row r="91" spans="1:7" ht="30" customHeight="1" x14ac:dyDescent="0.35">
      <c r="A91" s="25" t="s">
        <v>208</v>
      </c>
      <c r="B91" s="35" t="s">
        <v>194</v>
      </c>
      <c r="C91" s="25" t="s">
        <v>21</v>
      </c>
      <c r="D91" s="44">
        <f>$E$131</f>
        <v>183.5372262781072</v>
      </c>
      <c r="E91" s="6">
        <f>'Τιμές &amp; Έλεγχος'!$D$11</f>
        <v>1.1000000000000001</v>
      </c>
      <c r="F91" s="36">
        <f>$D$91*$E$91</f>
        <v>201.89094890591792</v>
      </c>
      <c r="G91" s="37" t="str">
        <f>"Σύνολο σιδήρου/πάσσαλο = Κάθετα ("&amp;ROUND($E$124,2)&amp;" kg) + Σούστα ("&amp;ROUND($E$127,2)&amp;" kg) + Στεφάνια ("&amp;ROUND($E$129,2)&amp;" kg) = "&amp;ROUND($D$91,2)&amp;" kg/πάσσαλο × "&amp;ROUND($E$91,2)&amp;" €/kg = "&amp;ROUND($F$91,2)&amp;" €/πάσσαλο (× "&amp;$E$23&amp;" πασσ. = "&amp;ROUND($E$23*$F$91,2)&amp;" €)"</f>
        <v>Σύνολο σιδήρου/πάσσαλο = Κάθετα (146.74 kg) + Σούστα (33.9 kg) + Στεφάνια (2.91 kg) = 183.54 kg/πάσσαλο × 1.1 €/kg = 201.89 €/πάσσαλο (× 20 πασσ. = 4037.82 €)</v>
      </c>
    </row>
    <row r="92" spans="1:7" ht="30" customHeight="1" x14ac:dyDescent="0.35">
      <c r="A92" s="25" t="s">
        <v>209</v>
      </c>
      <c r="B92" s="35" t="str">
        <f>"Sleeves προστασίας αναμονών starter (Sleeve Φ32 για Φ"&amp;$E$29&amp;" — τεμ. ανά 1 πάσσαλο)"</f>
        <v>Sleeves προστασίας αναμονών starter (Sleeve Φ32 για Φ20 — τεμ. ανά 1 πάσσαλο)</v>
      </c>
      <c r="C92" s="25" t="s">
        <v>23</v>
      </c>
      <c r="D92" s="26">
        <f>$E$132</f>
        <v>0</v>
      </c>
      <c r="E92" s="6">
        <f>'Τιμές &amp; Έλεγχος'!$D$27</f>
        <v>3</v>
      </c>
      <c r="F92" s="36">
        <f>$D$92*$E$92</f>
        <v>0</v>
      </c>
      <c r="G92" s="37" t="str">
        <f>"((Κόστος αγοράς + Κόστος τοποθέτησης) × Profit, Waste, Overhead) = "&amp;ROUND('Τιμές &amp; Έλεγχος'!$D$26,2)&amp;" € → Στρογγυλεμένο = "&amp;ROUND($E$92,2)&amp;" €/τεμ. × "&amp;$D$92&amp;" τεμ./πάσσαλο = "&amp;ROUND($F$92,2)&amp;" €/πάσσαλο (× "&amp;$E$23&amp;" πασσ. = "&amp;ROUND($E$23*$F$92,2)&amp;" €)"</f>
        <v>((Κόστος αγοράς + Κόστος τοποθέτησης) × Profit, Waste, Overhead) = 2.87 € → Στρογγυλεμένο = 3 €/τεμ. × 0 τεμ./πάσσαλο = 0 €/πάσσαλο (× 20 πασσ. = 0 €)</v>
      </c>
    </row>
    <row r="93" spans="1:7" ht="30" customHeight="1" x14ac:dyDescent="0.35">
      <c r="A93" s="25" t="str">
        <f>IF('Τιμές &amp; Έλεγχος'!$D$36="ΝΑΙ","2Γ.2.6","")</f>
        <v>2Γ.2.6</v>
      </c>
      <c r="B93" s="35" t="str">
        <f>IF('Τιμές &amp; Έλεγχος'!$D$36="ΝΑΙ","Κεφαλοκοπή πασσάλου / Pile Breaking (τεμ. ανά 1 πάσσαλο)","")</f>
        <v>Κεφαλοκοπή πασσάλου / Pile Breaking (τεμ. ανά 1 πάσσαλο)</v>
      </c>
      <c r="C93" s="25" t="str">
        <f>IF('Τιμές &amp; Έλεγχος'!$D$36="ΝΑΙ","τεμ.","")</f>
        <v>τεμ.</v>
      </c>
      <c r="D93" s="45">
        <f>IF('Τιμές &amp; Έλεγχος'!$D$36="ΝΑΙ",$E$133,0)</f>
        <v>0</v>
      </c>
      <c r="E93" s="12">
        <f>IF('Τιμές &amp; Έλεγχος'!$D$36="ΝΑΙ",'Τιμές &amp; Έλεγχος'!$D$12,0)</f>
        <v>150</v>
      </c>
      <c r="F93" s="12">
        <f>$D$93*$E$93</f>
        <v>0</v>
      </c>
      <c r="G93" s="37" t="str">
        <f>IF('Τιμές &amp; Έλεγχος'!$D$36="ΝΑΙ","Κεφαλοκοπή/πάσσαλο = "&amp;$D$93&amp;" τεμ./πάσσαλο × "&amp;ROUND($E$93,2)&amp;" € = "&amp;ROUND($F$93,2)&amp;" €/πάσσαλο (× "&amp;$E$23&amp;" πασσ. = "&amp;ROUND($E$23*$F$93,2)&amp;" €)","")</f>
        <v>Κεφαλοκοπή/πάσσαλο = 0 τεμ./πάσσαλο × 150 € = 0 €/πάσσαλο (× 20 πασσ. = 0 €)</v>
      </c>
    </row>
    <row r="94" spans="1:7" ht="30" customHeight="1" x14ac:dyDescent="0.35">
      <c r="A94" s="25" t="str">
        <f>IF('Τιμές &amp; Έλεγχος'!$D$37="ΝΑΙ",IF('Τιμές &amp; Έλεγχος'!$D$36="ΝΑΙ","2Γ.2.7","2Γ.2.6"),"")</f>
        <v>2Γ.2.7</v>
      </c>
      <c r="B94" s="35" t="str">
        <f>IF('Τιμές &amp; Έλεγχος'!$D$37="ΝΑΙ","Απομάκρυνση εκσκαπτόμενου χώματος &amp; Λατομικά τέλη (m³ ανά 1 πάσσαλο)","")</f>
        <v>Απομάκρυνση εκσκαπτόμενου χώματος &amp; Λατομικά τέλη (m³ ανά 1 πάσσαλο)</v>
      </c>
      <c r="C94" s="25" t="str">
        <f>IF('Τιμές &amp; Έλεγχος'!$D$37="ΝΑΙ","m³","")</f>
        <v>m³</v>
      </c>
      <c r="D94" s="46">
        <f>IF('Τιμές &amp; Έλεγχος'!$D$37="ΝΑΙ",$E$115,0)</f>
        <v>1.4137166941154069</v>
      </c>
      <c r="E94" s="12">
        <f>IF('Τιμές &amp; Έλεγχος'!$D$37="ΝΑΙ",'Τιμές &amp; Έλεγχος'!$D$38,0)</f>
        <v>15</v>
      </c>
      <c r="F94" s="12">
        <f>$D$94*$E$94</f>
        <v>21.205750411731103</v>
      </c>
      <c r="G94" s="37" t="str">
        <f>IF('Τιμές &amp; Έλεγχος'!$D$37="ΝΑΙ","Όγκος εκσκαφής/πάσσαλο = Εμβαδόν Ø"&amp;$E$24&amp;"mm × Βάθος τρυπήματος ("&amp;ROUND($E$114,2)&amp;"m) = "&amp;ROUND($D$94,2)&amp;" m³/πάσσαλο × "&amp;ROUND($E$94,2)&amp;" €/m³ = "&amp;ROUND($F$94,2)&amp;" €/πάσσαλο (× "&amp;$E$23&amp;" πασσ. = "&amp;ROUND($E$23*$F$94,2)&amp;" €)","")</f>
        <v>Όγκος εκσκαφής/πάσσαλο = Εμβαδόν Ø600mm × Βάθος τρυπήματος (5m) = 1.41 m³/πάσσαλο × 15 €/m³ = 21.21 €/πάσσαλο (× 20 πασσ. = 424.12 €)</v>
      </c>
    </row>
    <row r="95" spans="1:7" ht="24" customHeight="1" x14ac:dyDescent="0.35">
      <c r="A95" s="73" t="s">
        <v>210</v>
      </c>
      <c r="B95" s="74"/>
      <c r="C95" s="74"/>
      <c r="D95" s="74"/>
      <c r="E95" s="74"/>
      <c r="F95" s="48">
        <f>$F$85+$F$86+$F$87+$F$91+$F$92+$F$93+$F$94</f>
        <v>894.67873151231129</v>
      </c>
      <c r="G95" s="49" t="str">
        <f>"Κόστος για 1 πάσσαλο Τύπου 2 = "&amp;ROUND($F$95,2)&amp;" €/πάσσαλο"</f>
        <v>Κόστος για 1 πάσσαλο Τύπου 2 = 894.68 €/πάσσαλο</v>
      </c>
    </row>
    <row r="96" spans="1:7" ht="24" customHeight="1" x14ac:dyDescent="0.35">
      <c r="A96" s="66" t="s">
        <v>211</v>
      </c>
      <c r="B96" s="67"/>
      <c r="C96" s="67"/>
      <c r="D96" s="67"/>
      <c r="E96" s="67"/>
      <c r="F96" s="15">
        <f>$E$23*$F$95</f>
        <v>17893.574630246225</v>
      </c>
      <c r="G96" s="47" t="str">
        <f>$E$23&amp;" πάσσαλοι × "&amp;ROUND($F$95,2)&amp;" €/πάσσαλο = "&amp;ROUND($F$96,2)&amp;" €"</f>
        <v>20 πάσσαλοι × 894.68 €/πάσσαλο = 17893.57 €</v>
      </c>
    </row>
    <row r="97" spans="1:7" ht="26" customHeight="1" x14ac:dyDescent="0.35">
      <c r="A97" s="66" t="s">
        <v>212</v>
      </c>
      <c r="B97" s="67"/>
      <c r="C97" s="67"/>
      <c r="D97" s="67"/>
      <c r="E97" s="67"/>
      <c r="F97" s="15">
        <f>$F$82+$F$96</f>
        <v>55469.194968173877</v>
      </c>
      <c r="G97" s="47" t="str">
        <f>"Επαλήθευση: Άθροισμα ομάδων 2Γ ("&amp;ROUND($F$97,2)&amp;" €) = Γενικό Σύνολο Προσφοράς ("&amp;ROUND('Οικονομική Προσφορά'!$F$16,2)&amp;" €)"</f>
        <v>Επαλήθευση: Άθροισμα ομάδων 2Γ (55469.19 €) = Γενικό Σύνολο Προσφοράς (55469.19 €)</v>
      </c>
    </row>
    <row r="99" spans="1:7" x14ac:dyDescent="0.35">
      <c r="A99" s="18" t="s">
        <v>213</v>
      </c>
    </row>
    <row r="100" spans="1:7" ht="30" customHeight="1" x14ac:dyDescent="0.35">
      <c r="A100" s="2" t="s">
        <v>30</v>
      </c>
      <c r="B100" s="2" t="s">
        <v>214</v>
      </c>
      <c r="C100" s="2" t="s">
        <v>6</v>
      </c>
      <c r="D100" s="2" t="s">
        <v>32</v>
      </c>
      <c r="E100" s="2"/>
      <c r="F100" s="2"/>
      <c r="G100" s="2" t="s">
        <v>215</v>
      </c>
    </row>
    <row r="101" spans="1:7" x14ac:dyDescent="0.35">
      <c r="A101" s="3" t="s">
        <v>216</v>
      </c>
      <c r="B101" s="19" t="s">
        <v>217</v>
      </c>
      <c r="C101" s="3" t="s">
        <v>218</v>
      </c>
      <c r="D101" s="50">
        <v>0.1</v>
      </c>
      <c r="G101" s="17" t="s">
        <v>219</v>
      </c>
    </row>
    <row r="102" spans="1:7" x14ac:dyDescent="0.35">
      <c r="A102" s="3" t="s">
        <v>220</v>
      </c>
      <c r="B102" s="19" t="s">
        <v>221</v>
      </c>
      <c r="C102" s="3" t="s">
        <v>71</v>
      </c>
      <c r="D102" s="5">
        <v>7850</v>
      </c>
      <c r="G102" s="17" t="s">
        <v>222</v>
      </c>
    </row>
    <row r="103" spans="1:7" x14ac:dyDescent="0.35">
      <c r="A103" s="3" t="s">
        <v>223</v>
      </c>
      <c r="B103" s="19" t="s">
        <v>224</v>
      </c>
      <c r="C103" s="3" t="s">
        <v>15</v>
      </c>
      <c r="D103" s="8">
        <v>12</v>
      </c>
      <c r="G103" s="17" t="s">
        <v>225</v>
      </c>
    </row>
    <row r="104" spans="1:7" x14ac:dyDescent="0.35">
      <c r="A104" s="3" t="s">
        <v>226</v>
      </c>
      <c r="B104" s="19" t="s">
        <v>227</v>
      </c>
      <c r="C104" s="3" t="s">
        <v>71</v>
      </c>
      <c r="D104" s="22">
        <v>50</v>
      </c>
      <c r="G104" s="17" t="s">
        <v>228</v>
      </c>
    </row>
    <row r="105" spans="1:7" x14ac:dyDescent="0.35">
      <c r="A105" s="3" t="s">
        <v>229</v>
      </c>
      <c r="B105" s="19" t="s">
        <v>230</v>
      </c>
      <c r="C105" s="3" t="s">
        <v>15</v>
      </c>
      <c r="D105" s="8">
        <v>2</v>
      </c>
      <c r="G105" s="17" t="s">
        <v>231</v>
      </c>
    </row>
    <row r="106" spans="1:7" x14ac:dyDescent="0.35">
      <c r="A106" s="3" t="s">
        <v>232</v>
      </c>
      <c r="B106" s="19" t="s">
        <v>233</v>
      </c>
      <c r="C106" s="3" t="s">
        <v>71</v>
      </c>
      <c r="D106" s="24">
        <f>PI()</f>
        <v>3.1415926535897931</v>
      </c>
      <c r="G106" s="17" t="s">
        <v>234</v>
      </c>
    </row>
    <row r="107" spans="1:7" x14ac:dyDescent="0.35">
      <c r="A107" s="3" t="s">
        <v>235</v>
      </c>
      <c r="B107" s="19" t="s">
        <v>236</v>
      </c>
      <c r="C107" s="3" t="s">
        <v>15</v>
      </c>
      <c r="D107" s="8">
        <v>0.1</v>
      </c>
      <c r="G107" s="17" t="s">
        <v>237</v>
      </c>
    </row>
    <row r="108" spans="1:7" x14ac:dyDescent="0.35">
      <c r="A108" s="3" t="s">
        <v>238</v>
      </c>
      <c r="B108" s="19" t="s">
        <v>239</v>
      </c>
      <c r="C108" s="3" t="s">
        <v>15</v>
      </c>
      <c r="D108" s="8">
        <v>0.5</v>
      </c>
      <c r="G108" s="17" t="s">
        <v>240</v>
      </c>
    </row>
    <row r="110" spans="1:7" x14ac:dyDescent="0.35">
      <c r="A110" s="18" t="s">
        <v>241</v>
      </c>
    </row>
    <row r="111" spans="1:7" ht="30" customHeight="1" x14ac:dyDescent="0.35">
      <c r="A111" s="2" t="s">
        <v>242</v>
      </c>
      <c r="B111" s="2" t="s">
        <v>243</v>
      </c>
      <c r="C111" s="2" t="s">
        <v>6</v>
      </c>
      <c r="D111" s="2" t="s">
        <v>244</v>
      </c>
      <c r="E111" s="2" t="s">
        <v>245</v>
      </c>
      <c r="F111" s="2" t="s">
        <v>142</v>
      </c>
      <c r="G111" s="2" t="s">
        <v>246</v>
      </c>
    </row>
    <row r="112" spans="1:7" x14ac:dyDescent="0.35">
      <c r="A112" s="3" t="s">
        <v>10</v>
      </c>
      <c r="B112" s="19" t="s">
        <v>247</v>
      </c>
      <c r="C112" s="3" t="s">
        <v>15</v>
      </c>
      <c r="D112" s="23">
        <v>0</v>
      </c>
      <c r="E112" s="23">
        <v>0</v>
      </c>
      <c r="F112" s="3" t="s">
        <v>134</v>
      </c>
      <c r="G112" s="17" t="s">
        <v>248</v>
      </c>
    </row>
    <row r="113" spans="1:7" x14ac:dyDescent="0.35">
      <c r="A113" s="3" t="s">
        <v>249</v>
      </c>
      <c r="B113" s="19" t="s">
        <v>250</v>
      </c>
      <c r="C113" s="3" t="s">
        <v>15</v>
      </c>
      <c r="D113" s="8">
        <f>IF($D$112&gt;0,MIN($D$105,$D$112),0)</f>
        <v>0</v>
      </c>
      <c r="E113" s="8">
        <f>IF($E$112&gt;0,MIN($D$105,$E$112),0)</f>
        <v>0</v>
      </c>
      <c r="F113" s="3" t="s">
        <v>134</v>
      </c>
      <c r="G113" s="17" t="s">
        <v>251</v>
      </c>
    </row>
    <row r="114" spans="1:7" x14ac:dyDescent="0.35">
      <c r="A114" s="3" t="s">
        <v>18</v>
      </c>
      <c r="B114" s="19" t="s">
        <v>252</v>
      </c>
      <c r="C114" s="3" t="s">
        <v>15</v>
      </c>
      <c r="D114" s="8">
        <f>$D$25+MAX(0,$D$112)</f>
        <v>10</v>
      </c>
      <c r="E114" s="8">
        <f>$E$25+MAX(0,$E$112)</f>
        <v>5</v>
      </c>
      <c r="F114" s="38">
        <f>$D$23*$D$114+$E$23*$E$114</f>
        <v>250</v>
      </c>
      <c r="G114" s="17" t="s">
        <v>253</v>
      </c>
    </row>
    <row r="115" spans="1:7" x14ac:dyDescent="0.35">
      <c r="A115" s="3" t="s">
        <v>20</v>
      </c>
      <c r="B115" s="19" t="s">
        <v>254</v>
      </c>
      <c r="C115" s="3" t="s">
        <v>19</v>
      </c>
      <c r="D115" s="8">
        <f>$D$106*($D$24/1000)^2/4*$D$114</f>
        <v>5.026548245743669</v>
      </c>
      <c r="E115" s="8">
        <f>$D$106*($E$24/1000)^2/4*$E$114</f>
        <v>1.4137166941154069</v>
      </c>
      <c r="F115" s="38">
        <f>$D$23*$D$115+$E$23*$E$115</f>
        <v>103.67255756846318</v>
      </c>
      <c r="G115" s="17" t="s">
        <v>255</v>
      </c>
    </row>
    <row r="116" spans="1:7" x14ac:dyDescent="0.35">
      <c r="A116" s="3" t="s">
        <v>22</v>
      </c>
      <c r="B116" s="19" t="s">
        <v>256</v>
      </c>
      <c r="C116" s="3" t="s">
        <v>15</v>
      </c>
      <c r="D116" s="8">
        <f>$D$25+$D$113</f>
        <v>10</v>
      </c>
      <c r="E116" s="8">
        <f>$E$25+$E$113</f>
        <v>5</v>
      </c>
      <c r="F116" s="3" t="s">
        <v>134</v>
      </c>
      <c r="G116" s="17" t="s">
        <v>257</v>
      </c>
    </row>
    <row r="117" spans="1:7" x14ac:dyDescent="0.35">
      <c r="A117" s="3" t="s">
        <v>258</v>
      </c>
      <c r="B117" s="19" t="s">
        <v>259</v>
      </c>
      <c r="C117" s="3" t="s">
        <v>19</v>
      </c>
      <c r="D117" s="8">
        <f>$D$106*($D$24/1000)^2/4*$D$116*(1+$D$101)</f>
        <v>5.5292030703180366</v>
      </c>
      <c r="E117" s="8">
        <f>$D$106*($E$24/1000)^2/4*$E$116*(1+$D$101)</f>
        <v>1.5550883635269477</v>
      </c>
      <c r="F117" s="38">
        <f>$D$23*$D$117+$E$23*$E$117</f>
        <v>114.03981332530951</v>
      </c>
      <c r="G117" s="17" t="s">
        <v>260</v>
      </c>
    </row>
    <row r="118" spans="1:7" x14ac:dyDescent="0.35">
      <c r="A118" s="3" t="s">
        <v>261</v>
      </c>
      <c r="B118" s="19" t="s">
        <v>262</v>
      </c>
      <c r="C118" s="3" t="s">
        <v>76</v>
      </c>
      <c r="D118" s="22">
        <f>$D$24-2*$D$19</f>
        <v>700</v>
      </c>
      <c r="E118" s="22">
        <f>$E$24-2*$D$19</f>
        <v>500</v>
      </c>
      <c r="F118" s="3" t="s">
        <v>134</v>
      </c>
      <c r="G118" s="17" t="s">
        <v>263</v>
      </c>
    </row>
    <row r="119" spans="1:7" x14ac:dyDescent="0.35">
      <c r="A119" s="3" t="s">
        <v>264</v>
      </c>
      <c r="B119" s="19" t="s">
        <v>265</v>
      </c>
      <c r="C119" s="3" t="s">
        <v>15</v>
      </c>
      <c r="D119" s="8">
        <f>$D$106*$D$118/1000</f>
        <v>2.1991148575128552</v>
      </c>
      <c r="E119" s="8">
        <f>$D$106*$E$118/1000</f>
        <v>1.5707963267948966</v>
      </c>
      <c r="F119" s="3" t="s">
        <v>134</v>
      </c>
      <c r="G119" s="17" t="s">
        <v>266</v>
      </c>
    </row>
    <row r="120" spans="1:7" x14ac:dyDescent="0.35">
      <c r="A120" s="3" t="s">
        <v>267</v>
      </c>
      <c r="B120" s="19" t="s">
        <v>268</v>
      </c>
      <c r="C120" s="3" t="s">
        <v>15</v>
      </c>
      <c r="D120" s="8">
        <f>$D$25+$D$30+$D$31+$D$32</f>
        <v>10.95</v>
      </c>
      <c r="E120" s="8">
        <f>$E$25+$E$30+$E$31+$E$32</f>
        <v>5.95</v>
      </c>
      <c r="F120" s="3" t="s">
        <v>134</v>
      </c>
      <c r="G120" s="17" t="s">
        <v>269</v>
      </c>
    </row>
    <row r="121" spans="1:7" x14ac:dyDescent="0.35">
      <c r="A121" s="3" t="s">
        <v>270</v>
      </c>
      <c r="B121" s="19" t="s">
        <v>271</v>
      </c>
      <c r="C121" s="3" t="s">
        <v>23</v>
      </c>
      <c r="D121" s="5">
        <f>IF($D$120&gt;$D$103,INT(($D$120-0.001)/$D$103),0)</f>
        <v>0</v>
      </c>
      <c r="E121" s="5">
        <f>IF($E$120&gt;$D$103,INT(($E$120-0.001)/$D$103),0)</f>
        <v>0</v>
      </c>
      <c r="F121" s="3" t="s">
        <v>134</v>
      </c>
      <c r="G121" s="17" t="s">
        <v>272</v>
      </c>
    </row>
    <row r="122" spans="1:7" x14ac:dyDescent="0.35">
      <c r="A122" s="3" t="s">
        <v>273</v>
      </c>
      <c r="B122" s="19" t="s">
        <v>274</v>
      </c>
      <c r="C122" s="3" t="s">
        <v>15</v>
      </c>
      <c r="D122" s="8">
        <f>$D$120+$D$121*$D$33</f>
        <v>10.95</v>
      </c>
      <c r="E122" s="8">
        <f>$E$120+$E$121*$E$33</f>
        <v>5.95</v>
      </c>
      <c r="F122" s="3" t="s">
        <v>134</v>
      </c>
      <c r="G122" s="17" t="s">
        <v>275</v>
      </c>
    </row>
    <row r="123" spans="1:7" x14ac:dyDescent="0.35">
      <c r="A123" s="3" t="s">
        <v>276</v>
      </c>
      <c r="B123" s="19" t="s">
        <v>277</v>
      </c>
      <c r="C123" s="3" t="s">
        <v>278</v>
      </c>
      <c r="D123" s="51">
        <f>$D$106*($D$29/1000)^2/4*$D$102</f>
        <v>2.4661502330679874</v>
      </c>
      <c r="E123" s="51">
        <f>$D$106*($E$29/1000)^2/4*$D$102</f>
        <v>2.4661502330679874</v>
      </c>
      <c r="F123" s="3" t="s">
        <v>134</v>
      </c>
      <c r="G123" s="17" t="s">
        <v>279</v>
      </c>
    </row>
    <row r="124" spans="1:7" x14ac:dyDescent="0.35">
      <c r="A124" s="3" t="s">
        <v>280</v>
      </c>
      <c r="B124" s="19" t="s">
        <v>281</v>
      </c>
      <c r="C124" s="3" t="s">
        <v>21</v>
      </c>
      <c r="D124" s="10">
        <f>$D$28*$D$122*$D$123</f>
        <v>432.06952083351138</v>
      </c>
      <c r="E124" s="10">
        <f>$E$28*$E$122*$E$123</f>
        <v>146.73593886754526</v>
      </c>
      <c r="F124" s="44">
        <f>$D$23*$D$124+$E$23*$E$124</f>
        <v>9415.7615898535769</v>
      </c>
      <c r="G124" s="17" t="s">
        <v>282</v>
      </c>
    </row>
    <row r="125" spans="1:7" ht="24" x14ac:dyDescent="0.35">
      <c r="A125" s="3" t="s">
        <v>283</v>
      </c>
      <c r="B125" s="19" t="s">
        <v>284</v>
      </c>
      <c r="C125" s="3" t="s">
        <v>23</v>
      </c>
      <c r="D125" s="5">
        <f>ROUNDUP(ROUND(MIN($D$25,2*$D$36)*1000/$D$35+MAX(0,$D$25-2*$D$36)*1000/$D$37,6),0)+1</f>
        <v>68</v>
      </c>
      <c r="E125" s="5">
        <f>ROUNDUP(ROUND(MIN($E$25,2*$E$36)*1000/$E$35+MAX(0,$E$25-2*$E$36)*1000/$E$37,6),0)+1</f>
        <v>35</v>
      </c>
      <c r="F125" s="3" t="s">
        <v>134</v>
      </c>
      <c r="G125" s="17" t="s">
        <v>285</v>
      </c>
    </row>
    <row r="126" spans="1:7" x14ac:dyDescent="0.35">
      <c r="A126" s="3" t="s">
        <v>286</v>
      </c>
      <c r="B126" s="19" t="s">
        <v>287</v>
      </c>
      <c r="C126" s="3" t="s">
        <v>278</v>
      </c>
      <c r="D126" s="51">
        <f>$D$106*($D$34/1000)^2/4*$D$102</f>
        <v>0.61653755826699685</v>
      </c>
      <c r="E126" s="51">
        <f>$D$106*($E$34/1000)^2/4*$D$102</f>
        <v>0.61653755826699685</v>
      </c>
      <c r="F126" s="3" t="s">
        <v>134</v>
      </c>
      <c r="G126" s="17" t="s">
        <v>288</v>
      </c>
    </row>
    <row r="127" spans="1:7" x14ac:dyDescent="0.35">
      <c r="A127" s="3" t="s">
        <v>289</v>
      </c>
      <c r="B127" s="19" t="s">
        <v>290</v>
      </c>
      <c r="C127" s="3" t="s">
        <v>21</v>
      </c>
      <c r="D127" s="10">
        <f>$D$125*$D$119*$D$126</f>
        <v>92.19690951277623</v>
      </c>
      <c r="E127" s="10">
        <f>$E$125*$E$119*$E$126</f>
        <v>33.895922614991257</v>
      </c>
      <c r="F127" s="44">
        <f>$D$23*$D$127+$E$23*$E$127</f>
        <v>2060.8720949914687</v>
      </c>
      <c r="G127" s="17" t="s">
        <v>291</v>
      </c>
    </row>
    <row r="128" spans="1:7" x14ac:dyDescent="0.35">
      <c r="A128" s="3" t="s">
        <v>292</v>
      </c>
      <c r="B128" s="19" t="s">
        <v>293</v>
      </c>
      <c r="C128" s="3" t="s">
        <v>23</v>
      </c>
      <c r="D128" s="5">
        <f>ROUNDUP(ROUND($D$30*1000/IF($D$36&gt;0,$D$35,$D$37),6),0)</f>
        <v>3</v>
      </c>
      <c r="E128" s="5">
        <f>ROUNDUP(ROUND($E$30*1000/IF($E$36&gt;0,$E$35,$E$37),6),0)</f>
        <v>3</v>
      </c>
      <c r="F128" s="3" t="s">
        <v>134</v>
      </c>
      <c r="G128" s="17" t="s">
        <v>294</v>
      </c>
    </row>
    <row r="129" spans="1:7" x14ac:dyDescent="0.35">
      <c r="A129" s="3" t="s">
        <v>295</v>
      </c>
      <c r="B129" s="19" t="s">
        <v>296</v>
      </c>
      <c r="C129" s="3" t="s">
        <v>21</v>
      </c>
      <c r="D129" s="10">
        <f>$D$128*$D$119*$D$126</f>
        <v>4.067510713798951</v>
      </c>
      <c r="E129" s="10">
        <f>$E$128*$E$119*$E$126</f>
        <v>2.9053647955706796</v>
      </c>
      <c r="F129" s="44">
        <f>$D$23*$D$129+$E$23*$E$129</f>
        <v>119.11995661839785</v>
      </c>
      <c r="G129" s="17" t="s">
        <v>297</v>
      </c>
    </row>
    <row r="130" spans="1:7" x14ac:dyDescent="0.35">
      <c r="A130" s="3" t="s">
        <v>298</v>
      </c>
      <c r="B130" s="19" t="s">
        <v>299</v>
      </c>
      <c r="C130" s="3" t="s">
        <v>21</v>
      </c>
      <c r="D130" s="10">
        <f>$D$39*$D$41*$D$106*($D$40/1000)^2/4*$D$102</f>
        <v>0</v>
      </c>
      <c r="E130" s="10">
        <f>$E$39*$E$41*$D$106*($E$40/1000)^2/4*$D$102</f>
        <v>0</v>
      </c>
      <c r="F130" s="44">
        <f>$D$23*$D$130+$E$23*$E$130</f>
        <v>0</v>
      </c>
      <c r="G130" s="17" t="s">
        <v>300</v>
      </c>
    </row>
    <row r="131" spans="1:7" x14ac:dyDescent="0.35">
      <c r="A131" s="3" t="s">
        <v>301</v>
      </c>
      <c r="B131" s="19" t="s">
        <v>302</v>
      </c>
      <c r="C131" s="3" t="s">
        <v>21</v>
      </c>
      <c r="D131" s="10">
        <f>$D$124+$D$127+$D$129+$D$130</f>
        <v>528.33394106008654</v>
      </c>
      <c r="E131" s="10">
        <f>$E$124+$E$127+$E$129+$E$130</f>
        <v>183.5372262781072</v>
      </c>
      <c r="F131" s="44">
        <f>$D$23*$D$131+$E$23*$E$131</f>
        <v>11595.753641463441</v>
      </c>
      <c r="G131" s="17" t="s">
        <v>303</v>
      </c>
    </row>
    <row r="132" spans="1:7" x14ac:dyDescent="0.35">
      <c r="A132" s="3" t="s">
        <v>304</v>
      </c>
      <c r="B132" s="19" t="s">
        <v>305</v>
      </c>
      <c r="C132" s="3" t="s">
        <v>23</v>
      </c>
      <c r="D132" s="5">
        <f>IF($D$112&gt;0,$D$28,0)</f>
        <v>0</v>
      </c>
      <c r="E132" s="5">
        <f>IF($E$112&gt;0,$E$28,0)</f>
        <v>0</v>
      </c>
      <c r="F132" s="26">
        <f>$D$23*$D$132+$E$23*$E$132</f>
        <v>0</v>
      </c>
      <c r="G132" s="17" t="s">
        <v>306</v>
      </c>
    </row>
    <row r="133" spans="1:7" x14ac:dyDescent="0.35">
      <c r="A133" s="3" t="s">
        <v>307</v>
      </c>
      <c r="B133" s="19" t="s">
        <v>308</v>
      </c>
      <c r="C133" s="3" t="s">
        <v>23</v>
      </c>
      <c r="D133" s="5">
        <f>IF($D$112&gt;0,1,0)</f>
        <v>0</v>
      </c>
      <c r="E133" s="5">
        <f>IF($E$112&gt;0,1,0)</f>
        <v>0</v>
      </c>
      <c r="F133" s="26">
        <f>$D$23*$D$133+$E$23*$E$133</f>
        <v>0</v>
      </c>
      <c r="G133" s="17" t="s">
        <v>309</v>
      </c>
    </row>
    <row r="135" spans="1:7" x14ac:dyDescent="0.35">
      <c r="A135" s="18" t="s">
        <v>310</v>
      </c>
    </row>
    <row r="136" spans="1:7" x14ac:dyDescent="0.35">
      <c r="A136" s="2" t="s">
        <v>3</v>
      </c>
      <c r="B136" s="2" t="s">
        <v>311</v>
      </c>
      <c r="C136" s="2" t="s">
        <v>312</v>
      </c>
      <c r="D136" s="2" t="s">
        <v>32</v>
      </c>
      <c r="E136" s="72" t="s">
        <v>313</v>
      </c>
      <c r="F136" s="65"/>
      <c r="G136" s="65"/>
    </row>
    <row r="137" spans="1:7" ht="45" customHeight="1" x14ac:dyDescent="0.35">
      <c r="A137" s="3" t="s">
        <v>10</v>
      </c>
      <c r="B137" s="4" t="s">
        <v>314</v>
      </c>
      <c r="C137" s="52" t="s">
        <v>315</v>
      </c>
      <c r="D137" s="3" t="s">
        <v>316</v>
      </c>
      <c r="E137" s="68" t="s">
        <v>317</v>
      </c>
      <c r="F137" s="65"/>
      <c r="G137" s="65"/>
    </row>
    <row r="138" spans="1:7" ht="30" customHeight="1" x14ac:dyDescent="0.35">
      <c r="A138" s="3" t="s">
        <v>249</v>
      </c>
      <c r="B138" s="4" t="s">
        <v>318</v>
      </c>
      <c r="C138" s="53" t="s">
        <v>319</v>
      </c>
      <c r="D138" s="3" t="s">
        <v>320</v>
      </c>
      <c r="E138" s="68" t="s">
        <v>321</v>
      </c>
      <c r="F138" s="65"/>
      <c r="G138" s="65"/>
    </row>
    <row r="139" spans="1:7" ht="30" customHeight="1" x14ac:dyDescent="0.35">
      <c r="A139" s="3" t="s">
        <v>18</v>
      </c>
      <c r="B139" s="4" t="s">
        <v>322</v>
      </c>
      <c r="C139" s="53" t="s">
        <v>319</v>
      </c>
      <c r="D139" s="3" t="s">
        <v>323</v>
      </c>
      <c r="E139" s="68" t="s">
        <v>324</v>
      </c>
      <c r="F139" s="65"/>
      <c r="G139" s="65"/>
    </row>
    <row r="140" spans="1:7" ht="30" customHeight="1" x14ac:dyDescent="0.35">
      <c r="A140" s="3" t="s">
        <v>20</v>
      </c>
      <c r="B140" s="4" t="s">
        <v>325</v>
      </c>
      <c r="C140" s="54" t="s">
        <v>326</v>
      </c>
      <c r="D140" s="3" t="s">
        <v>327</v>
      </c>
      <c r="E140" s="68" t="s">
        <v>328</v>
      </c>
      <c r="F140" s="65"/>
      <c r="G140" s="65"/>
    </row>
    <row r="141" spans="1:7" ht="30" customHeight="1" x14ac:dyDescent="0.35">
      <c r="A141" s="3" t="s">
        <v>22</v>
      </c>
      <c r="B141" s="4" t="s">
        <v>329</v>
      </c>
      <c r="C141" s="54" t="s">
        <v>326</v>
      </c>
      <c r="D141" s="3" t="s">
        <v>330</v>
      </c>
      <c r="E141" s="68" t="s">
        <v>331</v>
      </c>
      <c r="F141" s="65"/>
      <c r="G141" s="65"/>
    </row>
    <row r="142" spans="1:7" ht="45" customHeight="1" x14ac:dyDescent="0.35">
      <c r="A142" s="3" t="s">
        <v>258</v>
      </c>
      <c r="B142" s="4" t="s">
        <v>332</v>
      </c>
      <c r="C142" s="54" t="s">
        <v>326</v>
      </c>
      <c r="D142" s="3" t="s">
        <v>333</v>
      </c>
      <c r="E142" s="68" t="s">
        <v>334</v>
      </c>
      <c r="F142" s="65"/>
      <c r="G142" s="65"/>
    </row>
    <row r="143" spans="1:7" ht="15" customHeight="1" x14ac:dyDescent="0.35">
      <c r="A143" s="3" t="s">
        <v>261</v>
      </c>
      <c r="B143" s="4" t="s">
        <v>335</v>
      </c>
      <c r="C143" s="54" t="s">
        <v>326</v>
      </c>
      <c r="D143" s="3" t="s">
        <v>72</v>
      </c>
      <c r="E143" s="68" t="s">
        <v>336</v>
      </c>
      <c r="F143" s="65"/>
      <c r="G143" s="65"/>
    </row>
    <row r="144" spans="1:7" ht="15" customHeight="1" x14ac:dyDescent="0.35">
      <c r="A144" s="3" t="s">
        <v>264</v>
      </c>
      <c r="B144" s="4" t="s">
        <v>337</v>
      </c>
      <c r="C144" s="54" t="s">
        <v>326</v>
      </c>
      <c r="D144" s="3" t="s">
        <v>338</v>
      </c>
      <c r="E144" s="68" t="s">
        <v>339</v>
      </c>
      <c r="F144" s="65"/>
      <c r="G144" s="65"/>
    </row>
    <row r="145" spans="1:7" ht="45" customHeight="1" x14ac:dyDescent="0.35">
      <c r="A145" s="3" t="s">
        <v>267</v>
      </c>
      <c r="B145" s="4" t="s">
        <v>340</v>
      </c>
      <c r="C145" s="52" t="s">
        <v>315</v>
      </c>
      <c r="D145" s="3" t="s">
        <v>341</v>
      </c>
      <c r="E145" s="68" t="s">
        <v>342</v>
      </c>
      <c r="F145" s="65"/>
      <c r="G145" s="65"/>
    </row>
    <row r="146" spans="1:7" ht="30" customHeight="1" x14ac:dyDescent="0.35">
      <c r="A146" s="3" t="s">
        <v>270</v>
      </c>
      <c r="B146" s="4" t="s">
        <v>343</v>
      </c>
      <c r="C146" s="52" t="s">
        <v>315</v>
      </c>
      <c r="D146" s="3" t="s">
        <v>344</v>
      </c>
      <c r="E146" s="68" t="s">
        <v>345</v>
      </c>
      <c r="F146" s="65"/>
      <c r="G146" s="65"/>
    </row>
    <row r="147" spans="1:7" ht="45" customHeight="1" x14ac:dyDescent="0.35">
      <c r="A147" s="3" t="s">
        <v>273</v>
      </c>
      <c r="B147" s="4" t="s">
        <v>346</v>
      </c>
      <c r="C147" s="55" t="s">
        <v>347</v>
      </c>
      <c r="D147" s="3" t="s">
        <v>348</v>
      </c>
      <c r="E147" s="68" t="s">
        <v>349</v>
      </c>
      <c r="F147" s="65"/>
      <c r="G147" s="65"/>
    </row>
    <row r="148" spans="1:7" x14ac:dyDescent="0.35">
      <c r="A148" s="1" t="s">
        <v>350</v>
      </c>
    </row>
  </sheetData>
  <mergeCells count="21">
    <mergeCell ref="E147:G147"/>
    <mergeCell ref="E138:G138"/>
    <mergeCell ref="E146:G146"/>
    <mergeCell ref="E145:G145"/>
    <mergeCell ref="E139:G139"/>
    <mergeCell ref="A97:E97"/>
    <mergeCell ref="A81:E81"/>
    <mergeCell ref="A96:E96"/>
    <mergeCell ref="E142:G142"/>
    <mergeCell ref="E141:G141"/>
    <mergeCell ref="E140:G140"/>
    <mergeCell ref="E144:G144"/>
    <mergeCell ref="E136:G136"/>
    <mergeCell ref="A1:G1"/>
    <mergeCell ref="A95:E95"/>
    <mergeCell ref="A69:G69"/>
    <mergeCell ref="E143:G143"/>
    <mergeCell ref="E137:G137"/>
    <mergeCell ref="A82:E82"/>
    <mergeCell ref="A83:G83"/>
    <mergeCell ref="A66:E6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2"/>
  <sheetViews>
    <sheetView workbookViewId="0"/>
  </sheetViews>
  <sheetFormatPr defaultRowHeight="14.5" x14ac:dyDescent="0.35"/>
  <cols>
    <col min="1" max="1" width="10" customWidth="1"/>
    <col min="2" max="2" width="60" customWidth="1"/>
    <col min="3" max="3" width="12" customWidth="1"/>
    <col min="4" max="4" width="22" customWidth="1"/>
    <col min="5" max="5" width="38" customWidth="1"/>
    <col min="6" max="6" width="54" customWidth="1"/>
  </cols>
  <sheetData>
    <row r="1" spans="1:26" ht="28" customHeight="1" x14ac:dyDescent="0.35">
      <c r="A1" s="64" t="s">
        <v>351</v>
      </c>
      <c r="B1" s="65"/>
      <c r="C1" s="65"/>
      <c r="D1" s="65"/>
      <c r="E1" s="65"/>
      <c r="F1" s="65"/>
      <c r="Z1" s="56" t="s">
        <v>352</v>
      </c>
    </row>
    <row r="2" spans="1:26" x14ac:dyDescent="0.35">
      <c r="A2" s="75" t="s">
        <v>353</v>
      </c>
      <c r="B2" s="65"/>
      <c r="C2" s="65"/>
      <c r="D2" s="65"/>
      <c r="E2" s="65"/>
      <c r="F2" s="65"/>
      <c r="Z2" s="56" t="s">
        <v>354</v>
      </c>
    </row>
    <row r="4" spans="1:26" x14ac:dyDescent="0.35">
      <c r="A4" s="18" t="s">
        <v>355</v>
      </c>
    </row>
    <row r="5" spans="1:26" ht="28" customHeight="1" x14ac:dyDescent="0.35">
      <c r="A5" s="2" t="s">
        <v>30</v>
      </c>
      <c r="B5" s="2" t="s">
        <v>356</v>
      </c>
      <c r="C5" s="2" t="s">
        <v>6</v>
      </c>
      <c r="D5" s="2" t="s">
        <v>357</v>
      </c>
      <c r="E5" s="2" t="s">
        <v>215</v>
      </c>
      <c r="F5" s="2" t="s">
        <v>358</v>
      </c>
    </row>
    <row r="6" spans="1:26" ht="24" customHeight="1" x14ac:dyDescent="0.35">
      <c r="A6" s="25" t="s">
        <v>359</v>
      </c>
      <c r="B6" s="35" t="s">
        <v>360</v>
      </c>
      <c r="C6" s="3" t="s">
        <v>37</v>
      </c>
      <c r="D6" s="57">
        <v>0</v>
      </c>
      <c r="E6" s="37" t="s">
        <v>361</v>
      </c>
      <c r="F6" s="37" t="str">
        <f>"Υπολογίζει αυτόματα τις ζώνες των "&amp;ROUND('Τεχνικοί Υπολογισμοί'!$D$8,0)&amp;" km εκτός Λεμεσού ("&amp;'Τεχνικοί Υπολογισμοί'!$D$9&amp;" × "&amp;ROUND($D$8,2)&amp;" € = "&amp;ROUND('Τεχνικοί Υπολογισμοί'!$D$9*$D$8,2)&amp;" €)"</f>
        <v>Υπολογίζει αυτόματα τις ζώνες των 10 km εκτός Λεμεσού (0 × 200 € = 0 €)</v>
      </c>
    </row>
    <row r="7" spans="1:26" ht="24" customHeight="1" x14ac:dyDescent="0.35">
      <c r="A7" s="25" t="s">
        <v>362</v>
      </c>
      <c r="B7" s="35" t="s">
        <v>363</v>
      </c>
      <c r="C7" s="3" t="s">
        <v>48</v>
      </c>
      <c r="D7" s="58">
        <v>1000</v>
      </c>
      <c r="E7" s="37" t="s">
        <v>364</v>
      </c>
      <c r="F7" s="37" t="str">
        <f>"Βασική χρέωση "&amp;ROUND($D$7,2)&amp;" € εντός Λεμεσού → Φύλλο 1 (Γρ. 1) &amp; Φύλλο 2 (1.1.4, 2Β.1 &amp; 2Γ)"</f>
        <v>Βασική χρέωση 1000 € εντός Λεμεσού → Φύλλο 1 (Γρ. 1) &amp; Φύλλο 2 (1.1.4, 2Β.1 &amp; 2Γ)</v>
      </c>
    </row>
    <row r="8" spans="1:26" ht="24" customHeight="1" x14ac:dyDescent="0.35">
      <c r="A8" s="25" t="s">
        <v>365</v>
      </c>
      <c r="B8" s="35" t="str">
        <f>"Μετακίνηση γεωτρύπανου — Επιβάρυνση ανά "&amp;ROUND('Τεχνικοί Υπολογισμοί'!$D$8,0)&amp;" km εκτός Λεμεσού (+"&amp;ROUND($D$8,0)&amp;" €/"&amp;ROUND('Τεχνικοί Υπολογισμοί'!$D$8,0)&amp;"km)"</f>
        <v>Μετακίνηση γεωτρύπανου — Επιβάρυνση ανά 10 km εκτός Λεμεσού (+200 €/10km)</v>
      </c>
      <c r="C8" s="3" t="s">
        <v>48</v>
      </c>
      <c r="D8" s="58">
        <v>200</v>
      </c>
      <c r="E8" s="37" t="s">
        <v>366</v>
      </c>
      <c r="F8" s="37" t="str">
        <f>"+"&amp;ROUND($D$8,2)&amp;" € ανά "&amp;ROUND('Τεχνικοί Υπολογισμοί'!$D$8,0)&amp;" km εκτός Λεμεσού → Φύλλο 1 (Γρ. 1) &amp; Φύλλο 2 (1.1.5, 2Β.1 &amp; 2Γ)"</f>
        <v>+200 € ανά 10 km εκτός Λεμεσού → Φύλλο 1 (Γρ. 1) &amp; Φύλλο 2 (1.1.5, 2Β.1 &amp; 2Γ)</v>
      </c>
    </row>
    <row r="9" spans="1:26" ht="24" customHeight="1" x14ac:dyDescent="0.35">
      <c r="A9" s="25" t="s">
        <v>367</v>
      </c>
      <c r="B9" s="35" t="s">
        <v>368</v>
      </c>
      <c r="C9" s="3" t="s">
        <v>48</v>
      </c>
      <c r="D9" s="58">
        <v>115</v>
      </c>
      <c r="E9" s="37" t="s">
        <v>369</v>
      </c>
      <c r="F9" s="37" t="str">
        <f>"Τιμή διάτρησης Ø800mm = "&amp;ROUND($D$9,2)&amp;" €/m → Φύλλο 1 (Γρ. 2) &amp; Φύλλο 2 (2Β.2 &amp; 2Γ)"</f>
        <v>Τιμή διάτρησης Ø800mm = 115 €/m → Φύλλο 1 (Γρ. 2) &amp; Φύλλο 2 (2Β.2 &amp; 2Γ)</v>
      </c>
    </row>
    <row r="10" spans="1:26" ht="24" customHeight="1" x14ac:dyDescent="0.35">
      <c r="A10" s="25" t="s">
        <v>370</v>
      </c>
      <c r="B10" s="35" t="s">
        <v>371</v>
      </c>
      <c r="C10" s="3" t="s">
        <v>48</v>
      </c>
      <c r="D10" s="58">
        <v>90</v>
      </c>
      <c r="E10" s="37" t="s">
        <v>372</v>
      </c>
      <c r="F10" s="37" t="str">
        <f>"Τιμή διάτρησης Ø600mm = "&amp;ROUND($D$10,2)&amp;" €/m → Φύλλο 1 (Γρ. 2) &amp; Φύλλο 2 (2Β.2 &amp; 2Γ)"</f>
        <v>Τιμή διάτρησης Ø600mm = 90 €/m → Φύλλο 1 (Γρ. 2) &amp; Φύλλο 2 (2Β.2 &amp; 2Γ)</v>
      </c>
    </row>
    <row r="11" spans="1:26" ht="24" customHeight="1" x14ac:dyDescent="0.35">
      <c r="A11" s="25" t="s">
        <v>373</v>
      </c>
      <c r="B11" s="35" t="s">
        <v>374</v>
      </c>
      <c r="C11" s="3" t="s">
        <v>48</v>
      </c>
      <c r="D11" s="58">
        <v>1.1000000000000001</v>
      </c>
      <c r="E11" s="37" t="s">
        <v>375</v>
      </c>
      <c r="F11" s="37" t="str">
        <f>"Τιμή σιδήρου = "&amp;ROUND($D$11,2)&amp;" €/kg → Φύλλο 1 (Γρ. 4) &amp; Φύλλο 2 (2Β.4 &amp; 2Γ)"</f>
        <v>Τιμή σιδήρου = 1.1 €/kg → Φύλλο 1 (Γρ. 4) &amp; Φύλλο 2 (2Β.4 &amp; 2Γ)</v>
      </c>
    </row>
    <row r="12" spans="1:26" ht="24" customHeight="1" x14ac:dyDescent="0.35">
      <c r="A12" s="25" t="s">
        <v>376</v>
      </c>
      <c r="B12" s="35" t="s">
        <v>377</v>
      </c>
      <c r="C12" s="3" t="s">
        <v>48</v>
      </c>
      <c r="D12" s="58">
        <v>150</v>
      </c>
      <c r="E12" s="37" t="s">
        <v>378</v>
      </c>
      <c r="F12" s="37" t="str">
        <f>"Τιμή κεφαλοκοπής = "&amp;ROUND($D$12,2)&amp;" €/πάσσαλο (Κουμπί Τ.Ε.1 = "&amp;$D$36&amp;") → Φύλλο 1 (Γρ. 6) &amp; Φύλλο 2 (2Β.6 &amp; 2Γ)"</f>
        <v>Τιμή κεφαλοκοπής = 150 €/πάσσαλο (Κουμπί Τ.Ε.1 = ΝΑΙ) → Φύλλο 1 (Γρ. 6) &amp; Φύλλο 2 (2Β.6 &amp; 2Γ)</v>
      </c>
    </row>
    <row r="14" spans="1:26" x14ac:dyDescent="0.35">
      <c r="A14" s="18" t="s">
        <v>379</v>
      </c>
    </row>
    <row r="15" spans="1:26" ht="26" customHeight="1" x14ac:dyDescent="0.35">
      <c r="A15" s="2" t="s">
        <v>30</v>
      </c>
      <c r="B15" s="2" t="s">
        <v>380</v>
      </c>
      <c r="C15" s="2" t="s">
        <v>6</v>
      </c>
      <c r="D15" s="2" t="s">
        <v>381</v>
      </c>
      <c r="E15" s="2" t="s">
        <v>382</v>
      </c>
      <c r="F15" s="2" t="s">
        <v>383</v>
      </c>
    </row>
    <row r="16" spans="1:26" ht="24" customHeight="1" x14ac:dyDescent="0.35">
      <c r="A16" s="25" t="s">
        <v>384</v>
      </c>
      <c r="B16" s="35" t="s">
        <v>385</v>
      </c>
      <c r="C16" s="3" t="s">
        <v>48</v>
      </c>
      <c r="D16" s="58">
        <v>105</v>
      </c>
      <c r="E16" s="37" t="s">
        <v>386</v>
      </c>
      <c r="F16" s="37" t="str">
        <f>"Τιμή αγοράς κουγκριού από προμηθευτή = "&amp;ROUND($D$16,2)&amp;" €/m³"</f>
        <v>Τιμή αγοράς κουγκριού από προμηθευτή = 105 €/m³</v>
      </c>
    </row>
    <row r="17" spans="1:6" ht="24" customHeight="1" x14ac:dyDescent="0.35">
      <c r="A17" s="25" t="s">
        <v>387</v>
      </c>
      <c r="B17" s="35" t="s">
        <v>388</v>
      </c>
      <c r="C17" s="3" t="s">
        <v>48</v>
      </c>
      <c r="D17" s="58">
        <v>15</v>
      </c>
      <c r="E17" s="37" t="s">
        <v>389</v>
      </c>
      <c r="F17" s="37" t="str">
        <f>"Σταθερή χρέωση τοποθέτησης = +"&amp;ROUND($D$17,2)&amp;" €/m³ από τον Τιμοκατάλογο Εταιρείας"</f>
        <v>Σταθερή χρέωση τοποθέτησης = +15 €/m³ από τον Τιμοκατάλογο Εταιρείας</v>
      </c>
    </row>
    <row r="18" spans="1:6" ht="24" customHeight="1" x14ac:dyDescent="0.35">
      <c r="A18" s="25" t="s">
        <v>390</v>
      </c>
      <c r="B18" s="35" t="s">
        <v>391</v>
      </c>
      <c r="C18" s="3" t="s">
        <v>48</v>
      </c>
      <c r="D18" s="58">
        <v>0</v>
      </c>
      <c r="E18" s="37" t="s">
        <v>392</v>
      </c>
      <c r="F18" s="37" t="str">
        <f>"Κόστος στησίματος αντλίας = "&amp;ROUND($D$18,2)&amp;" €/στήσιμο"</f>
        <v>Κόστος στησίματος αντλίας = 0 €/στήσιμο</v>
      </c>
    </row>
    <row r="19" spans="1:6" ht="24" customHeight="1" x14ac:dyDescent="0.35">
      <c r="A19" s="25" t="s">
        <v>393</v>
      </c>
      <c r="B19" s="35" t="s">
        <v>394</v>
      </c>
      <c r="C19" s="3" t="s">
        <v>395</v>
      </c>
      <c r="D19" s="59">
        <v>6</v>
      </c>
      <c r="E19" s="37" t="s">
        <v>396</v>
      </c>
      <c r="F19" s="37" t="str">
        <f>"Η αντλία σκυροδετεί "&amp;ROUND($D$19,0)&amp;" πασσάλους ανά στήσιμο"</f>
        <v>Η αντλία σκυροδετεί 6 πασσάλους ανά στήσιμο</v>
      </c>
    </row>
    <row r="20" spans="1:6" ht="24" customHeight="1" x14ac:dyDescent="0.35">
      <c r="A20" s="25" t="s">
        <v>397</v>
      </c>
      <c r="B20" s="4" t="s">
        <v>398</v>
      </c>
      <c r="C20" s="3" t="s">
        <v>19</v>
      </c>
      <c r="D20" s="60">
        <f>$D$19*('Τεχνικοί Υπολογισμοί'!$D$47/'Τεχνικοί Υπολογισμοί'!$D$14)</f>
        <v>19.549682284338772</v>
      </c>
      <c r="E20" s="37" t="str">
        <f>"Αυτόματος τύπος: "&amp;ROUND($D$19,0)&amp;" τρύπες × "&amp;ROUND('Τεχνικοί Υπολογισμοί'!$D$47/'Τεχνικοί Υπολογισμοί'!$D$14,3)&amp;" m³/τρύπα"</f>
        <v>Αυτόματος τύπος: 6 τρύπες × 3.258 m³/τρύπα</v>
      </c>
      <c r="F20" s="37" t="str">
        <f>"Κυβικά ανά στήσιμο αντλίας = "&amp;ROUND($D$20,2)&amp;" m³"</f>
        <v>Κυβικά ανά στήσιμο αντλίας = 19.55 m³</v>
      </c>
    </row>
    <row r="21" spans="1:6" ht="24" customHeight="1" x14ac:dyDescent="0.35">
      <c r="A21" s="25" t="s">
        <v>399</v>
      </c>
      <c r="B21" s="4" t="s">
        <v>400</v>
      </c>
      <c r="C21" s="3" t="s">
        <v>48</v>
      </c>
      <c r="D21" s="6">
        <f>IF(AND($D$18&gt;0,$D$20&gt;0),$D$18/$D$20,0)</f>
        <v>0</v>
      </c>
      <c r="E21" s="37" t="str">
        <f>"Αυτόματος τύπος: "&amp;ROUND($D$18,2)&amp;" € ÷ "&amp;ROUND($D$20,2)&amp;" m³"</f>
        <v>Αυτόματος τύπος: 0 € ÷ 19.55 m³</v>
      </c>
      <c r="F21" s="37" t="str">
        <f>"Επιβάρυνση αντλίας = "&amp;ROUND($D$21,2)&amp;" €/m³"</f>
        <v>Επιβάρυνση αντλίας = 0 €/m³</v>
      </c>
    </row>
    <row r="22" spans="1:6" ht="24" customHeight="1" x14ac:dyDescent="0.35">
      <c r="A22" s="25" t="s">
        <v>401</v>
      </c>
      <c r="B22" s="35" t="s">
        <v>402</v>
      </c>
      <c r="C22" s="3" t="s">
        <v>48</v>
      </c>
      <c r="D22" s="61">
        <f>ROUND($D$16+$D$17+$D$21,0)</f>
        <v>120</v>
      </c>
      <c r="E22" s="37" t="str">
        <f>"ROUND("&amp;ROUND($D$16,2)&amp;" € + "&amp;ROUND($D$17,2)&amp;" € + "&amp;ROUND($D$21,2)&amp;" €, 0) = "&amp;ROUND($D$22,0)&amp;" €/m³"</f>
        <v>ROUND(105 € + 15 € + 0 €, 0) = 120 €/m³</v>
      </c>
      <c r="F22" s="37" t="str">
        <f>"Στρογγυλοποιημένη τελική τιμή ("&amp;ROUND($D$22,0)&amp;" €/m³) — Τροφοδοτεί Φύλλο 1 (Γρ. 3) &amp; Φύλλο 2 (2Β.3 &amp; 2Γ)"</f>
        <v>Στρογγυλοποιημένη τελική τιμή (120 €/m³) — Τροφοδοτεί Φύλλο 1 (Γρ. 3) &amp; Φύλλο 2 (2Β.3 &amp; 2Γ)</v>
      </c>
    </row>
    <row r="24" spans="1:6" x14ac:dyDescent="0.35">
      <c r="A24" s="18" t="s">
        <v>403</v>
      </c>
    </row>
    <row r="25" spans="1:6" ht="26" customHeight="1" x14ac:dyDescent="0.35">
      <c r="A25" s="2" t="s">
        <v>30</v>
      </c>
      <c r="B25" s="2" t="s">
        <v>404</v>
      </c>
      <c r="C25" s="2" t="s">
        <v>6</v>
      </c>
      <c r="D25" s="2" t="s">
        <v>32</v>
      </c>
      <c r="E25" s="2" t="s">
        <v>382</v>
      </c>
      <c r="F25" s="2" t="s">
        <v>383</v>
      </c>
    </row>
    <row r="26" spans="1:6" ht="24" customHeight="1" x14ac:dyDescent="0.35">
      <c r="A26" s="25" t="s">
        <v>405</v>
      </c>
      <c r="B26" s="35" t="s">
        <v>406</v>
      </c>
      <c r="C26" s="3" t="s">
        <v>48</v>
      </c>
      <c r="D26" s="58">
        <f>((IF('Τεχνικοί Υπολογισμοί'!$D$30+'Τεχνικοί Υπολογισμοί'!$D$31&lt;=0,0,IF('Τεχνικοί Υπολογισμοί'!$D$30+'Τεχνικοί Υπολογισμοί'!$D$31&lt;=3,3/INT(ROUND(3/('Τεχνικοί Υπολογισμοί'!$D$30+'Τεχνικοί Υπολογισμοί'!$D$31),6)),CEILING('Τεχνικοί Υπολογισμοί'!$D$30+'Τεχνικοί Υπολογισμοί'!$D$31,3)))*1.34)+0.8676)*1.3</f>
        <v>2.8698800000000002</v>
      </c>
      <c r="E26" s="37" t="s">
        <v>407</v>
      </c>
      <c r="F26" s="37" t="str">
        <f>"((Κόστος αγοράς + Κόστος τοποθέτησης) × Profit, Waste, Overhead) = "&amp;ROUND($D$26,2)&amp;" €/τεμ."</f>
        <v>((Κόστος αγοράς + Κόστος τοποθέτησης) × Profit, Waste, Overhead) = 2.87 €/τεμ.</v>
      </c>
    </row>
    <row r="27" spans="1:6" ht="24" customHeight="1" x14ac:dyDescent="0.35">
      <c r="A27" s="25" t="s">
        <v>408</v>
      </c>
      <c r="B27" s="35" t="s">
        <v>409</v>
      </c>
      <c r="C27" s="3" t="s">
        <v>48</v>
      </c>
      <c r="D27" s="48">
        <f>ROUND($D$26*2,0)/2</f>
        <v>3</v>
      </c>
      <c r="E27" s="37" t="str">
        <f>"ROUND("&amp;ROUND($D$26,2)&amp;" × 2, 0) / 2 = "&amp;ROUND($D$27,2)&amp;" €/τεμ."</f>
        <v>ROUND(2.87 × 2, 0) / 2 = 3 €/τεμ.</v>
      </c>
      <c r="F27" s="37" t="str">
        <f>"Στρογγυλεμένο τελικό αποτέλεσμα ("&amp;ROUND($D$27,2)&amp;" €/τεμ.) — Τροφοδοτεί Φύλλο 1 (Γρ. 5) &amp; Φύλλο 2 (2Β.5 &amp; 2Γ)"</f>
        <v>Στρογγυλεμένο τελικό αποτέλεσμα (3 €/τεμ.) — Τροφοδοτεί Φύλλο 1 (Γρ. 5) &amp; Φύλλο 2 (2Β.5 &amp; 2Γ)</v>
      </c>
    </row>
    <row r="29" spans="1:6" x14ac:dyDescent="0.35">
      <c r="A29" s="18" t="str">
        <f>"Δ. ΣΥΝΟΔΕΙΑ ΑΣΤΥΝΟΜΙΑΣ ΓΕΩΤΡΥΠΑΝΟΥ ("&amp;ROUND($D$31,2)&amp;" €/km — ΑΠΟ ΣΠΥΡΟΥ ΚΥΠΡΙΑΝΟΥ 32, ΑΓΙΟ ΣΥΛΑ ΕΩΣ ΤΟ ΕΡΓΟ)"</f>
        <v>Δ. ΣΥΝΟΔΕΙΑ ΑΣΤΥΝΟΜΙΑΣ ΓΕΩΤΡΥΠΑΝΟΥ (8 €/km — ΑΠΟ ΣΠΥΡΟΥ ΚΥΠΡΙΑΝΟΥ 32, ΑΓΙΟ ΣΥΛΑ ΕΩΣ ΤΟ ΕΡΓΟ)</v>
      </c>
    </row>
    <row r="30" spans="1:6" ht="24" customHeight="1" x14ac:dyDescent="0.35">
      <c r="A30" s="25" t="s">
        <v>410</v>
      </c>
      <c r="B30" s="35" t="s">
        <v>411</v>
      </c>
      <c r="C30" s="3" t="s">
        <v>37</v>
      </c>
      <c r="D30" s="57">
        <v>28</v>
      </c>
      <c r="E30" s="37" t="s">
        <v>412</v>
      </c>
      <c r="F30" s="37" t="str">
        <f>"Απόσταση από Σπύρου Κυπριανού 32 (Άγιος Συλάς) έως το έργο ("&amp;ROUND($D$30,1)&amp;" km) × "&amp;ROUND($D$31,2)&amp;" €/km = "&amp;ROUND($D$32,2)&amp;" €"</f>
        <v>Απόσταση από Σπύρου Κυπριανού 32 (Άγιος Συλάς) έως το έργο (28 km) × 8 €/km = 224 €</v>
      </c>
    </row>
    <row r="31" spans="1:6" ht="24" customHeight="1" x14ac:dyDescent="0.35">
      <c r="A31" s="25" t="s">
        <v>413</v>
      </c>
      <c r="B31" s="35" t="str">
        <f>"Κόστος Συνοδείας Αστυνομίας ανά χιλιόμετρο ("&amp;ROUND($D$31,2)&amp;" €/km)"</f>
        <v>Κόστος Συνοδείας Αστυνομίας ανά χιλιόμετρο (8 €/km)</v>
      </c>
      <c r="C31" s="3" t="s">
        <v>414</v>
      </c>
      <c r="D31" s="62">
        <v>8</v>
      </c>
      <c r="E31" s="37" t="s">
        <v>415</v>
      </c>
      <c r="F31" s="37" t="str">
        <f>"Από Τιμοκατάλογο Εταιρείας (Φύλλο 6): "&amp;ROUND($D$31,2)&amp;" €/km"</f>
        <v>Από Τιμοκατάλογο Εταιρείας (Φύλλο 6): 8 €/km</v>
      </c>
    </row>
    <row r="32" spans="1:6" ht="24" customHeight="1" x14ac:dyDescent="0.35">
      <c r="A32" s="25" t="s">
        <v>416</v>
      </c>
      <c r="B32" s="35" t="str">
        <f>"Συνολικό Κόστος Συνοδείας Αστυνομίας ("&amp;ROUND($D$30,1)&amp;" km × "&amp;ROUND($D$31,2)&amp;" €/km)"</f>
        <v>Συνολικό Κόστος Συνοδείας Αστυνομίας (28 km × 8 €/km)</v>
      </c>
      <c r="C32" s="3" t="s">
        <v>48</v>
      </c>
      <c r="D32" s="48">
        <f>$D$30*$D$31</f>
        <v>224</v>
      </c>
      <c r="E32" s="37" t="str">
        <f>"Αυτόματος υπολογισμός: "&amp;ROUND($D$30,1)&amp;" km × "&amp;ROUND($D$31,2)&amp;" €/km = "&amp;ROUND($D$32,2)&amp;" €"</f>
        <v>Αυτόματος υπολογισμός: 28 km × 8 €/km = 224 €</v>
      </c>
      <c r="F32" s="37" t="s">
        <v>417</v>
      </c>
    </row>
    <row r="34" spans="1:6" x14ac:dyDescent="0.35">
      <c r="A34" s="18" t="s">
        <v>418</v>
      </c>
    </row>
    <row r="35" spans="1:6" ht="28" customHeight="1" x14ac:dyDescent="0.35">
      <c r="A35" s="2" t="s">
        <v>30</v>
      </c>
      <c r="B35" s="2" t="s">
        <v>419</v>
      </c>
      <c r="C35" s="2" t="s">
        <v>6</v>
      </c>
      <c r="D35" s="2" t="s">
        <v>420</v>
      </c>
      <c r="E35" s="2" t="s">
        <v>421</v>
      </c>
      <c r="F35" s="2" t="s">
        <v>422</v>
      </c>
    </row>
    <row r="36" spans="1:6" ht="26" customHeight="1" x14ac:dyDescent="0.35">
      <c r="A36" s="25" t="s">
        <v>423</v>
      </c>
      <c r="B36" s="35" t="s">
        <v>424</v>
      </c>
      <c r="C36" s="3" t="s">
        <v>425</v>
      </c>
      <c r="D36" s="63" t="s">
        <v>352</v>
      </c>
      <c r="E36" s="37" t="s">
        <v>426</v>
      </c>
      <c r="F36" s="37" t="str">
        <f>"Τώρα είναι «"&amp;$D$36&amp;"»: Αν ΝΑΙ → χρεώνεται ("&amp;ROUND($D$12,2)&amp;" €/τεμ.). Αν ΟΧΙ → κρύβεται αυτόματα (0,00 €) σε όλα τα φύλλα!"</f>
        <v>Τώρα είναι «ΝΑΙ»: Αν ΝΑΙ → χρεώνεται (150 €/τεμ.). Αν ΟΧΙ → κρύβεται αυτόματα (0,00 €) σε όλα τα φύλλα!</v>
      </c>
    </row>
    <row r="37" spans="1:6" ht="26" customHeight="1" x14ac:dyDescent="0.35">
      <c r="A37" s="25" t="s">
        <v>427</v>
      </c>
      <c r="B37" s="35" t="s">
        <v>428</v>
      </c>
      <c r="C37" s="3" t="s">
        <v>425</v>
      </c>
      <c r="D37" s="63" t="s">
        <v>352</v>
      </c>
      <c r="E37" s="37" t="s">
        <v>426</v>
      </c>
      <c r="F37" s="37" t="str">
        <f>"Τώρα είναι «"&amp;$D$37&amp;"»: Αν ΝΑΙ → χρεώνεται ("&amp;ROUND($D$39,2)&amp;" m³ × "&amp;ROUND($D$38,2)&amp;" €/m³ = "&amp;ROUND($D$40,2)&amp;" €). Αν ΟΧΙ → κρύβεται αυτόματα (0,00 €)!"</f>
        <v>Τώρα είναι «ΝΑΙ»: Αν ΝΑΙ → χρεώνεται (103.67 m³ × 15 €/m³ = 1555.09 €). Αν ΟΧΙ → κρύβεται αυτόματα (0,00 €)!</v>
      </c>
    </row>
    <row r="38" spans="1:6" ht="24" customHeight="1" x14ac:dyDescent="0.35">
      <c r="A38" s="25" t="s">
        <v>429</v>
      </c>
      <c r="B38" s="35" t="s">
        <v>430</v>
      </c>
      <c r="C38" s="3" t="s">
        <v>48</v>
      </c>
      <c r="D38" s="58">
        <v>15</v>
      </c>
      <c r="E38" s="37" t="s">
        <v>431</v>
      </c>
      <c r="F38" s="37" t="str">
        <f>"Πολλαπλασιάζεται με τα κυβικά που σκάβουμε ("&amp;ROUND($D$39,2)&amp;" m³ × "&amp;ROUND($D$38,2)&amp;" €/m³) όταν το Κουμπί 2 (Τ.Ε.2) είναι «ΝΑΙ»"</f>
        <v>Πολλαπλασιάζεται με τα κυβικά που σκάβουμε (103.67 m³ × 15 €/m³) όταν το Κουμπί 2 (Τ.Ε.2) είναι «ΝΑΙ»</v>
      </c>
    </row>
    <row r="39" spans="1:6" ht="24" customHeight="1" x14ac:dyDescent="0.35">
      <c r="A39" s="25" t="s">
        <v>432</v>
      </c>
      <c r="B39" s="4" t="s">
        <v>433</v>
      </c>
      <c r="C39" s="3" t="s">
        <v>19</v>
      </c>
      <c r="D39" s="60">
        <f>'Τεχνικοί Υπολογισμοί'!$F$115</f>
        <v>103.67255756846318</v>
      </c>
      <c r="E39" s="37" t="s">
        <v>434</v>
      </c>
      <c r="F39" s="37" t="str">
        <f>"Συνολικά κυβικά χώματος που βγαίνουν από τις τρύπες = "&amp;ROUND($D$39,2)&amp;" m³"</f>
        <v>Συνολικά κυβικά χώματος που βγαίνουν από τις τρύπες = 103.67 m³</v>
      </c>
    </row>
    <row r="40" spans="1:6" ht="24" customHeight="1" x14ac:dyDescent="0.35">
      <c r="A40" s="25" t="s">
        <v>435</v>
      </c>
      <c r="B40" s="35" t="s">
        <v>436</v>
      </c>
      <c r="C40" s="3" t="s">
        <v>48</v>
      </c>
      <c r="D40" s="48">
        <f>IF($D$37="ΝΑΙ",'Τεχνικοί Υπολογισμοί'!$F$115*$D$38,0)</f>
        <v>1555.0883635269477</v>
      </c>
      <c r="E40" s="37" t="str">
        <f>"IF(Κουμπί_2 = ΝΑΙ, "&amp;ROUND($D$39,2)&amp;" m³ × "&amp;ROUND($D$38,2)&amp;" €/m³, 0) = "&amp;ROUND($D$40,2)&amp;" €"</f>
        <v>IF(Κουμπί_2 = ΝΑΙ, 103.67 m³ × 15 €/m³, 0) = 1555.09 €</v>
      </c>
      <c r="F40" s="37" t="s">
        <v>437</v>
      </c>
    </row>
    <row r="42" spans="1:6" ht="28" customHeight="1" x14ac:dyDescent="0.35">
      <c r="A42" s="66" t="s">
        <v>438</v>
      </c>
      <c r="B42" s="65"/>
      <c r="C42" s="65"/>
      <c r="D42" s="15">
        <f>'Οικονομική Προσφορά'!$F$16</f>
        <v>55469.194968173884</v>
      </c>
      <c r="E42" s="76" t="str">
        <f>"Μέσο Κόστος ανά Πάσσαλο: "&amp;ROUND('Οικονομική Προσφορά'!$F$16/'Τεχνικοί Υπολογισμοί'!$D$14,2)&amp;" € ("&amp;'Τεχνικοί Υπολογισμοί'!$D$14&amp;" πάσσαλοι)"</f>
        <v>Μέσο Κόστος ανά Πάσσαλο: 1584.83 € (35 πάσσαλοι)</v>
      </c>
      <c r="F42" s="65"/>
    </row>
  </sheetData>
  <mergeCells count="4">
    <mergeCell ref="A2:F2"/>
    <mergeCell ref="E42:F42"/>
    <mergeCell ref="A1:F1"/>
    <mergeCell ref="A42:C42"/>
  </mergeCells>
  <dataValidations count="1">
    <dataValidation type="list" errorTitle="Μη έγκυρη επιλογή" error="Παρακαλώ επίλεξε «ΝΑΙ» ή «ΟΧΙ» από το κουμπί (βελάκι)." promptTitle="Επιλογή Ευθύνης (ΝΑΙ / ΟΧΙ)" prompt="Πάτησε το βελάκι δεξιά: επίλεξε ΝΑΙ (αν είναι πάνω μας και χρεώνεται) ή ΟΧΙ (αν είναι πάνω τους και κρύβεται)." sqref="D36 D37" xr:uid="{00000000-0002-0000-0200-000000000000}">
      <formula1>$Z$1:$Z$2</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325</vt:i4>
      </vt:variant>
    </vt:vector>
  </HeadingPairs>
  <TitlesOfParts>
    <vt:vector size="328" baseType="lpstr">
      <vt:lpstr>Οικονομική Προσφορά</vt:lpstr>
      <vt:lpstr>Τεχνικοί Υπολογισμοί</vt:lpstr>
      <vt:lpstr>Τιμές &amp; Έλεγχος</vt:lpstr>
      <vt:lpstr>N_b2_breaking_note</vt:lpstr>
      <vt:lpstr>N_b2_breaking_price</vt:lpstr>
      <vt:lpstr>N_b2_breaking_qty</vt:lpstr>
      <vt:lpstr>N_b2_breaking_total</vt:lpstr>
      <vt:lpstr>N_b2_conc_note</vt:lpstr>
      <vt:lpstr>N_b2_conc_price</vt:lpstr>
      <vt:lpstr>N_b2_conc_qty</vt:lpstr>
      <vt:lpstr>N_b2_conc_total</vt:lpstr>
      <vt:lpstr>N_b2_drill_600_note</vt:lpstr>
      <vt:lpstr>N_b2_drill_600_price</vt:lpstr>
      <vt:lpstr>N_b2_drill_600_qty</vt:lpstr>
      <vt:lpstr>N_b2_drill_600_total</vt:lpstr>
      <vt:lpstr>N_b2_drill_800_note</vt:lpstr>
      <vt:lpstr>N_b2_drill_800_price</vt:lpstr>
      <vt:lpstr>N_b2_drill_800_qty</vt:lpstr>
      <vt:lpstr>N_b2_drill_800_total</vt:lpstr>
      <vt:lpstr>N_b2_grand_total</vt:lpstr>
      <vt:lpstr>N_b2_grand_total_note</vt:lpstr>
      <vt:lpstr>N_b2_mob_note</vt:lpstr>
      <vt:lpstr>N_b2_mob_price</vt:lpstr>
      <vt:lpstr>N_b2_mob_qty</vt:lpstr>
      <vt:lpstr>N_b2_mob_total</vt:lpstr>
      <vt:lpstr>N_b2_sleeve_note</vt:lpstr>
      <vt:lpstr>N_b2_sleeve_price</vt:lpstr>
      <vt:lpstr>N_b2_sleeve_qty</vt:lpstr>
      <vt:lpstr>N_b2_sleeve_total</vt:lpstr>
      <vt:lpstr>N_b2_soil_note</vt:lpstr>
      <vt:lpstr>N_b2_soil_price</vt:lpstr>
      <vt:lpstr>N_b2_soil_qty</vt:lpstr>
      <vt:lpstr>N_b2_soil_total</vt:lpstr>
      <vt:lpstr>N_b2_steel_head_note</vt:lpstr>
      <vt:lpstr>N_b2_steel_head_price</vt:lpstr>
      <vt:lpstr>N_b2_steel_head_qty</vt:lpstr>
      <vt:lpstr>N_b2_steel_head_total</vt:lpstr>
      <vt:lpstr>N_b2_steel_note</vt:lpstr>
      <vt:lpstr>N_b2_steel_price</vt:lpstr>
      <vt:lpstr>N_b2_steel_qty</vt:lpstr>
      <vt:lpstr>N_b2_steel_spiral_note</vt:lpstr>
      <vt:lpstr>N_b2_steel_spiral_price</vt:lpstr>
      <vt:lpstr>N_b2_steel_spiral_qty</vt:lpstr>
      <vt:lpstr>N_b2_steel_spiral_total</vt:lpstr>
      <vt:lpstr>N_b2_steel_total</vt:lpstr>
      <vt:lpstr>N_b2_steel_vert_note</vt:lpstr>
      <vt:lpstr>N_b2_steel_vert_price</vt:lpstr>
      <vt:lpstr>N_b2_steel_vert_qty</vt:lpstr>
      <vt:lpstr>N_b2_steel_vert_total</vt:lpstr>
      <vt:lpstr>N_b2g_grand_total</vt:lpstr>
      <vt:lpstr>N_b2g_grand_total_note</vt:lpstr>
      <vt:lpstr>N_b2g0_breaking_note</vt:lpstr>
      <vt:lpstr>N_b2g0_breaking_price</vt:lpstr>
      <vt:lpstr>N_b2g0_breaking_qty</vt:lpstr>
      <vt:lpstr>N_b2g0_breaking_total</vt:lpstr>
      <vt:lpstr>N_b2g0_conc_note</vt:lpstr>
      <vt:lpstr>N_b2g0_conc_price</vt:lpstr>
      <vt:lpstr>N_b2g0_conc_qty</vt:lpstr>
      <vt:lpstr>N_b2g0_conc_total</vt:lpstr>
      <vt:lpstr>N_b2g0_drill_note</vt:lpstr>
      <vt:lpstr>N_b2g0_drill_price</vt:lpstr>
      <vt:lpstr>N_b2g0_drill_qty</vt:lpstr>
      <vt:lpstr>N_b2g0_drill_total</vt:lpstr>
      <vt:lpstr>N_b2g0_group_total</vt:lpstr>
      <vt:lpstr>N_b2g0_group_total_note</vt:lpstr>
      <vt:lpstr>N_b2g0_mob_note</vt:lpstr>
      <vt:lpstr>N_b2g0_mob_price</vt:lpstr>
      <vt:lpstr>N_b2g0_mob_qty</vt:lpstr>
      <vt:lpstr>N_b2g0_mob_total</vt:lpstr>
      <vt:lpstr>N_b2g0_pile_total</vt:lpstr>
      <vt:lpstr>N_b2g0_pile_total_note</vt:lpstr>
      <vt:lpstr>N_b2g0_sleeve_note</vt:lpstr>
      <vt:lpstr>N_b2g0_sleeve_price</vt:lpstr>
      <vt:lpstr>N_b2g0_sleeve_qty</vt:lpstr>
      <vt:lpstr>N_b2g0_sleeve_total</vt:lpstr>
      <vt:lpstr>N_b2g0_soil_note</vt:lpstr>
      <vt:lpstr>N_b2g0_soil_price</vt:lpstr>
      <vt:lpstr>N_b2g0_soil_qty</vt:lpstr>
      <vt:lpstr>N_b2g0_soil_total</vt:lpstr>
      <vt:lpstr>N_b2g0_steel_head_note</vt:lpstr>
      <vt:lpstr>N_b2g0_steel_head_price</vt:lpstr>
      <vt:lpstr>N_b2g0_steel_head_qty</vt:lpstr>
      <vt:lpstr>N_b2g0_steel_head_total</vt:lpstr>
      <vt:lpstr>N_b2g0_steel_note</vt:lpstr>
      <vt:lpstr>N_b2g0_steel_price</vt:lpstr>
      <vt:lpstr>N_b2g0_steel_qty</vt:lpstr>
      <vt:lpstr>N_b2g0_steel_spiral_note</vt:lpstr>
      <vt:lpstr>N_b2g0_steel_spiral_price</vt:lpstr>
      <vt:lpstr>N_b2g0_steel_spiral_qty</vt:lpstr>
      <vt:lpstr>N_b2g0_steel_spiral_total</vt:lpstr>
      <vt:lpstr>N_b2g0_steel_total</vt:lpstr>
      <vt:lpstr>N_b2g0_steel_vert_note</vt:lpstr>
      <vt:lpstr>N_b2g0_steel_vert_price</vt:lpstr>
      <vt:lpstr>N_b2g0_steel_vert_qty</vt:lpstr>
      <vt:lpstr>N_b2g0_steel_vert_total</vt:lpstr>
      <vt:lpstr>N_b2g1_breaking_note</vt:lpstr>
      <vt:lpstr>N_b2g1_breaking_price</vt:lpstr>
      <vt:lpstr>N_b2g1_breaking_qty</vt:lpstr>
      <vt:lpstr>N_b2g1_breaking_total</vt:lpstr>
      <vt:lpstr>N_b2g1_conc_note</vt:lpstr>
      <vt:lpstr>N_b2g1_conc_price</vt:lpstr>
      <vt:lpstr>N_b2g1_conc_qty</vt:lpstr>
      <vt:lpstr>N_b2g1_conc_total</vt:lpstr>
      <vt:lpstr>N_b2g1_drill_note</vt:lpstr>
      <vt:lpstr>N_b2g1_drill_price</vt:lpstr>
      <vt:lpstr>N_b2g1_drill_qty</vt:lpstr>
      <vt:lpstr>N_b2g1_drill_total</vt:lpstr>
      <vt:lpstr>N_b2g1_group_total</vt:lpstr>
      <vt:lpstr>N_b2g1_group_total_note</vt:lpstr>
      <vt:lpstr>N_b2g1_mob_note</vt:lpstr>
      <vt:lpstr>N_b2g1_mob_price</vt:lpstr>
      <vt:lpstr>N_b2g1_mob_qty</vt:lpstr>
      <vt:lpstr>N_b2g1_mob_total</vt:lpstr>
      <vt:lpstr>N_b2g1_pile_total</vt:lpstr>
      <vt:lpstr>N_b2g1_pile_total_note</vt:lpstr>
      <vt:lpstr>N_b2g1_sleeve_note</vt:lpstr>
      <vt:lpstr>N_b2g1_sleeve_price</vt:lpstr>
      <vt:lpstr>N_b2g1_sleeve_qty</vt:lpstr>
      <vt:lpstr>N_b2g1_sleeve_total</vt:lpstr>
      <vt:lpstr>N_b2g1_soil_note</vt:lpstr>
      <vt:lpstr>N_b2g1_soil_price</vt:lpstr>
      <vt:lpstr>N_b2g1_soil_qty</vt:lpstr>
      <vt:lpstr>N_b2g1_soil_total</vt:lpstr>
      <vt:lpstr>N_b2g1_steel_head_note</vt:lpstr>
      <vt:lpstr>N_b2g1_steel_head_price</vt:lpstr>
      <vt:lpstr>N_b2g1_steel_head_qty</vt:lpstr>
      <vt:lpstr>N_b2g1_steel_head_total</vt:lpstr>
      <vt:lpstr>N_b2g1_steel_note</vt:lpstr>
      <vt:lpstr>N_b2g1_steel_price</vt:lpstr>
      <vt:lpstr>N_b2g1_steel_qty</vt:lpstr>
      <vt:lpstr>N_b2g1_steel_spiral_note</vt:lpstr>
      <vt:lpstr>N_b2g1_steel_spiral_price</vt:lpstr>
      <vt:lpstr>N_b2g1_steel_spiral_qty</vt:lpstr>
      <vt:lpstr>N_b2g1_steel_spiral_total</vt:lpstr>
      <vt:lpstr>N_b2g1_steel_total</vt:lpstr>
      <vt:lpstr>N_b2g1_steel_vert_note</vt:lpstr>
      <vt:lpstr>N_b2g1_steel_vert_price</vt:lpstr>
      <vt:lpstr>N_b2g1_steel_vert_qty</vt:lpstr>
      <vt:lpstr>N_b2g1_steel_vert_total</vt:lpstr>
      <vt:lpstr>N_c_barlen</vt:lpstr>
      <vt:lpstr>N_c_density</vt:lpstr>
      <vt:lpstr>N_c_lap</vt:lpstr>
      <vt:lpstr>N_c_loss</vt:lpstr>
      <vt:lpstr>N_c_overc</vt:lpstr>
      <vt:lpstr>N_c_pi</vt:lpstr>
      <vt:lpstr>N_c_starter_off</vt:lpstr>
      <vt:lpstr>N_c_top_bend</vt:lpstr>
      <vt:lpstr>N_conc_class</vt:lpstr>
      <vt:lpstr>N_cover_mm</vt:lpstr>
      <vt:lpstr>N_dist_km</vt:lpstr>
      <vt:lpstr>N_extra_zones</vt:lpstr>
      <vt:lpstr>N_g0_bottom_bend</vt:lpstr>
      <vt:lpstr>N_g0_breaking</vt:lpstr>
      <vt:lpstr>N_g0_count</vt:lpstr>
      <vt:lpstr>N_g0_cutoff</vt:lpstr>
      <vt:lpstr>N_g0_D_cage</vt:lpstr>
      <vt:lpstr>N_g0_D_mm</vt:lpstr>
      <vt:lpstr>N_g0_dh</vt:lpstr>
      <vt:lpstr>N_g0_end_zone</vt:lpstr>
      <vt:lpstr>N_g0_extra_len</vt:lpstr>
      <vt:lpstr>N_g0_extra_n</vt:lpstr>
      <vt:lpstr>N_g0_extra_y</vt:lpstr>
      <vt:lpstr>N_g0_h_overc</vt:lpstr>
      <vt:lpstr>N_g0_head_links</vt:lpstr>
      <vt:lpstr>N_g0_L_bar</vt:lpstr>
      <vt:lpstr>N_g0_L_base</vt:lpstr>
      <vt:lpstr>N_g0_L_conc</vt:lpstr>
      <vt:lpstr>N_g0_L_drill</vt:lpstr>
      <vt:lpstr>N_g0_L_pile</vt:lpstr>
      <vt:lpstr>N_g0_lap_len</vt:lpstr>
      <vt:lpstr>N_g0_n_head</vt:lpstr>
      <vt:lpstr>N_g0_n_laps</vt:lpstr>
      <vt:lpstr>N_g0_n_turns</vt:lpstr>
      <vt:lpstr>N_g0_n_vert</vt:lpstr>
      <vt:lpstr>N_g0_P_cage</vt:lpstr>
      <vt:lpstr>N_g0_raft</vt:lpstr>
      <vt:lpstr>N_g0_s_end</vt:lpstr>
      <vt:lpstr>N_g0_s_mid</vt:lpstr>
      <vt:lpstr>N_g0_sleeves</vt:lpstr>
      <vt:lpstr>N_g0_starter</vt:lpstr>
      <vt:lpstr>N_g0_top_bend</vt:lpstr>
      <vt:lpstr>N_g0_V_conc</vt:lpstr>
      <vt:lpstr>N_g0_V_exc</vt:lpstr>
      <vt:lpstr>N_g0_W_extra</vt:lpstr>
      <vt:lpstr>N_g0_W_head</vt:lpstr>
      <vt:lpstr>N_g0_W_spiral</vt:lpstr>
      <vt:lpstr>N_g0_W_total</vt:lpstr>
      <vt:lpstr>N_g0_W_vert</vt:lpstr>
      <vt:lpstr>N_g0_y_spiral</vt:lpstr>
      <vt:lpstr>N_g0_y_vert</vt:lpstr>
      <vt:lpstr>N_g1_bottom_bend</vt:lpstr>
      <vt:lpstr>N_g1_breaking</vt:lpstr>
      <vt:lpstr>N_g1_count</vt:lpstr>
      <vt:lpstr>N_g1_cutoff</vt:lpstr>
      <vt:lpstr>N_g1_D_cage</vt:lpstr>
      <vt:lpstr>N_g1_D_mm</vt:lpstr>
      <vt:lpstr>N_g1_dh</vt:lpstr>
      <vt:lpstr>N_g1_end_zone</vt:lpstr>
      <vt:lpstr>N_g1_extra_len</vt:lpstr>
      <vt:lpstr>N_g1_extra_n</vt:lpstr>
      <vt:lpstr>N_g1_extra_y</vt:lpstr>
      <vt:lpstr>N_g1_h_overc</vt:lpstr>
      <vt:lpstr>N_g1_head_links</vt:lpstr>
      <vt:lpstr>N_g1_L_bar</vt:lpstr>
      <vt:lpstr>N_g1_L_base</vt:lpstr>
      <vt:lpstr>N_g1_L_conc</vt:lpstr>
      <vt:lpstr>N_g1_L_drill</vt:lpstr>
      <vt:lpstr>N_g1_L_pile</vt:lpstr>
      <vt:lpstr>N_g1_lap_len</vt:lpstr>
      <vt:lpstr>N_g1_n_head</vt:lpstr>
      <vt:lpstr>N_g1_n_laps</vt:lpstr>
      <vt:lpstr>N_g1_n_turns</vt:lpstr>
      <vt:lpstr>N_g1_n_vert</vt:lpstr>
      <vt:lpstr>N_g1_P_cage</vt:lpstr>
      <vt:lpstr>N_g1_raft</vt:lpstr>
      <vt:lpstr>N_g1_s_end</vt:lpstr>
      <vt:lpstr>N_g1_s_mid</vt:lpstr>
      <vt:lpstr>N_g1_sleeves</vt:lpstr>
      <vt:lpstr>N_g1_starter</vt:lpstr>
      <vt:lpstr>N_g1_top_bend</vt:lpstr>
      <vt:lpstr>N_g1_V_conc</vt:lpstr>
      <vt:lpstr>N_g1_V_exc</vt:lpstr>
      <vt:lpstr>N_g1_W_extra</vt:lpstr>
      <vt:lpstr>N_g1_W_head</vt:lpstr>
      <vt:lpstr>N_g1_W_spiral</vt:lpstr>
      <vt:lpstr>N_g1_W_total</vt:lpstr>
      <vt:lpstr>N_g1_W_vert</vt:lpstr>
      <vt:lpstr>N_g1_y_spiral</vt:lpstr>
      <vt:lpstr>N_g1_y_vert</vt:lpstr>
      <vt:lpstr>N_grand_total</vt:lpstr>
      <vt:lpstr>N_inc_breaking</vt:lpstr>
      <vt:lpstr>N_inc_soil</vt:lpstr>
      <vt:lpstr>N_line_breaking_desc</vt:lpstr>
      <vt:lpstr>N_line_breaking_price</vt:lpstr>
      <vt:lpstr>N_line_breaking_qty</vt:lpstr>
      <vt:lpstr>N_line_breaking_total</vt:lpstr>
      <vt:lpstr>N_line_conc_desc</vt:lpstr>
      <vt:lpstr>N_line_conc_price</vt:lpstr>
      <vt:lpstr>N_line_conc_qty</vt:lpstr>
      <vt:lpstr>N_line_conc_total</vt:lpstr>
      <vt:lpstr>N_line_drill_600_desc</vt:lpstr>
      <vt:lpstr>N_line_drill_600_price</vt:lpstr>
      <vt:lpstr>N_line_drill_600_qty</vt:lpstr>
      <vt:lpstr>N_line_drill_600_total</vt:lpstr>
      <vt:lpstr>N_line_drill_800_desc</vt:lpstr>
      <vt:lpstr>N_line_drill_800_price</vt:lpstr>
      <vt:lpstr>N_line_drill_800_qty</vt:lpstr>
      <vt:lpstr>N_line_drill_800_total</vt:lpstr>
      <vt:lpstr>N_line_mob_desc</vt:lpstr>
      <vt:lpstr>N_line_mob_price</vt:lpstr>
      <vt:lpstr>N_line_mob_qty</vt:lpstr>
      <vt:lpstr>N_line_mob_total</vt:lpstr>
      <vt:lpstr>N_line_sleeve_desc</vt:lpstr>
      <vt:lpstr>N_line_sleeve_price</vt:lpstr>
      <vt:lpstr>N_line_sleeve_qty</vt:lpstr>
      <vt:lpstr>N_line_sleeve_total</vt:lpstr>
      <vt:lpstr>N_line_soil_desc</vt:lpstr>
      <vt:lpstr>N_line_soil_price</vt:lpstr>
      <vt:lpstr>N_line_soil_qty</vt:lpstr>
      <vt:lpstr>N_line_soil_total</vt:lpstr>
      <vt:lpstr>N_line_steel_desc</vt:lpstr>
      <vt:lpstr>N_line_steel_price</vt:lpstr>
      <vt:lpstr>N_line_steel_qty</vt:lpstr>
      <vt:lpstr>N_line_steel_total</vt:lpstr>
      <vt:lpstr>N_mob_per_pile</vt:lpstr>
      <vt:lpstr>N_mob_police</vt:lpstr>
      <vt:lpstr>N_mob_total</vt:lpstr>
      <vt:lpstr>N_n_piles</vt:lpstr>
      <vt:lpstr>N_p_breaking</vt:lpstr>
      <vt:lpstr>N_p_conc</vt:lpstr>
      <vt:lpstr>N_p_conc_buy</vt:lpstr>
      <vt:lpstr>N_p_conc_place</vt:lpstr>
      <vt:lpstr>N_p_drill_600</vt:lpstr>
      <vt:lpstr>N_p_drill_800</vt:lpstr>
      <vt:lpstr>N_p_mob_base</vt:lpstr>
      <vt:lpstr>N_p_mob_extra</vt:lpstr>
      <vt:lpstr>N_p_piles_per_setup</vt:lpstr>
      <vt:lpstr>N_p_police_km</vt:lpstr>
      <vt:lpstr>N_p_pump_per_m3</vt:lpstr>
      <vt:lpstr>N_p_pump_setup</vt:lpstr>
      <vt:lpstr>N_p_sleeve</vt:lpstr>
      <vt:lpstr>N_p_soil</vt:lpstr>
      <vt:lpstr>N_p_steel</vt:lpstr>
      <vt:lpstr>N_police_km</vt:lpstr>
      <vt:lpstr>N_q_breaking</vt:lpstr>
      <vt:lpstr>N_q_breaking_n</vt:lpstr>
      <vt:lpstr>N_q_conc</vt:lpstr>
      <vt:lpstr>N_q_conc_n</vt:lpstr>
      <vt:lpstr>N_q_drill_600</vt:lpstr>
      <vt:lpstr>N_q_drill_600_n</vt:lpstr>
      <vt:lpstr>N_q_drill_800</vt:lpstr>
      <vt:lpstr>N_q_drill_800_n</vt:lpstr>
      <vt:lpstr>N_q_sleeve</vt:lpstr>
      <vt:lpstr>N_q_sleeve_n</vt:lpstr>
      <vt:lpstr>N_q_soil</vt:lpstr>
      <vt:lpstr>N_q_soil_n</vt:lpstr>
      <vt:lpstr>N_q_steel</vt:lpstr>
      <vt:lpstr>N_q_steel_n</vt:lpstr>
      <vt:lpstr>N_s1_note_1</vt:lpstr>
      <vt:lpstr>N_s1_note_2</vt:lpstr>
      <vt:lpstr>N_s1_note_3</vt:lpstr>
      <vt:lpstr>N_s1_note_4</vt:lpstr>
      <vt:lpstr>N_s1_note_5</vt:lpstr>
      <vt:lpstr>N_s1_note_6</vt:lpstr>
      <vt:lpstr>N_s1_note_7</vt:lpstr>
      <vt:lpstr>N_s1_note_8</vt:lpstr>
      <vt:lpstr>N_s2_dist_km</vt:lpstr>
      <vt:lpstr>N_s2_mob_police</vt:lpstr>
      <vt:lpstr>N_s2_p_mob_base</vt:lpstr>
      <vt:lpstr>N_s2_p_mob_extra</vt:lpstr>
      <vt:lpstr>N_s3_grand_total</vt:lpstr>
      <vt:lpstr>N_s3_soil_total</vt:lpstr>
      <vt:lpstr>N_s3_v_exc</vt:lpstr>
      <vt:lpstr>N_sl_raw_price</vt:lpstr>
      <vt:lpstr>N_t_breaking</vt:lpstr>
      <vt:lpstr>N_t_count</vt:lpstr>
      <vt:lpstr>N_t_L_drill</vt:lpstr>
      <vt:lpstr>N_t_sleeves</vt:lpstr>
      <vt:lpstr>N_t_V_conc</vt:lpstr>
      <vt:lpstr>N_t_V_exc</vt:lpstr>
      <vt:lpstr>N_t_W_extra</vt:lpstr>
      <vt:lpstr>N_t_W_head</vt:lpstr>
      <vt:lpstr>N_t_W_spiral</vt:lpstr>
      <vt:lpstr>N_t_W_total</vt:lpstr>
      <vt:lpstr>N_t_W_vert</vt:lpstr>
      <vt:lpstr>N_v_per_setup</vt:lpstr>
      <vt:lpstr>N_wpl</vt:lpstr>
      <vt:lpstr>N_zone_km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Polys Argyrides</cp:lastModifiedBy>
  <dcterms:created xsi:type="dcterms:W3CDTF">2026-10-26T13:59:52Z</dcterms:created>
  <dcterms:modified xsi:type="dcterms:W3CDTF">2026-10-26T13:59:53Z</dcterms:modified>
</cp:coreProperties>
</file>