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.gemini\antigravity\scratch\pricing_edafoiloseis\"/>
    </mc:Choice>
  </mc:AlternateContent>
  <xr:revisionPtr revIDLastSave="0" documentId="11_AB55E96FBFC895B30968D98D33680AB5DA3E11CE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1_Τιμές_Εταιρείας" sheetId="1" r:id="rId1"/>
    <sheet name="2_Βάρη_Διατομών_Χάλυβα" sheetId="2" r:id="rId2"/>
    <sheet name="3_Υπολογιστές_Έργων_&amp;_Math" sheetId="3" r:id="rId3"/>
    <sheet name="4_Κανόνες_&amp;_Πολιτικ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3" l="1"/>
  <c r="E31" i="3" s="1"/>
  <c r="F31" i="3" s="1"/>
  <c r="C26" i="3"/>
  <c r="D26" i="3" s="1"/>
  <c r="E26" i="3" s="1"/>
  <c r="F26" i="3" s="1"/>
  <c r="D25" i="3"/>
  <c r="E25" i="3" s="1"/>
  <c r="F25" i="3" s="1"/>
  <c r="C25" i="3"/>
  <c r="B19" i="3"/>
  <c r="E19" i="3" s="1"/>
  <c r="D17" i="3"/>
  <c r="E16" i="3"/>
  <c r="D16" i="3"/>
  <c r="D15" i="3"/>
  <c r="E15" i="3" s="1"/>
  <c r="E17" i="3" s="1"/>
  <c r="B18" i="3" s="1"/>
  <c r="B8" i="3"/>
  <c r="D15" i="2"/>
  <c r="C15" i="2"/>
  <c r="E15" i="2" s="1"/>
  <c r="D14" i="2"/>
  <c r="C14" i="2"/>
  <c r="E14" i="2" s="1"/>
  <c r="D13" i="2"/>
  <c r="C13" i="2"/>
  <c r="E13" i="2" s="1"/>
  <c r="D12" i="2"/>
  <c r="C12" i="2"/>
  <c r="E12" i="2" s="1"/>
  <c r="D11" i="2"/>
  <c r="C11" i="2"/>
  <c r="E11" i="2" s="1"/>
  <c r="D10" i="2"/>
  <c r="C10" i="2"/>
  <c r="E10" i="2" s="1"/>
  <c r="D9" i="2"/>
  <c r="C9" i="2"/>
  <c r="E9" i="2" s="1"/>
  <c r="D8" i="2"/>
  <c r="C8" i="2"/>
  <c r="E8" i="2" s="1"/>
  <c r="D7" i="2"/>
  <c r="C7" i="2"/>
  <c r="E7" i="2" s="1"/>
  <c r="D6" i="2"/>
  <c r="C6" i="2"/>
  <c r="E6" i="2" s="1"/>
  <c r="D5" i="2"/>
  <c r="C5" i="2"/>
  <c r="E5" i="2" s="1"/>
  <c r="B20" i="3" l="1"/>
  <c r="E20" i="3" s="1"/>
  <c r="E18" i="3"/>
  <c r="B10" i="3"/>
  <c r="E10" i="3" s="1"/>
  <c r="B9" i="3"/>
  <c r="E9" i="3" s="1"/>
  <c r="E8" i="3"/>
</calcChain>
</file>

<file path=xl/sharedStrings.xml><?xml version="1.0" encoding="utf-8"?>
<sst xmlns="http://schemas.openxmlformats.org/spreadsheetml/2006/main" count="250" uniqueCount="212">
  <si>
    <t>ΚΕΝΤΡΙΚΟΣ ΤΙΜΟΚΑΤΑΛΟΓΟΣ ΕΤΑΙΡΕΙΑΣ — ΕΔΡΑ: ΑΓΙΟΣ ΣΥΛΑΣ, ΛΕΜΕΣΟΣ</t>
  </si>
  <si>
    <t>ΚΙΤΡΙΝΟ = Τιμές μονάδας που αλλάζουν με τους καιρούς  |  ΓΚΡΙ ΠΛΑΙΣΙΑ = Γενικές φόρμουλες υπολογισμού ανά πυλώνα</t>
  </si>
  <si>
    <t>Α/Α</t>
  </si>
  <si>
    <t>Πυλώνας Κόστους</t>
  </si>
  <si>
    <t>Είδος Υλικού / Εργασίας</t>
  </si>
  <si>
    <t>Τιμή Μονάδας (€)
[ΚΙΤΡΙΝΟ = ΑΛΛΑΖΕΙ]</t>
  </si>
  <si>
    <t>Μονάδα</t>
  </si>
  <si>
    <t>Παρατηρήσεις / Προδιαγραφή</t>
  </si>
  <si>
    <t>ΠΥΛΩΝΑΣ 1: ΜΕΤΑΚΙΝΗΣΕΙΣ (ΣΤΡΑΤΕΣ)</t>
  </si>
  <si>
    <t>1. Μετακινήσεις</t>
  </si>
  <si>
    <t>Στράτα Shotcrete — Βασική τιμή (Ζώνη 1: 0–50 km)</t>
  </si>
  <si>
    <t>€/στράτα</t>
  </si>
  <si>
    <t>Βάση: Άγιος Συλάς. Φορτηγό εκτόξευσης &amp; πλεγμάτων</t>
  </si>
  <si>
    <t>Στράτα Εδαφοηλώσεων — Βασική τιμή (Ζώνη 1: 0–50 km)</t>
  </si>
  <si>
    <t>Βάση: Άγιος Συλάς. Φορτηγό ράβδων, πλακών, nuts</t>
  </si>
  <si>
    <t>Επιβάρυνση ανά επιπλέον 50 km (έξω από τα 50 km)</t>
  </si>
  <si>
    <t>Προστίθεται αυτόματα ανά ζώνη 50km πάνω από τη βασική</t>
  </si>
  <si>
    <t>📐 ΓΕΝΙΚΗ ΦΟΡΜΟΥΛΑ &amp; ΚΑΝΟΝΕΣ ΥΠΟΛΟΓΙΣΜΟΥ ΜΕΤΑΚΙΝΗΣΕΩΝ:</t>
  </si>
  <si>
    <t>• ΓΕΝΙΚΗ ΦΟΡΜΟΥΛΑ: Κόστος Μετακινήσεων = (Στράτες Shotcrete × Τιμή Στράτας) + (Στράτες Ήλων × Τιμή Στράτας)</t>
  </si>
  <si>
    <t>• ΠΟΣΕΣ ΣΤΡΑΤΕΣ SHOTCRETE: Στράτες Shotcrete = (Πλήθος Οριζόντιων Σειρών Ήλων) + 1 στράτα (λόγω κλεισίματος ποδιού/τελικής εκσκαφής).</t>
  </si>
  <si>
    <t>• ΠΟΣΕΣ ΣΤΡΑΤΕΣ ΗΛΩΝ: Στράτες Ήλων = (Πλήθος Οριζόντιων Σειρών Ήλων). Κάθε οριζόντια σειρά αποτελεί ξεχωριστή φάση παράδοσης υλικών.</t>
  </si>
  <si>
    <t>• ΠΩΣ ΥΠΟΛΟΓΙΖΕΤΑΙ Η ΤΙΜΗ ΣΤΡΑΤΑΣ: Αν απόσταση έργου &lt;= 50 km από Άγιο Συλά -&gt; Βασική Τιμή. Αν &gt; 50 km -&gt; Βασική Τιμή + [ROUNDUP((km - 50)/50) × 50.00 €].</t>
  </si>
  <si>
    <t>• ΓΕΩΤΡΥΠΑΝΟ (DRILLING RIG): Μένει στο εργοτάξιο καθ' όλη τη διάρκεια του έργου (δεν χρεώνονται καθημερινές μετακινήσεις).</t>
  </si>
  <si>
    <t>ΠΥΛΩΝΑΣ 2: ΣΧΑΡΕΣ (WIRE MESH GRIDS)</t>
  </si>
  <si>
    <t>2. Σχάρες</t>
  </si>
  <si>
    <t>Σίδηρος σχάρας — Αγορά χάλυβα</t>
  </si>
  <si>
    <t>€/kg</t>
  </si>
  <si>
    <t>Ενιαία τιμή αγοράς για όλες τις διατομές σιδήρου πλέγματος</t>
  </si>
  <si>
    <t>Σχάρα — Τοποθέτηση / Εργατικά</t>
  </si>
  <si>
    <t>€/m²</t>
  </si>
  <si>
    <t>Ενιαία τιμή εργατικών τοποθέτησης ανά m² μετώπου εκσκαφής</t>
  </si>
  <si>
    <t>📐 ΓΕΝΙΚΗ ΦΟΡΜΟΥΛΑ &amp; ΚΑΝΟΝΕΣ ΥΠΟΛΟΓΙΣΜΟΥ ΣΧΑΡΩΝ:</t>
  </si>
  <si>
    <t>• ΓΕΝΙΚΗ ΦΟΡΜΟΥΛΑ: Κόστος Σχαρών = (Εμβαδόν Μετώπου m² × kg/m² × 2,50 €/kg) + (Εμβαδόν Μετώπου m² × 15,00 €/m²)</t>
  </si>
  <si>
    <t>• ΕΜΒΑΔΟΝ ΜΕΤΩΠΟΥ (m²): Μήκος Εκσκαφής L (m) × Ύψος Εκσκαφής H (m).</t>
  </si>
  <si>
    <t>• ΠΩΣ ΥΠΟΛΟΓΙΖΟΝΤΑΙ ΤΑ ΚΙΛΑ ΑΝΑ ΤΕΤΡΑΓΩΝΙΚΟ (kg/m²):</t>
  </si>
  <si>
    <t xml:space="preserve">   1. Σε 1 m² (1000×1000 mm), τα τρέχοντα μέτρα ράβδων είναι: (1000 / s_horiz) οριζόντια + (1000 / s_vert) κάθετα.</t>
  </si>
  <si>
    <t xml:space="preserve">   2. Κάθε μέτρο ράβδου ζυγίζει: w = (π × d² / 4) × 7.850 kg/m³, όπου d η διάμετρος σε μέτρα (π.χ. Y10 -&gt; 0,617 kg/m, Y8 -&gt; 0,395 kg/m).</t>
  </si>
  <si>
    <t xml:space="preserve">   3. ΠΑΡΑΔΕΙΓΜΑ Y10/150: (1000/150 + 1000/150) = 13,333 m/m² × 0,6165 kg/m = 8,220 kg/m².</t>
  </si>
  <si>
    <t xml:space="preserve">   4. ΠΑΡΑΔΕΙΓΜΑ ΣΥΝΘΕΤΗΣ ΣΧΑΡΑΣ (π.χ. Y8/100 οριζόντια + Y10/200 κάθετα): (1000/100 × 0,395) + (1000/200 × 0,617) = 3,95 + 3,085 = 7,035 kg/m².</t>
  </si>
  <si>
    <t>ΠΥΛΩΝΑΣ 3: ΕΚΤΟΞΕΥΟΜΕΝΟ ΣΚΥΡΟΔΕΜΑ (SHOTCRETE)</t>
  </si>
  <si>
    <t>3. Shotcrete</t>
  </si>
  <si>
    <t>Σκυρόδεμα C30/37 — Αγορά κουγκριού</t>
  </si>
  <si>
    <t>€/m³</t>
  </si>
  <si>
    <t>Τιμή αγοράς έτοιμου σκυροδέματος C30/37</t>
  </si>
  <si>
    <t>Εκτοξευόμενο — Τοποθέτηση / Εκτόξευση</t>
  </si>
  <si>
    <t>Τιμή αντλίας, χειριστή, εργατικών &amp; εκτόξευσης ανά m³</t>
  </si>
  <si>
    <t>📐 ΓΕΝΙΚΗ ΦΟΡΜΟΥΛΑ &amp; ΚΑΝΟΝΕΣ ΥΠΟΛΟΓΙΣΜΟΥ SHOTCRETE:</t>
  </si>
  <si>
    <t>• ΓΕΝΙΚΗ ΦΟΡΜΟΥΛΑ: Κόστος Shotcrete = Συνολικός Όγκος m³ × (90,00 €/m³ αγορά + 160,00 €/m³ τοποθέτηση) = Όγκος m³ × 250,00 €/m³</t>
  </si>
  <si>
    <t>• ΠΩΣ ΥΠΟΛΟΓΙΖΕΤΑΙ Ο ΟΓΚΟΣ SHOTCRETE (m³):</t>
  </si>
  <si>
    <t xml:space="preserve">   Όγκος = Μήκος Μετώπου L (m) × Ύψος Μετώπου H (m) × Υπολογιστικό Πάχος (m)</t>
  </si>
  <si>
    <t>• ΚΑΝΟΝΑΣ ΠΑΧΟΥΣ (+5cm ΑΠΩΛΕΙΑ): Υπολογιστικό Πάχος = (Ονομαστικό Πάχος Μελέτης) + 0,05 m πάγια απώλεια.</t>
  </si>
  <si>
    <t xml:space="preserve">   Π.χ. για σχέδιο με πάχος 12cm (0,12m) -&gt; Υπολογιστικό Πάχος = 0,12 + 0,05 = 0,17 m.</t>
  </si>
  <si>
    <t>• ΚΟΣΤΟΣ ΑΝΑ ΤΕΤΡΑΓΩΝΙΚΟ ΜΕΤΩΠΟΥ: 0,17 m × 250,00 €/m³ = 42,50 €/m² μετώπου.</t>
  </si>
  <si>
    <t>ΠΥΛΩΝΑΣ 4: ΕΔΑΦΟΗΛΩΣΕΙΣ (SOIL NAILS)</t>
  </si>
  <si>
    <t>4. Εδαφοηλώσεις</t>
  </si>
  <si>
    <t>Τρύπημα (Διάτρηση) — Ήλοι μήκους ≥ 6.0 m</t>
  </si>
  <si>
    <t>€/m</t>
  </si>
  <si>
    <t>Τιμή ανά τρέχον μέτρο διάτρησης για ήλους μήκους 6m και άνω</t>
  </si>
  <si>
    <t>Τρύπημα (Διάτρηση) — Ήλοι μήκους &lt; 6.0 m</t>
  </si>
  <si>
    <t>Τιμή ανά τρέχον μέτρο διάτρησης για ήλους μήκους κάτω των 6m</t>
  </si>
  <si>
    <t>Τρύπημα (Διάτρηση) — Μικρές δουλειές (≤ 5 ήλοι)</t>
  </si>
  <si>
    <t>Εφαρμόζεται σε μικρά έργα με συνολικό πλήθος έως 5 εδαφοηλώσεις</t>
  </si>
  <si>
    <t>Grout (Τσιμεντένεμα) πλήρωσης οπών</t>
  </si>
  <si>
    <t>Ενιαία τιμή έτοιμου τσιμεντενέματος πλήρωσης οπών ανά m³</t>
  </si>
  <si>
    <t>Σίδηρος ήλωσης B500C (Αγορά+Τοποθέτηση+Επεξεργασία)</t>
  </si>
  <si>
    <t>Ενιαία τιμή ράβδων B500C ανά κιλό (συμπεριλαμβάνει αγορά, τοποθέτηση &amp; επεξεργασία)</t>
  </si>
  <si>
    <t>Σχηματισμός πάσου (σπείρωμα κεφαλής για nut)</t>
  </si>
  <si>
    <t>€/τεμ.</t>
  </si>
  <si>
    <t>Χρέωση ανά κεφαλή ήλου για τη μηχανική διαμόρφωση σπειρώματος/πάσου</t>
  </si>
  <si>
    <t>Πλάκα έδρασης κεφαλής</t>
  </si>
  <si>
    <t>Χαλύβδινες πλάκες έδρασης S235 (τιμολογούνται βάσει βάρους: όγκος × 7850 × 2,00 €/kg)</t>
  </si>
  <si>
    <t>Nut (Περικόχλιο) &amp; Ροδέλα σύσφιξης</t>
  </si>
  <si>
    <t>1 σετ κοχλιωτού nut υψηλής αντοχής και ροδέλας ανά ήλο</t>
  </si>
  <si>
    <t>📐 ΓΕΝΙΚΗ ΦΟΡΜΟΥΛΑ &amp; ΚΑΝΟΝΕΣ ΥΠΟΛΟΓΙΣΜΟΥ ΕΔΑΦΟΗΛΩΣΕΩΝ:</t>
  </si>
  <si>
    <t>• ΓΕΝΙΚΗ ΦΟΡΜΟΥΛΑ: Κόστος Εδαφοηλώσεων = Τρύπημα + Grout + Σίδηρο Ήλων + Πάσο + Πλάκες Έδρασης + Nuts</t>
  </si>
  <si>
    <t>• 1. ΤΡΥΠΗΜΑ (ΔΙΑΤΡΗΣΗ): Συνολικά Μέτρα Διάτρησης (m) × (Τιμή €/m βάσει μήκους ήλου: 25 €/m για &gt;=6m, 30 €/m για &lt;6m).</t>
  </si>
  <si>
    <t>• 2. GROUT (ΤΣΙΜΕΝΤΕΝΕΜΑ) — ΚΑΝΟΝΕΣ ΜΑΣΤΡΟΥ:</t>
  </si>
  <si>
    <t xml:space="preserve">   α) ΔΙΑΜΕΤΡΟΣ ΤΡΥΠΑΣ: ΕΙΝΑΙ ΠΑΝΤΑ 12 cm (0,12 m) ασχέτως αν η μελέτη ζητά 10 cm ή 13 cm! Άρα Ακτίνα R = 0,06 m ΠΑΝΤΑ!</t>
  </si>
  <si>
    <t xml:space="preserve">   β) ΑΠΩΛΕΙΑ GROUT (* 1.20): Στον θεωρητικό όγκο προστίθεται ΠΑΝΤΑ συντελεστής 1,20 (+20% απώλεια / υπερκατανάλωση εδάφους).</t>
  </si>
  <si>
    <t xml:space="preserve">   γ) ΟΓΚΟΣ GROUT ΑΝΑ ΜΕΤΡΟ ΟΠΗΣ: V/m = π × R² × 1,20 = π × (0,06)² × 1,20 = 0,01357 m³/m.</t>
  </si>
  <si>
    <t xml:space="preserve">   δ) ΠΑΡΑΔΕΙΓΜΑ: Ήλος 7m -&gt; V = 7 × 0,01357 = 0,0950 m³ (47,50 €). Ήλος 6m -&gt; V = 6 × 0,01357 = 0,0814 m³ (40,70 €).</t>
  </si>
  <si>
    <t>• 3. ΣΙΔΗΡΟΣ ΗΛΩΣΗΣ (B500C): Μήκος ράβδου × Θεωρητικό Βάρος διατομής (kg/m) × 1,50 €/kg (όλα μαζί).</t>
  </si>
  <si>
    <t xml:space="preserve">   Π.χ. για Y25 (3,853 kg/m): Ήλος 7m -&gt; 7 × 3,853 = 26,97 kg × 1,50 = 40,46 €. Ήλος 6m -&gt; 6 × 3,853 = 23,12 kg × 1,50 = 34,68 €.</t>
  </si>
  <si>
    <t>• 4. ΠΑΣΟ: 1 πάσο ανά ήλο × 20,00 €/τεμάχιο.</t>
  </si>
  <si>
    <t>• 5. ΠΛΑΚΑ ΕΔΡΑΣΗΣ: Όγκος (H × W × T σε m) × 7.850 kg/m³ × 2,00 €/kg. Για πλάκα 200×200×12 mm: 3,768 kg × 2,00 = 7,54 €/τεμάχιο.</t>
  </si>
  <si>
    <t>• 6. NUTS: 1 nut &amp; ροδέλα ανά ήλο × 5,00 €/τεμάχιο.</t>
  </si>
  <si>
    <t>Β. ΦΥΣΙΚΕΣ ΣΤΑΘΕΡΕΣ &amp; ΠΑΓΙΟΙ ΚΑΝΟΝΕΣ (ΛΕΥΚΟ — ΔΕΝ ΑΛΛΑΖΟΥΝ ΠΟΤΕ)</t>
  </si>
  <si>
    <t>—</t>
  </si>
  <si>
    <t>Σταθερά</t>
  </si>
  <si>
    <t>Πυκνότητα χάλυβα (ρ)</t>
  </si>
  <si>
    <t>kg/m³</t>
  </si>
  <si>
    <t>Φυσική σταθερά για υπολογισμό κιλών ράβδων, σχαρών, πλακών</t>
  </si>
  <si>
    <t>Διάμετρος οπής διάτρησης (D)</t>
  </si>
  <si>
    <t>m</t>
  </si>
  <si>
    <t>ΠΑΝΤΑ 12 cm (ακτίνα R = 0.06 m) ανεξαρτήτως απαίτησης μελέτης</t>
  </si>
  <si>
    <t>Συντελεστής απώλειας Grout (* 1.20)</t>
  </si>
  <si>
    <t>συντελεστής</t>
  </si>
  <si>
    <t>+20% υπερκατανάλωση τσιμεντενέματος λόγω πορώδους/διαφυγής</t>
  </si>
  <si>
    <t>Πάγια απώλεια πάχους εκτοξευόμενου (+5cm)</t>
  </si>
  <si>
    <t>Προστίθεται υποχρεωτικά στο ονομαστικό πάχος της μελέτης</t>
  </si>
  <si>
    <t>Βασική ακτίνα απόστασης (Ζώνη 1)</t>
  </si>
  <si>
    <t>km</t>
  </si>
  <si>
    <t>Καλύπτει ακτίνα 50 km από Άγιο Συλά, Σπύρου Κυπριανού 32, Λεμεσό</t>
  </si>
  <si>
    <t>ΜΗΤΡΩΟ ΔΙΑΤΟΜΩΝ ΧΑΛΥΒΑ (Y6 ΕΩΣ Y40) — ΘΕΩΡΗΤΙΚΟ ΒΑΡΟΣ kg/m</t>
  </si>
  <si>
    <t>Φυσικός τύπος: kg/m = π × (d/1000)² / 4 × 7.850 kg/m³  |  Ίδια τιμή €/kg για όλες τις διατομές</t>
  </si>
  <si>
    <t>Διατομή (Y)</t>
  </si>
  <si>
    <t>Διάμετρος d (mm)</t>
  </si>
  <si>
    <t>Θεωρητικό Βάρος (kg/m)</t>
  </si>
  <si>
    <t>Τιμή Σιδήρου Ήλωσης (€/kg)</t>
  </si>
  <si>
    <t>Κόστος ράβδου ανά τρέχον μέτρο (€/m)</t>
  </si>
  <si>
    <t>Συνήθης Χρήση</t>
  </si>
  <si>
    <t>Y6</t>
  </si>
  <si>
    <t>Σχάρες μετώπου ελαφρού τύπου</t>
  </si>
  <si>
    <t>Y8</t>
  </si>
  <si>
    <t>Σχάρες μετώπου τυπικού τύπου</t>
  </si>
  <si>
    <t>Y10</t>
  </si>
  <si>
    <t>Σχάρες μετώπου (π.χ. ALDO SQ1 Y10/150)</t>
  </si>
  <si>
    <t>Y12</t>
  </si>
  <si>
    <t>Βαριές σχάρες μετώπου / μικροί ήλοι</t>
  </si>
  <si>
    <t>Y14</t>
  </si>
  <si>
    <t>Ειδικοί οπλισμοί</t>
  </si>
  <si>
    <t>Y16</t>
  </si>
  <si>
    <t>Ήλοι μικρού μήκους</t>
  </si>
  <si>
    <t>Y20</t>
  </si>
  <si>
    <t>Εδαφοηλώσεις μέσου φορτίου / βαριά grids</t>
  </si>
  <si>
    <t>Y25</t>
  </si>
  <si>
    <t>Κύριος οπλισμός ήλων (π.χ. ALDO SQ1 Y25)</t>
  </si>
  <si>
    <t>Y28</t>
  </si>
  <si>
    <t>Εδαφοηλώσεις υψηλού φορτίου</t>
  </si>
  <si>
    <t>Y32</t>
  </si>
  <si>
    <t>Βαριές εδαφοηλώσεις / μόνιμα αγκύρια</t>
  </si>
  <si>
    <t>Y40</t>
  </si>
  <si>
    <t>Πολύ βαριά αγκύρια / μικροπάσσαλοι</t>
  </si>
  <si>
    <t>ΕΡΓΑΛΕΙΑ ΥΠΟΛΟΓΙΣΜΟΥ ΕΡΓΩΝ &amp; ΕΠΕΞΗΓΗΣΗ ΜΑΘΗΜΑΤΙΚΩΝ (SANDBOX)</t>
  </si>
  <si>
    <t>ΓΑΛΑΖΙΑ ΚΕΛΙΑ = Εισαγωγή στοιχείων από τη μελέτη μηχανικού  |  Οι τιμές μονάδας αντλούνται αυτόματα από τον Τιμοκατάλογο (Φύλλο 1)</t>
  </si>
  <si>
    <t>1. ΥΠΟΛΟΓΙΣΤΗΣ ΤΙΜΗΣ ΣΤΡΑΤΑΣ ΑΝΑ ΑΠΟΣΤΑΣΗ ΕΡΓΟΤΑΞΙΟΥ</t>
  </si>
  <si>
    <t>Εισάγετε τη χιλιομετρική απόσταση του έργου από την έδρα (Άγιος Συλάς, Σπύρου Κυπριανού 32):</t>
  </si>
  <si>
    <t>Παράμετρος Έργου</t>
  </si>
  <si>
    <t>Τιμή / Εισαγωγή</t>
  </si>
  <si>
    <t>Τύπος Υπολογισμού</t>
  </si>
  <si>
    <t>Αποτέλεσμα</t>
  </si>
  <si>
    <t>Παρατηρήσεις</t>
  </si>
  <si>
    <t>Οδική Απόσταση Έργου από Άγιο Συλά</t>
  </si>
  <si>
    <t>Εισαγωγή από μελέτη / Google Maps</t>
  </si>
  <si>
    <t>Βασική ζώνη έως 50 km</t>
  </si>
  <si>
    <t>Επιπλέον Ζώνες των 50 km</t>
  </si>
  <si>
    <t>ζώνες</t>
  </si>
  <si>
    <t>MAX(0, ROUNDUP((km − 50)/50, 0))</t>
  </si>
  <si>
    <t>0 = έως 50km, 1 = 51-100km, 2 = 101-150km</t>
  </si>
  <si>
    <t>Τελική Τιμή Στράτας Shotcrete για το Έργο</t>
  </si>
  <si>
    <t>€ / στράτα</t>
  </si>
  <si>
    <t>Βασική (200 €) + Ζώνες × 50 €</t>
  </si>
  <si>
    <t>Χρησιμοποιείται στην κοστολόγηση shotcrete</t>
  </si>
  <si>
    <t>Τελική Τιμή Στράτας Εδαφοηλώσεων για το Έργο</t>
  </si>
  <si>
    <t>Βασική (300 €) + Ζώνες × 50 €</t>
  </si>
  <si>
    <t>Χρησιμοποιείται στην κοστολόγηση ήλων</t>
  </si>
  <si>
    <t>2. ΥΠΟΛΟΓΙΣΤΗΣ ΒΑΡΟΥΣ &amp; ΚΟΣΤΟΥΣ ΣΧΑΡΑΣ ΜΕΛΕΤΗΣ (CUSTOM GRID CALCULATOR)</t>
  </si>
  <si>
    <t>Εισάγετε τη διάμετρο Y και το βήμα (απόσταση σε mm) για τις οριζόντιες και κάθετες ράβδους:</t>
  </si>
  <si>
    <t>Διεύθυνση Οπλισμού</t>
  </si>
  <si>
    <t>Διάμετρος Y (mm)</t>
  </si>
  <si>
    <t>Βήμα s (mm)</t>
  </si>
  <si>
    <t>Μέτρα Ράβδων ανά m²</t>
  </si>
  <si>
    <t>Βάρος Ράβδων (kg/m²)</t>
  </si>
  <si>
    <t>Τρόπος Υπολογισμού</t>
  </si>
  <si>
    <t>Οριζόντιες Ράβδοι Μετώπου</t>
  </si>
  <si>
    <t>1000/s × kg/m του Y</t>
  </si>
  <si>
    <t>Κάθετες Ράβδοι Μετώπου</t>
  </si>
  <si>
    <t>ΣΥΝΟΛΙΚΟ ΒΑΡΟΣ ΧΑΛΥΒΑ ΣΧΑΡΑΣ</t>
  </si>
  <si>
    <t>kg χάλυβα ανά m² επιφάνειας μετώπου</t>
  </si>
  <si>
    <t>Κόστος Αγοράς Σιδήρου Σχάρας ανά m²</t>
  </si>
  <si>
    <t>€ / m²</t>
  </si>
  <si>
    <t>kg/m² × 2,50 €/kg (από Τιμοκατάλογο)</t>
  </si>
  <si>
    <t>Κόστος υλικού</t>
  </si>
  <si>
    <t>Κόστος Τοποθέτησης Σχάρας ανά m²</t>
  </si>
  <si>
    <t>15,00 €/m² (από Τιμοκατάλογο)</t>
  </si>
  <si>
    <t>Εργατικά τοποθέτησης</t>
  </si>
  <si>
    <t>ΤΕΛΙΚΟ ΚΟΣΤΟΣ ΣΧΑΡΑΣ ΑΝΑ m² (ΑΓΟΡΑ + ΤΟΠΟΘΕΤΗΣΗ)</t>
  </si>
  <si>
    <t>Αγορά + Τοποθέτηση</t>
  </si>
  <si>
    <t>Συνολικό κόστος ανά m² για την κοστολόγηση</t>
  </si>
  <si>
    <t>3. ΥΠΟΛΟΓΙΣΤΗΣ GROUT ΗΛΩΝ (ΤΡΥΠΑ D=12cm, R=0.06m &amp; ΑΠΩΛΕΙΑ * 1.20)</t>
  </si>
  <si>
    <t>Κανόνας Μάστρου: Τρύπα ΠΑΝΤΑ 12cm (R=0.06m) και συντελεστής απώλειας * 1.20 (20%):</t>
  </si>
  <si>
    <t>Τύπος Ήλου</t>
  </si>
  <si>
    <t>Μήκος L (m)</t>
  </si>
  <si>
    <t>Διάμετρος Οπής D (m)</t>
  </si>
  <si>
    <t>Ακτίνα R (m)</t>
  </si>
  <si>
    <t>Όγκος Grout ανά Ήλο (m³)
[π × R² × L × 1,20]</t>
  </si>
  <si>
    <t>Κόστος Grout ανά Ήλο (€)
[m³ × 500 €/m³]</t>
  </si>
  <si>
    <t>Ήλος 7m (Σειρές 1, 2, 3)</t>
  </si>
  <si>
    <t>Ήλος 6m (Σειρές 4, 5, 6)</t>
  </si>
  <si>
    <t>4. ΥΠΟΛΟΓΙΣΤΗΣ ΒΑΡΟΥΣ &amp; ΚΟΣΤΟΥΣ ΠΛΑΚΑΣ ΕΔΡΑΣΗΣ</t>
  </si>
  <si>
    <t>Εισάγετε τις διαστάσεις της χαλύβδινης πλάκας έδρασης κεφαλής από το σχέδιο (σε mm):</t>
  </si>
  <si>
    <t>Ύψος H (mm)</t>
  </si>
  <si>
    <t>Πλάτος W (mm)</t>
  </si>
  <si>
    <t>Πάχος T (mm)</t>
  </si>
  <si>
    <t>Όγκος Πλάκας (m³)</t>
  </si>
  <si>
    <t>Βάρος Πλάκας (kg/τεμ)</t>
  </si>
  <si>
    <t>Κόστος Πλάκας (€/τεμ)</t>
  </si>
  <si>
    <t>ΚΑΝΟΝΕΣ ΤΙΜΟΚΑΤΑΛΟΓΟΥ &amp; ΠΟΛΙΤΙΚΗ ΑΠΟΥΣΙΑΣ ΥΛΙΚΟΥ (MISSING MATERIAL POLICY)</t>
  </si>
  <si>
    <t>Θέμα / Πεδίο</t>
  </si>
  <si>
    <t>Κανόνας Λειτουργίας &amp; Οδηγία για το AI</t>
  </si>
  <si>
    <t>Κανόνας Χρωματισμού</t>
  </si>
  <si>
    <t>• ΚΙΤΡΙΝΟ (#FFF2CC): Τιμές μονάδας που αλλάζουν με τους καιρούς / συνθήκες αγοράς.
• ΛΕΥΚΟ (Χωρίς γέμισμα): Φυσικές σταθερές (7850 kg/m³, π), γεωμετρία και δυναμικοί τύποι.
• ΓΑΛΑΖΙΟ (#DDEBF7): Εισαγωγή στοιχείων ανά έργο στους διαδραστικούς υπολογιστές.</t>
  </si>
  <si>
    <t>Κανόνας Σιδήρου (Σχάρες &amp; Ήλοι)</t>
  </si>
  <si>
    <t>Ο σίδηρος τιμολογείται ΑΠΟΚΛΕΙΣΤΙΚΑ με βάση το βάρος σε ευρώ ανά κιλό (€/kg):
• Σχάρες: 2,50 €/kg αγορά + 15,00 €/m² τοποθέτηση.
• Ήλοι: 1,50 €/kg (αγορά + τοποθέτηση + επεξεργασία όλα μαζί).
ΔΕΝ υπάρχουν διαφορετικές τιμές ανά Y ούτε λίστα προκατασκευασμένων πλεγμάτων. Τα κιλά υπολογίζονται από τον ενιαίο πίνακα βαρών (Φύλλο 2).</t>
  </si>
  <si>
    <t>Κανόνας Εκτοξευόμενου Σκυροδέματος</t>
  </si>
  <si>
    <t>Προς το παρόν υπάρχει μία κατηγορία: C30/37 με 90,00 €/m³ αγορά και 160,00 €/m³ τοποθέτηση. Το πάχος υπολογισμού είναι πάντα: Ονομαστικό πάχος μελέτης + 0,05 m (+5cm πάγια απώλεια).</t>
  </si>
  <si>
    <t>Κανόνας Grout (Τρύπα 12cm &amp; Απώλεια * 1.20)</t>
  </si>
  <si>
    <t>• Η διάμετρος τρύπησης είναι ΠΑΝΤΑ 12 cm (R = 0,06 m) ανεξαρτήτως αν η μελέτη αναφέρει 10 cm ή 13 cm.
• Στον όγκο του grout προστίθεται ΠΑΝΤΑ απώλεια * 1,20 (+20%).
• Ενιαία τιμή grout: 500,00 €/m³.</t>
  </si>
  <si>
    <t>ΚΑΝΟΝΑΣ ΑΠΟΥΣΙΑΣ ΥΛΙΚΟΥ (ΥΠΟΧΡΕΩΤΙΚΟ ΜΗΝΥΜΑ AI)</t>
  </si>
  <si>
    <t>Εάν ο μελετητής ζητήσει υλικό που ΔΕΝ υπάρχει στον παρόντα τιμοκατάλογο (π.χ. άλλη κατηγορία σκυροδέματος C35/45, διατομή εκτός πίνακα Y6–Y40, κοίλες ράβδους, ειδικές ίνες):
-&gt; Το σύστημα AI ΑΠΑΓΟΡΕΥΕΤΑΙ ΑΥΣΤΗΡΑ να μαντέψει ή να εφεύρει τιμή!
-&gt; Το σύστημα ΣΤΑΜΑΤΑΕΙ και εμφανίζει στον χρήστη ρητά το μήνυμα:
   «Δεν υπάρχει αυτό το είδος ([Όνομα Είδους]) στον τιμοκατάλογο. Καθοδήγησέ με με τιμή να ξέρω.»
-&gt; Μόνο αφού ο χρήστης δώσει την τιμή, η κοστολόγηση προχωρά.</t>
  </si>
  <si>
    <t>Κανόνας Απόστασης (Έδρα Άγιος Συλάς)</t>
  </si>
  <si>
    <t>Αφετηρία: Άγιος Συλάς, Σπύρου Κυπριανού 32, Λεμεσός.
• Ζώνη 1 (0 – 50 km): Βασική τιμή στράτας (200 € shotcrete, 300 € ήλοι).
• Κάθε επιπλέον 50 km (ή μέρος αυτών): +50,00 € ανά στράτα αυτόματα.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</si>
</sst>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"/>
    <numFmt numFmtId="165" formatCode="#,##0.000"/>
    <numFmt numFmtId="166" formatCode="#,##0.0000"/>
    <numFmt numFmtId="167" formatCode="#,##0.000000"/>
  </numFmts>
  <fonts count="8">
    <font>
      <sz val="11"/>
      <color theme="1"/>
      <name val="Calibri"/>
      <family val="2"/>
      <scheme val="minor"/>
    </font>
    <font>
      <b/>
      <sz val="15"/>
      <color rgb="FF1F4E78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sz val="11"/>
      <name val="Calibri"/>
    </font>
    <font>
      <b/>
      <sz val="11"/>
      <name val="Calibri"/>
    </font>
    <font>
      <i/>
      <sz val="10"/>
      <color rgb="FF333333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0" fillId="3" borderId="1" xfId="0" applyFill="1" applyBorder="1"/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/>
    <xf numFmtId="0" fontId="5" fillId="0" borderId="2" xfId="0" applyFont="1" applyBorder="1"/>
    <xf numFmtId="164" fontId="6" fillId="4" borderId="2" xfId="0" applyNumberFormat="1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/>
    <xf numFmtId="3" fontId="6" fillId="0" borderId="2" xfId="0" applyNumberFormat="1" applyFont="1" applyBorder="1" applyAlignment="1">
      <alignment horizontal="right" vertical="center" wrapText="1"/>
    </xf>
    <xf numFmtId="4" fontId="6" fillId="0" borderId="2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right" vertical="center" wrapText="1"/>
    </xf>
    <xf numFmtId="165" fontId="6" fillId="0" borderId="2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164" fontId="6" fillId="6" borderId="2" xfId="0" applyNumberFormat="1" applyFont="1" applyFill="1" applyBorder="1" applyAlignment="1">
      <alignment horizontal="right" vertical="center" wrapText="1"/>
    </xf>
    <xf numFmtId="3" fontId="6" fillId="7" borderId="2" xfId="0" applyNumberFormat="1" applyFont="1" applyFill="1" applyBorder="1" applyAlignment="1">
      <alignment horizontal="right" vertical="center" wrapText="1"/>
    </xf>
    <xf numFmtId="3" fontId="6" fillId="6" borderId="2" xfId="0" applyNumberFormat="1" applyFont="1" applyFill="1" applyBorder="1" applyAlignment="1">
      <alignment horizontal="right" vertical="center" wrapText="1"/>
    </xf>
    <xf numFmtId="164" fontId="6" fillId="8" borderId="2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Border="1" applyAlignment="1">
      <alignment horizontal="right" vertical="center" wrapText="1"/>
    </xf>
    <xf numFmtId="4" fontId="5" fillId="0" borderId="2" xfId="0" applyNumberFormat="1" applyFont="1" applyBorder="1" applyAlignment="1">
      <alignment horizontal="right" vertical="center" wrapText="1"/>
    </xf>
    <xf numFmtId="165" fontId="6" fillId="8" borderId="2" xfId="0" applyNumberFormat="1" applyFont="1" applyFill="1" applyBorder="1" applyAlignment="1">
      <alignment horizontal="right" vertical="center" wrapText="1"/>
    </xf>
    <xf numFmtId="4" fontId="6" fillId="7" borderId="2" xfId="0" applyNumberFormat="1" applyFont="1" applyFill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166" fontId="6" fillId="6" borderId="2" xfId="0" applyNumberFormat="1" applyFont="1" applyFill="1" applyBorder="1" applyAlignment="1">
      <alignment horizontal="right" vertical="center" wrapText="1"/>
    </xf>
    <xf numFmtId="167" fontId="5" fillId="0" borderId="2" xfId="0" applyNumberFormat="1" applyFont="1" applyBorder="1" applyAlignment="1">
      <alignment horizontal="right" vertical="center" wrapText="1"/>
    </xf>
    <xf numFmtId="165" fontId="6" fillId="6" borderId="2" xfId="0" applyNumberFormat="1" applyFont="1" applyFill="1" applyBorder="1" applyAlignment="1">
      <alignment horizontal="right" vertical="center" wrapText="1"/>
    </xf>
    <xf numFmtId="0" fontId="6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wrapText="1"/>
    </xf>
    <xf numFmtId="0" fontId="0" fillId="5" borderId="2" xfId="0" applyFill="1" applyBorder="1"/>
    <xf numFmtId="0" fontId="6" fillId="5" borderId="2" xfId="0" applyFont="1" applyFill="1" applyBorder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pane ySplit="4" topLeftCell="A56" activePane="bottomLeft" state="frozen"/>
      <selection pane="bottomLeft"/>
    </sheetView>
  </sheetViews>
  <sheetFormatPr defaultRowHeight="14.5"/>
  <cols>
    <col min="1" max="1" width="8" customWidth="1"/>
    <col min="2" max="2" width="22" customWidth="1"/>
    <col min="3" max="3" width="54" customWidth="1"/>
    <col min="4" max="4" width="22" customWidth="1"/>
    <col min="5" max="5" width="16" customWidth="1"/>
    <col min="6" max="6" width="65" customWidth="1"/>
  </cols>
  <sheetData>
    <row r="1" spans="1:6" ht="19.5">
      <c r="A1" s="1" t="s">
        <v>0</v>
      </c>
    </row>
    <row r="2" spans="1:6">
      <c r="A2" s="2" t="s">
        <v>1</v>
      </c>
    </row>
    <row r="4" spans="1:6" ht="2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15.5">
      <c r="A5" s="4" t="s">
        <v>8</v>
      </c>
      <c r="B5" s="5"/>
      <c r="C5" s="5"/>
      <c r="D5" s="5"/>
      <c r="E5" s="5"/>
      <c r="F5" s="5"/>
    </row>
    <row r="6" spans="1:6">
      <c r="A6" s="6">
        <v>1</v>
      </c>
      <c r="B6" s="7" t="s">
        <v>9</v>
      </c>
      <c r="C6" s="8" t="s">
        <v>10</v>
      </c>
      <c r="D6" s="9">
        <v>200</v>
      </c>
      <c r="E6" s="10" t="s">
        <v>11</v>
      </c>
      <c r="F6" s="11" t="s">
        <v>12</v>
      </c>
    </row>
    <row r="7" spans="1:6">
      <c r="A7" s="6">
        <v>2</v>
      </c>
      <c r="B7" s="7" t="s">
        <v>9</v>
      </c>
      <c r="C7" s="8" t="s">
        <v>13</v>
      </c>
      <c r="D7" s="9">
        <v>300</v>
      </c>
      <c r="E7" s="10" t="s">
        <v>11</v>
      </c>
      <c r="F7" s="11" t="s">
        <v>14</v>
      </c>
    </row>
    <row r="8" spans="1:6">
      <c r="A8" s="6">
        <v>3</v>
      </c>
      <c r="B8" s="7" t="s">
        <v>9</v>
      </c>
      <c r="C8" s="8" t="s">
        <v>15</v>
      </c>
      <c r="D8" s="9">
        <v>50</v>
      </c>
      <c r="E8" s="10" t="s">
        <v>11</v>
      </c>
      <c r="F8" s="11" t="s">
        <v>16</v>
      </c>
    </row>
    <row r="9" spans="1:6">
      <c r="A9" s="36" t="s">
        <v>17</v>
      </c>
      <c r="B9" s="35"/>
      <c r="C9" s="35"/>
      <c r="D9" s="35"/>
      <c r="E9" s="35"/>
      <c r="F9" s="35"/>
    </row>
    <row r="10" spans="1:6" ht="22" customHeight="1">
      <c r="A10" s="34" t="s">
        <v>18</v>
      </c>
      <c r="B10" s="35"/>
      <c r="C10" s="35"/>
      <c r="D10" s="35"/>
      <c r="E10" s="35"/>
      <c r="F10" s="35"/>
    </row>
    <row r="11" spans="1:6" ht="22" customHeight="1">
      <c r="A11" s="34" t="s">
        <v>19</v>
      </c>
      <c r="B11" s="35"/>
      <c r="C11" s="35"/>
      <c r="D11" s="35"/>
      <c r="E11" s="35"/>
      <c r="F11" s="35"/>
    </row>
    <row r="12" spans="1:6" ht="22" customHeight="1">
      <c r="A12" s="34" t="s">
        <v>20</v>
      </c>
      <c r="B12" s="35"/>
      <c r="C12" s="35"/>
      <c r="D12" s="35"/>
      <c r="E12" s="35"/>
      <c r="F12" s="35"/>
    </row>
    <row r="13" spans="1:6" ht="22" customHeight="1">
      <c r="A13" s="34" t="s">
        <v>21</v>
      </c>
      <c r="B13" s="35"/>
      <c r="C13" s="35"/>
      <c r="D13" s="35"/>
      <c r="E13" s="35"/>
      <c r="F13" s="35"/>
    </row>
    <row r="14" spans="1:6" ht="22" customHeight="1">
      <c r="A14" s="34" t="s">
        <v>22</v>
      </c>
      <c r="B14" s="35"/>
      <c r="C14" s="35"/>
      <c r="D14" s="35"/>
      <c r="E14" s="35"/>
      <c r="F14" s="35"/>
    </row>
    <row r="16" spans="1:6" ht="15.5">
      <c r="A16" s="4" t="s">
        <v>23</v>
      </c>
      <c r="B16" s="5"/>
      <c r="C16" s="5"/>
      <c r="D16" s="5"/>
      <c r="E16" s="5"/>
      <c r="F16" s="5"/>
    </row>
    <row r="17" spans="1:6">
      <c r="A17" s="6">
        <v>4</v>
      </c>
      <c r="B17" s="7" t="s">
        <v>24</v>
      </c>
      <c r="C17" s="8" t="s">
        <v>25</v>
      </c>
      <c r="D17" s="9">
        <v>2.5</v>
      </c>
      <c r="E17" s="10" t="s">
        <v>26</v>
      </c>
      <c r="F17" s="11" t="s">
        <v>27</v>
      </c>
    </row>
    <row r="18" spans="1:6">
      <c r="A18" s="6">
        <v>5</v>
      </c>
      <c r="B18" s="7" t="s">
        <v>24</v>
      </c>
      <c r="C18" s="8" t="s">
        <v>28</v>
      </c>
      <c r="D18" s="9">
        <v>15</v>
      </c>
      <c r="E18" s="10" t="s">
        <v>29</v>
      </c>
      <c r="F18" s="11" t="s">
        <v>30</v>
      </c>
    </row>
    <row r="19" spans="1:6">
      <c r="A19" s="36" t="s">
        <v>31</v>
      </c>
      <c r="B19" s="35"/>
      <c r="C19" s="35"/>
      <c r="D19" s="35"/>
      <c r="E19" s="35"/>
      <c r="F19" s="35"/>
    </row>
    <row r="20" spans="1:6" ht="22" customHeight="1">
      <c r="A20" s="34" t="s">
        <v>32</v>
      </c>
      <c r="B20" s="35"/>
      <c r="C20" s="35"/>
      <c r="D20" s="35"/>
      <c r="E20" s="35"/>
      <c r="F20" s="35"/>
    </row>
    <row r="21" spans="1:6" ht="22" customHeight="1">
      <c r="A21" s="34" t="s">
        <v>33</v>
      </c>
      <c r="B21" s="35"/>
      <c r="C21" s="35"/>
      <c r="D21" s="35"/>
      <c r="E21" s="35"/>
      <c r="F21" s="35"/>
    </row>
    <row r="22" spans="1:6" ht="22" customHeight="1">
      <c r="A22" s="34" t="s">
        <v>34</v>
      </c>
      <c r="B22" s="35"/>
      <c r="C22" s="35"/>
      <c r="D22" s="35"/>
      <c r="E22" s="35"/>
      <c r="F22" s="35"/>
    </row>
    <row r="23" spans="1:6" ht="22" customHeight="1">
      <c r="A23" s="34" t="s">
        <v>35</v>
      </c>
      <c r="B23" s="35"/>
      <c r="C23" s="35"/>
      <c r="D23" s="35"/>
      <c r="E23" s="35"/>
      <c r="F23" s="35"/>
    </row>
    <row r="24" spans="1:6" ht="22" customHeight="1">
      <c r="A24" s="34" t="s">
        <v>36</v>
      </c>
      <c r="B24" s="35"/>
      <c r="C24" s="35"/>
      <c r="D24" s="35"/>
      <c r="E24" s="35"/>
      <c r="F24" s="35"/>
    </row>
    <row r="25" spans="1:6" ht="22" customHeight="1">
      <c r="A25" s="34" t="s">
        <v>37</v>
      </c>
      <c r="B25" s="35"/>
      <c r="C25" s="35"/>
      <c r="D25" s="35"/>
      <c r="E25" s="35"/>
      <c r="F25" s="35"/>
    </row>
    <row r="26" spans="1:6" ht="22" customHeight="1">
      <c r="A26" s="34" t="s">
        <v>38</v>
      </c>
      <c r="B26" s="35"/>
      <c r="C26" s="35"/>
      <c r="D26" s="35"/>
      <c r="E26" s="35"/>
      <c r="F26" s="35"/>
    </row>
    <row r="28" spans="1:6" ht="15.5">
      <c r="A28" s="4" t="s">
        <v>39</v>
      </c>
      <c r="B28" s="5"/>
      <c r="C28" s="5"/>
      <c r="D28" s="5"/>
      <c r="E28" s="5"/>
      <c r="F28" s="5"/>
    </row>
    <row r="29" spans="1:6">
      <c r="A29" s="6">
        <v>6</v>
      </c>
      <c r="B29" s="7" t="s">
        <v>40</v>
      </c>
      <c r="C29" s="8" t="s">
        <v>41</v>
      </c>
      <c r="D29" s="9">
        <v>90</v>
      </c>
      <c r="E29" s="10" t="s">
        <v>42</v>
      </c>
      <c r="F29" s="11" t="s">
        <v>43</v>
      </c>
    </row>
    <row r="30" spans="1:6">
      <c r="A30" s="6">
        <v>7</v>
      </c>
      <c r="B30" s="7" t="s">
        <v>40</v>
      </c>
      <c r="C30" s="8" t="s">
        <v>44</v>
      </c>
      <c r="D30" s="9">
        <v>160</v>
      </c>
      <c r="E30" s="10" t="s">
        <v>42</v>
      </c>
      <c r="F30" s="11" t="s">
        <v>45</v>
      </c>
    </row>
    <row r="31" spans="1:6">
      <c r="A31" s="36" t="s">
        <v>46</v>
      </c>
      <c r="B31" s="35"/>
      <c r="C31" s="35"/>
      <c r="D31" s="35"/>
      <c r="E31" s="35"/>
      <c r="F31" s="35"/>
    </row>
    <row r="32" spans="1:6" ht="22" customHeight="1">
      <c r="A32" s="34" t="s">
        <v>47</v>
      </c>
      <c r="B32" s="35"/>
      <c r="C32" s="35"/>
      <c r="D32" s="35"/>
      <c r="E32" s="35"/>
      <c r="F32" s="35"/>
    </row>
    <row r="33" spans="1:6" ht="22" customHeight="1">
      <c r="A33" s="34" t="s">
        <v>48</v>
      </c>
      <c r="B33" s="35"/>
      <c r="C33" s="35"/>
      <c r="D33" s="35"/>
      <c r="E33" s="35"/>
      <c r="F33" s="35"/>
    </row>
    <row r="34" spans="1:6" ht="22" customHeight="1">
      <c r="A34" s="34" t="s">
        <v>49</v>
      </c>
      <c r="B34" s="35"/>
      <c r="C34" s="35"/>
      <c r="D34" s="35"/>
      <c r="E34" s="35"/>
      <c r="F34" s="35"/>
    </row>
    <row r="35" spans="1:6" ht="22" customHeight="1">
      <c r="A35" s="34" t="s">
        <v>50</v>
      </c>
      <c r="B35" s="35"/>
      <c r="C35" s="35"/>
      <c r="D35" s="35"/>
      <c r="E35" s="35"/>
      <c r="F35" s="35"/>
    </row>
    <row r="36" spans="1:6" ht="22" customHeight="1">
      <c r="A36" s="34" t="s">
        <v>51</v>
      </c>
      <c r="B36" s="35"/>
      <c r="C36" s="35"/>
      <c r="D36" s="35"/>
      <c r="E36" s="35"/>
      <c r="F36" s="35"/>
    </row>
    <row r="37" spans="1:6" ht="22" customHeight="1">
      <c r="A37" s="34" t="s">
        <v>52</v>
      </c>
      <c r="B37" s="35"/>
      <c r="C37" s="35"/>
      <c r="D37" s="35"/>
      <c r="E37" s="35"/>
      <c r="F37" s="35"/>
    </row>
    <row r="39" spans="1:6" ht="15.5">
      <c r="A39" s="4" t="s">
        <v>53</v>
      </c>
      <c r="B39" s="5"/>
      <c r="C39" s="5"/>
      <c r="D39" s="5"/>
      <c r="E39" s="5"/>
      <c r="F39" s="5"/>
    </row>
    <row r="40" spans="1:6">
      <c r="A40" s="6">
        <v>8</v>
      </c>
      <c r="B40" s="7" t="s">
        <v>54</v>
      </c>
      <c r="C40" s="8" t="s">
        <v>55</v>
      </c>
      <c r="D40" s="9">
        <v>25</v>
      </c>
      <c r="E40" s="10" t="s">
        <v>56</v>
      </c>
      <c r="F40" s="11" t="s">
        <v>57</v>
      </c>
    </row>
    <row r="41" spans="1:6">
      <c r="A41" s="6">
        <v>9</v>
      </c>
      <c r="B41" s="7" t="s">
        <v>54</v>
      </c>
      <c r="C41" s="8" t="s">
        <v>58</v>
      </c>
      <c r="D41" s="9">
        <v>30</v>
      </c>
      <c r="E41" s="10" t="s">
        <v>56</v>
      </c>
      <c r="F41" s="11" t="s">
        <v>59</v>
      </c>
    </row>
    <row r="42" spans="1:6">
      <c r="A42" s="6">
        <v>10</v>
      </c>
      <c r="B42" s="7" t="s">
        <v>54</v>
      </c>
      <c r="C42" s="8" t="s">
        <v>60</v>
      </c>
      <c r="D42" s="9">
        <v>35</v>
      </c>
      <c r="E42" s="10" t="s">
        <v>56</v>
      </c>
      <c r="F42" s="11" t="s">
        <v>61</v>
      </c>
    </row>
    <row r="43" spans="1:6">
      <c r="A43" s="6">
        <v>11</v>
      </c>
      <c r="B43" s="7" t="s">
        <v>54</v>
      </c>
      <c r="C43" s="8" t="s">
        <v>62</v>
      </c>
      <c r="D43" s="9">
        <v>500</v>
      </c>
      <c r="E43" s="10" t="s">
        <v>42</v>
      </c>
      <c r="F43" s="11" t="s">
        <v>63</v>
      </c>
    </row>
    <row r="44" spans="1:6">
      <c r="A44" s="6">
        <v>12</v>
      </c>
      <c r="B44" s="7" t="s">
        <v>54</v>
      </c>
      <c r="C44" s="8" t="s">
        <v>64</v>
      </c>
      <c r="D44" s="9">
        <v>1.5</v>
      </c>
      <c r="E44" s="10" t="s">
        <v>26</v>
      </c>
      <c r="F44" s="11" t="s">
        <v>65</v>
      </c>
    </row>
    <row r="45" spans="1:6">
      <c r="A45" s="6">
        <v>13</v>
      </c>
      <c r="B45" s="7" t="s">
        <v>54</v>
      </c>
      <c r="C45" s="8" t="s">
        <v>66</v>
      </c>
      <c r="D45" s="9">
        <v>20</v>
      </c>
      <c r="E45" s="10" t="s">
        <v>67</v>
      </c>
      <c r="F45" s="11" t="s">
        <v>68</v>
      </c>
    </row>
    <row r="46" spans="1:6">
      <c r="A46" s="6">
        <v>14</v>
      </c>
      <c r="B46" s="7" t="s">
        <v>54</v>
      </c>
      <c r="C46" s="8" t="s">
        <v>69</v>
      </c>
      <c r="D46" s="9">
        <v>2</v>
      </c>
      <c r="E46" s="10" t="s">
        <v>26</v>
      </c>
      <c r="F46" s="11" t="s">
        <v>70</v>
      </c>
    </row>
    <row r="47" spans="1:6">
      <c r="A47" s="6">
        <v>15</v>
      </c>
      <c r="B47" s="7" t="s">
        <v>54</v>
      </c>
      <c r="C47" s="8" t="s">
        <v>71</v>
      </c>
      <c r="D47" s="9">
        <v>5</v>
      </c>
      <c r="E47" s="10" t="s">
        <v>67</v>
      </c>
      <c r="F47" s="11" t="s">
        <v>72</v>
      </c>
    </row>
    <row r="48" spans="1:6">
      <c r="A48" s="36" t="s">
        <v>73</v>
      </c>
      <c r="B48" s="35"/>
      <c r="C48" s="35"/>
      <c r="D48" s="35"/>
      <c r="E48" s="35"/>
      <c r="F48" s="35"/>
    </row>
    <row r="49" spans="1:6" ht="22" customHeight="1">
      <c r="A49" s="34" t="s">
        <v>74</v>
      </c>
      <c r="B49" s="35"/>
      <c r="C49" s="35"/>
      <c r="D49" s="35"/>
      <c r="E49" s="35"/>
      <c r="F49" s="35"/>
    </row>
    <row r="50" spans="1:6" ht="22" customHeight="1">
      <c r="A50" s="34" t="s">
        <v>75</v>
      </c>
      <c r="B50" s="35"/>
      <c r="C50" s="35"/>
      <c r="D50" s="35"/>
      <c r="E50" s="35"/>
      <c r="F50" s="35"/>
    </row>
    <row r="51" spans="1:6" ht="22" customHeight="1">
      <c r="A51" s="34" t="s">
        <v>76</v>
      </c>
      <c r="B51" s="35"/>
      <c r="C51" s="35"/>
      <c r="D51" s="35"/>
      <c r="E51" s="35"/>
      <c r="F51" s="35"/>
    </row>
    <row r="52" spans="1:6" ht="22" customHeight="1">
      <c r="A52" s="34" t="s">
        <v>77</v>
      </c>
      <c r="B52" s="35"/>
      <c r="C52" s="35"/>
      <c r="D52" s="35"/>
      <c r="E52" s="35"/>
      <c r="F52" s="35"/>
    </row>
    <row r="53" spans="1:6" ht="22" customHeight="1">
      <c r="A53" s="34" t="s">
        <v>78</v>
      </c>
      <c r="B53" s="35"/>
      <c r="C53" s="35"/>
      <c r="D53" s="35"/>
      <c r="E53" s="35"/>
      <c r="F53" s="35"/>
    </row>
    <row r="54" spans="1:6" ht="22" customHeight="1">
      <c r="A54" s="34" t="s">
        <v>79</v>
      </c>
      <c r="B54" s="35"/>
      <c r="C54" s="35"/>
      <c r="D54" s="35"/>
      <c r="E54" s="35"/>
      <c r="F54" s="35"/>
    </row>
    <row r="55" spans="1:6" ht="22" customHeight="1">
      <c r="A55" s="34" t="s">
        <v>80</v>
      </c>
      <c r="B55" s="35"/>
      <c r="C55" s="35"/>
      <c r="D55" s="35"/>
      <c r="E55" s="35"/>
      <c r="F55" s="35"/>
    </row>
    <row r="56" spans="1:6" ht="22" customHeight="1">
      <c r="A56" s="34" t="s">
        <v>81</v>
      </c>
      <c r="B56" s="35"/>
      <c r="C56" s="35"/>
      <c r="D56" s="35"/>
      <c r="E56" s="35"/>
      <c r="F56" s="35"/>
    </row>
    <row r="57" spans="1:6" ht="22" customHeight="1">
      <c r="A57" s="34" t="s">
        <v>82</v>
      </c>
      <c r="B57" s="35"/>
      <c r="C57" s="35"/>
      <c r="D57" s="35"/>
      <c r="E57" s="35"/>
      <c r="F57" s="35"/>
    </row>
    <row r="58" spans="1:6" ht="22" customHeight="1">
      <c r="A58" s="34" t="s">
        <v>83</v>
      </c>
      <c r="B58" s="35"/>
      <c r="C58" s="35"/>
      <c r="D58" s="35"/>
      <c r="E58" s="35"/>
      <c r="F58" s="35"/>
    </row>
    <row r="59" spans="1:6" ht="22" customHeight="1">
      <c r="A59" s="34" t="s">
        <v>84</v>
      </c>
      <c r="B59" s="35"/>
      <c r="C59" s="35"/>
      <c r="D59" s="35"/>
      <c r="E59" s="35"/>
      <c r="F59" s="35"/>
    </row>
    <row r="60" spans="1:6" ht="22" customHeight="1">
      <c r="A60" s="34" t="s">
        <v>85</v>
      </c>
      <c r="B60" s="35"/>
      <c r="C60" s="35"/>
      <c r="D60" s="35"/>
      <c r="E60" s="35"/>
      <c r="F60" s="35"/>
    </row>
    <row r="62" spans="1:6" ht="15.5">
      <c r="A62" s="4" t="s">
        <v>86</v>
      </c>
      <c r="B62" s="5"/>
      <c r="C62" s="5"/>
      <c r="D62" s="5"/>
      <c r="E62" s="5"/>
      <c r="F62" s="5"/>
    </row>
    <row r="63" spans="1:6">
      <c r="A63" s="6" t="s">
        <v>87</v>
      </c>
      <c r="B63" s="7" t="s">
        <v>88</v>
      </c>
      <c r="C63" s="8" t="s">
        <v>89</v>
      </c>
      <c r="D63" s="12">
        <v>7850</v>
      </c>
      <c r="E63" s="10" t="s">
        <v>90</v>
      </c>
      <c r="F63" s="11" t="s">
        <v>91</v>
      </c>
    </row>
    <row r="64" spans="1:6">
      <c r="A64" s="6" t="s">
        <v>87</v>
      </c>
      <c r="B64" s="7" t="s">
        <v>88</v>
      </c>
      <c r="C64" s="8" t="s">
        <v>92</v>
      </c>
      <c r="D64" s="13">
        <v>0.12</v>
      </c>
      <c r="E64" s="10" t="s">
        <v>93</v>
      </c>
      <c r="F64" s="11" t="s">
        <v>94</v>
      </c>
    </row>
    <row r="65" spans="1:6">
      <c r="A65" s="6" t="s">
        <v>87</v>
      </c>
      <c r="B65" s="7" t="s">
        <v>88</v>
      </c>
      <c r="C65" s="8" t="s">
        <v>95</v>
      </c>
      <c r="D65" s="13">
        <v>1.2</v>
      </c>
      <c r="E65" s="10" t="s">
        <v>96</v>
      </c>
      <c r="F65" s="11" t="s">
        <v>97</v>
      </c>
    </row>
    <row r="66" spans="1:6">
      <c r="A66" s="6" t="s">
        <v>87</v>
      </c>
      <c r="B66" s="7" t="s">
        <v>88</v>
      </c>
      <c r="C66" s="8" t="s">
        <v>98</v>
      </c>
      <c r="D66" s="13">
        <v>0.05</v>
      </c>
      <c r="E66" s="10" t="s">
        <v>93</v>
      </c>
      <c r="F66" s="11" t="s">
        <v>99</v>
      </c>
    </row>
    <row r="67" spans="1:6">
      <c r="A67" s="6" t="s">
        <v>87</v>
      </c>
      <c r="B67" s="7" t="s">
        <v>88</v>
      </c>
      <c r="C67" s="8" t="s">
        <v>100</v>
      </c>
      <c r="D67" s="12">
        <v>50</v>
      </c>
      <c r="E67" s="10" t="s">
        <v>101</v>
      </c>
      <c r="F67" s="11" t="s">
        <v>102</v>
      </c>
    </row>
  </sheetData>
  <mergeCells count="34">
    <mergeCell ref="A60:F60"/>
    <mergeCell ref="A36:F36"/>
    <mergeCell ref="A25:F25"/>
    <mergeCell ref="A58:F58"/>
    <mergeCell ref="A34:F34"/>
    <mergeCell ref="A48:F48"/>
    <mergeCell ref="A59:F59"/>
    <mergeCell ref="A24:F24"/>
    <mergeCell ref="A49:F49"/>
    <mergeCell ref="A51:F51"/>
    <mergeCell ref="A10:F10"/>
    <mergeCell ref="A13:F13"/>
    <mergeCell ref="A19:F19"/>
    <mergeCell ref="A9:F9"/>
    <mergeCell ref="A31:F31"/>
    <mergeCell ref="A11:F11"/>
    <mergeCell ref="A57:F57"/>
    <mergeCell ref="A33:F33"/>
    <mergeCell ref="A14:F14"/>
    <mergeCell ref="A23:F23"/>
    <mergeCell ref="A32:F32"/>
    <mergeCell ref="A22:F22"/>
    <mergeCell ref="A35:F35"/>
    <mergeCell ref="A20:F20"/>
    <mergeCell ref="A53:F53"/>
    <mergeCell ref="A52:F52"/>
    <mergeCell ref="A54:F54"/>
    <mergeCell ref="A37:F37"/>
    <mergeCell ref="A12:F12"/>
    <mergeCell ref="A50:F50"/>
    <mergeCell ref="A56:F56"/>
    <mergeCell ref="A26:F26"/>
    <mergeCell ref="A21:F21"/>
    <mergeCell ref="A55:F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pane ySplit="4" topLeftCell="A5" activePane="bottomLeft" state="frozen"/>
      <selection pane="bottomLeft"/>
    </sheetView>
  </sheetViews>
  <sheetFormatPr defaultRowHeight="14.5"/>
  <cols>
    <col min="1" max="1" width="16" customWidth="1"/>
    <col min="2" max="2" width="18" customWidth="1"/>
    <col min="3" max="3" width="24" customWidth="1"/>
    <col min="4" max="4" width="26" customWidth="1"/>
    <col min="5" max="5" width="34" customWidth="1"/>
    <col min="6" max="6" width="46" customWidth="1"/>
  </cols>
  <sheetData>
    <row r="1" spans="1:6" ht="19.5">
      <c r="A1" s="1" t="s">
        <v>103</v>
      </c>
    </row>
    <row r="2" spans="1:6">
      <c r="A2" s="2" t="s">
        <v>104</v>
      </c>
    </row>
    <row r="4" spans="1:6" ht="29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110</v>
      </c>
    </row>
    <row r="5" spans="1:6">
      <c r="A5" s="14" t="s">
        <v>111</v>
      </c>
      <c r="B5" s="15">
        <v>6</v>
      </c>
      <c r="C5" s="16">
        <f>ROUND(PI()*(B5/1000)^2/4*'1_Τιμές_Εταιρείας'!$D$63, 3)</f>
        <v>0.222</v>
      </c>
      <c r="D5" s="17">
        <f>'1_Τιμές_Εταιρείας'!$D$44</f>
        <v>1.5</v>
      </c>
      <c r="E5" s="18">
        <f t="shared" ref="E5:E15" si="0">ROUND(C5*D5, 2)</f>
        <v>0.33</v>
      </c>
      <c r="F5" s="11" t="s">
        <v>112</v>
      </c>
    </row>
    <row r="6" spans="1:6">
      <c r="A6" s="14" t="s">
        <v>113</v>
      </c>
      <c r="B6" s="15">
        <v>8</v>
      </c>
      <c r="C6" s="16">
        <f>ROUND(PI()*(B6/1000)^2/4*'1_Τιμές_Εταιρείας'!$D$63, 3)</f>
        <v>0.39500000000000002</v>
      </c>
      <c r="D6" s="17">
        <f>'1_Τιμές_Εταιρείας'!$D$44</f>
        <v>1.5</v>
      </c>
      <c r="E6" s="18">
        <f t="shared" si="0"/>
        <v>0.59</v>
      </c>
      <c r="F6" s="11" t="s">
        <v>114</v>
      </c>
    </row>
    <row r="7" spans="1:6">
      <c r="A7" s="14" t="s">
        <v>115</v>
      </c>
      <c r="B7" s="15">
        <v>10</v>
      </c>
      <c r="C7" s="16">
        <f>ROUND(PI()*(B7/1000)^2/4*'1_Τιμές_Εταιρείας'!$D$63, 3)</f>
        <v>0.61699999999999999</v>
      </c>
      <c r="D7" s="17">
        <f>'1_Τιμές_Εταιρείας'!$D$44</f>
        <v>1.5</v>
      </c>
      <c r="E7" s="18">
        <f t="shared" si="0"/>
        <v>0.93</v>
      </c>
      <c r="F7" s="11" t="s">
        <v>116</v>
      </c>
    </row>
    <row r="8" spans="1:6">
      <c r="A8" s="14" t="s">
        <v>117</v>
      </c>
      <c r="B8" s="15">
        <v>12</v>
      </c>
      <c r="C8" s="16">
        <f>ROUND(PI()*(B8/1000)^2/4*'1_Τιμές_Εταιρείας'!$D$63, 3)</f>
        <v>0.88800000000000001</v>
      </c>
      <c r="D8" s="17">
        <f>'1_Τιμές_Εταιρείας'!$D$44</f>
        <v>1.5</v>
      </c>
      <c r="E8" s="18">
        <f t="shared" si="0"/>
        <v>1.33</v>
      </c>
      <c r="F8" s="11" t="s">
        <v>118</v>
      </c>
    </row>
    <row r="9" spans="1:6">
      <c r="A9" s="14" t="s">
        <v>119</v>
      </c>
      <c r="B9" s="15">
        <v>14</v>
      </c>
      <c r="C9" s="16">
        <f>ROUND(PI()*(B9/1000)^2/4*'1_Τιμές_Εταιρείας'!$D$63, 3)</f>
        <v>1.208</v>
      </c>
      <c r="D9" s="17">
        <f>'1_Τιμές_Εταιρείας'!$D$44</f>
        <v>1.5</v>
      </c>
      <c r="E9" s="18">
        <f t="shared" si="0"/>
        <v>1.81</v>
      </c>
      <c r="F9" s="11" t="s">
        <v>120</v>
      </c>
    </row>
    <row r="10" spans="1:6">
      <c r="A10" s="14" t="s">
        <v>121</v>
      </c>
      <c r="B10" s="15">
        <v>16</v>
      </c>
      <c r="C10" s="16">
        <f>ROUND(PI()*(B10/1000)^2/4*'1_Τιμές_Εταιρείας'!$D$63, 3)</f>
        <v>1.5780000000000001</v>
      </c>
      <c r="D10" s="17">
        <f>'1_Τιμές_Εταιρείας'!$D$44</f>
        <v>1.5</v>
      </c>
      <c r="E10" s="18">
        <f t="shared" si="0"/>
        <v>2.37</v>
      </c>
      <c r="F10" s="11" t="s">
        <v>122</v>
      </c>
    </row>
    <row r="11" spans="1:6">
      <c r="A11" s="14" t="s">
        <v>123</v>
      </c>
      <c r="B11" s="15">
        <v>20</v>
      </c>
      <c r="C11" s="16">
        <f>ROUND(PI()*(B11/1000)^2/4*'1_Τιμές_Εταιρείας'!$D$63, 3)</f>
        <v>2.4660000000000002</v>
      </c>
      <c r="D11" s="17">
        <f>'1_Τιμές_Εταιρείας'!$D$44</f>
        <v>1.5</v>
      </c>
      <c r="E11" s="18">
        <f t="shared" si="0"/>
        <v>3.7</v>
      </c>
      <c r="F11" s="11" t="s">
        <v>124</v>
      </c>
    </row>
    <row r="12" spans="1:6">
      <c r="A12" s="14" t="s">
        <v>125</v>
      </c>
      <c r="B12" s="15">
        <v>25</v>
      </c>
      <c r="C12" s="16">
        <f>ROUND(PI()*(B12/1000)^2/4*'1_Τιμές_Εταιρείας'!$D$63, 3)</f>
        <v>3.8530000000000002</v>
      </c>
      <c r="D12" s="17">
        <f>'1_Τιμές_Εταιρείας'!$D$44</f>
        <v>1.5</v>
      </c>
      <c r="E12" s="18">
        <f t="shared" si="0"/>
        <v>5.78</v>
      </c>
      <c r="F12" s="11" t="s">
        <v>126</v>
      </c>
    </row>
    <row r="13" spans="1:6">
      <c r="A13" s="14" t="s">
        <v>127</v>
      </c>
      <c r="B13" s="15">
        <v>28</v>
      </c>
      <c r="C13" s="16">
        <f>ROUND(PI()*(B13/1000)^2/4*'1_Τιμές_Εταιρείας'!$D$63, 3)</f>
        <v>4.8339999999999996</v>
      </c>
      <c r="D13" s="17">
        <f>'1_Τιμές_Εταιρείας'!$D$44</f>
        <v>1.5</v>
      </c>
      <c r="E13" s="18">
        <f t="shared" si="0"/>
        <v>7.25</v>
      </c>
      <c r="F13" s="11" t="s">
        <v>128</v>
      </c>
    </row>
    <row r="14" spans="1:6">
      <c r="A14" s="14" t="s">
        <v>129</v>
      </c>
      <c r="B14" s="15">
        <v>32</v>
      </c>
      <c r="C14" s="16">
        <f>ROUND(PI()*(B14/1000)^2/4*'1_Τιμές_Εταιρείας'!$D$63, 3)</f>
        <v>6.3129999999999997</v>
      </c>
      <c r="D14" s="17">
        <f>'1_Τιμές_Εταιρείας'!$D$44</f>
        <v>1.5</v>
      </c>
      <c r="E14" s="18">
        <f t="shared" si="0"/>
        <v>9.4700000000000006</v>
      </c>
      <c r="F14" s="11" t="s">
        <v>130</v>
      </c>
    </row>
    <row r="15" spans="1:6">
      <c r="A15" s="14" t="s">
        <v>131</v>
      </c>
      <c r="B15" s="15">
        <v>40</v>
      </c>
      <c r="C15" s="16">
        <f>ROUND(PI()*(B15/1000)^2/4*'1_Τιμές_Εταιρείας'!$D$63, 3)</f>
        <v>9.8650000000000002</v>
      </c>
      <c r="D15" s="17">
        <f>'1_Τιμές_Εταιρείας'!$D$44</f>
        <v>1.5</v>
      </c>
      <c r="E15" s="18">
        <f t="shared" si="0"/>
        <v>14.8</v>
      </c>
      <c r="F15" s="11" t="s">
        <v>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>
      <pane ySplit="4" topLeftCell="A5" activePane="bottomLeft" state="frozen"/>
      <selection pane="bottomLeft"/>
    </sheetView>
  </sheetViews>
  <sheetFormatPr defaultRowHeight="14.5"/>
  <cols>
    <col min="1" max="1" width="38" customWidth="1"/>
    <col min="2" max="2" width="20" customWidth="1"/>
    <col min="3" max="3" width="16" customWidth="1"/>
    <col min="4" max="4" width="26" customWidth="1"/>
    <col min="5" max="5" width="24" customWidth="1"/>
    <col min="6" max="6" width="46" customWidth="1"/>
  </cols>
  <sheetData>
    <row r="1" spans="1:6" ht="19.5">
      <c r="A1" s="1" t="s">
        <v>133</v>
      </c>
    </row>
    <row r="2" spans="1:6">
      <c r="A2" s="2" t="s">
        <v>134</v>
      </c>
    </row>
    <row r="4" spans="1:6" ht="15.5">
      <c r="A4" s="4" t="s">
        <v>135</v>
      </c>
      <c r="B4" s="5"/>
      <c r="C4" s="5"/>
      <c r="D4" s="5"/>
      <c r="E4" s="5"/>
      <c r="F4" s="5"/>
    </row>
    <row r="5" spans="1:6">
      <c r="A5" s="37" t="s">
        <v>136</v>
      </c>
      <c r="B5" s="38"/>
      <c r="C5" s="38"/>
      <c r="D5" s="38"/>
      <c r="E5" s="38"/>
      <c r="F5" s="38"/>
    </row>
    <row r="6" spans="1:6">
      <c r="A6" s="3" t="s">
        <v>137</v>
      </c>
      <c r="B6" s="3" t="s">
        <v>138</v>
      </c>
      <c r="C6" s="3" t="s">
        <v>6</v>
      </c>
      <c r="D6" s="3" t="s">
        <v>139</v>
      </c>
      <c r="E6" s="3" t="s">
        <v>140</v>
      </c>
      <c r="F6" s="3" t="s">
        <v>141</v>
      </c>
    </row>
    <row r="7" spans="1:6">
      <c r="A7" s="7" t="s">
        <v>142</v>
      </c>
      <c r="B7" s="19">
        <v>50</v>
      </c>
      <c r="C7" s="10" t="s">
        <v>101</v>
      </c>
      <c r="D7" s="11" t="s">
        <v>143</v>
      </c>
      <c r="E7" s="10" t="s">
        <v>87</v>
      </c>
      <c r="F7" s="11" t="s">
        <v>144</v>
      </c>
    </row>
    <row r="8" spans="1:6">
      <c r="A8" s="7" t="s">
        <v>145</v>
      </c>
      <c r="B8" s="20">
        <f>MAX(0, ROUNDUP((B7-'1_Τιμές_Εταιρείας'!$D$67)/'1_Τιμές_Εταιρείας'!$D$67, 0))</f>
        <v>0</v>
      </c>
      <c r="C8" s="10" t="s">
        <v>146</v>
      </c>
      <c r="D8" s="11" t="s">
        <v>147</v>
      </c>
      <c r="E8" s="12">
        <f>B8</f>
        <v>0</v>
      </c>
      <c r="F8" s="11" t="s">
        <v>148</v>
      </c>
    </row>
    <row r="9" spans="1:6">
      <c r="A9" s="7" t="s">
        <v>149</v>
      </c>
      <c r="B9" s="21">
        <f>'1_Τιμές_Εταιρείας'!$D$6 + B8*'1_Τιμές_Εταιρείας'!$D$8</f>
        <v>200</v>
      </c>
      <c r="C9" s="10" t="s">
        <v>150</v>
      </c>
      <c r="D9" s="11" t="s">
        <v>151</v>
      </c>
      <c r="E9" s="22">
        <f>B9</f>
        <v>200</v>
      </c>
      <c r="F9" s="11" t="s">
        <v>152</v>
      </c>
    </row>
    <row r="10" spans="1:6">
      <c r="A10" s="7" t="s">
        <v>153</v>
      </c>
      <c r="B10" s="21">
        <f>'1_Τιμές_Εταιρείας'!$D$7 + B8*'1_Τιμές_Εταιρείας'!$D$8</f>
        <v>300</v>
      </c>
      <c r="C10" s="10" t="s">
        <v>150</v>
      </c>
      <c r="D10" s="11" t="s">
        <v>154</v>
      </c>
      <c r="E10" s="22">
        <f>B10</f>
        <v>300</v>
      </c>
      <c r="F10" s="11" t="s">
        <v>155</v>
      </c>
    </row>
    <row r="12" spans="1:6" ht="15.5">
      <c r="A12" s="4" t="s">
        <v>156</v>
      </c>
      <c r="B12" s="5"/>
      <c r="C12" s="5"/>
      <c r="D12" s="5"/>
      <c r="E12" s="5"/>
      <c r="F12" s="5"/>
    </row>
    <row r="13" spans="1:6">
      <c r="A13" s="37" t="s">
        <v>157</v>
      </c>
      <c r="B13" s="38"/>
      <c r="C13" s="38"/>
      <c r="D13" s="38"/>
      <c r="E13" s="38"/>
      <c r="F13" s="38"/>
    </row>
    <row r="14" spans="1:6">
      <c r="A14" s="3" t="s">
        <v>158</v>
      </c>
      <c r="B14" s="3" t="s">
        <v>159</v>
      </c>
      <c r="C14" s="3" t="s">
        <v>160</v>
      </c>
      <c r="D14" s="3" t="s">
        <v>161</v>
      </c>
      <c r="E14" s="3" t="s">
        <v>162</v>
      </c>
      <c r="F14" s="3" t="s">
        <v>163</v>
      </c>
    </row>
    <row r="15" spans="1:6">
      <c r="A15" s="7" t="s">
        <v>164</v>
      </c>
      <c r="B15" s="19">
        <v>10</v>
      </c>
      <c r="C15" s="19">
        <v>150</v>
      </c>
      <c r="D15" s="23">
        <f>ROUND(1000/C15, 2)</f>
        <v>6.67</v>
      </c>
      <c r="E15" s="16">
        <f>ROUND(D15*VLOOKUP(B15, '2_Βάρη_Διατομών_Χάλυβα'!$B$5:$C$15, 2, FALSE), 3)</f>
        <v>4.1150000000000002</v>
      </c>
      <c r="F15" s="11" t="s">
        <v>165</v>
      </c>
    </row>
    <row r="16" spans="1:6">
      <c r="A16" s="7" t="s">
        <v>166</v>
      </c>
      <c r="B16" s="19">
        <v>10</v>
      </c>
      <c r="C16" s="19">
        <v>150</v>
      </c>
      <c r="D16" s="23">
        <f>ROUND(1000/C16, 2)</f>
        <v>6.67</v>
      </c>
      <c r="E16" s="16">
        <f>ROUND(D16*VLOOKUP(B16, '2_Βάρη_Διατομών_Χάλυβα'!$B$5:$C$15, 2, FALSE), 3)</f>
        <v>4.1150000000000002</v>
      </c>
      <c r="F16" s="11" t="s">
        <v>165</v>
      </c>
    </row>
    <row r="17" spans="1:6">
      <c r="A17" s="7" t="s">
        <v>167</v>
      </c>
      <c r="B17" s="10" t="s">
        <v>87</v>
      </c>
      <c r="C17" s="10" t="s">
        <v>87</v>
      </c>
      <c r="D17" s="13">
        <f>D15+D16</f>
        <v>13.34</v>
      </c>
      <c r="E17" s="24">
        <f>E15+E16</f>
        <v>8.23</v>
      </c>
      <c r="F17" s="11" t="s">
        <v>168</v>
      </c>
    </row>
    <row r="18" spans="1:6">
      <c r="A18" s="7" t="s">
        <v>169</v>
      </c>
      <c r="B18" s="18">
        <f>ROUND(E17*'1_Τιμές_Εταιρείας'!$D$17, 2)</f>
        <v>20.58</v>
      </c>
      <c r="C18" s="10" t="s">
        <v>170</v>
      </c>
      <c r="D18" s="11" t="s">
        <v>171</v>
      </c>
      <c r="E18" s="22">
        <f>B18</f>
        <v>20.58</v>
      </c>
      <c r="F18" s="11" t="s">
        <v>172</v>
      </c>
    </row>
    <row r="19" spans="1:6">
      <c r="A19" s="7" t="s">
        <v>173</v>
      </c>
      <c r="B19" s="22">
        <f>'1_Τιμές_Εταιρείας'!$D$18</f>
        <v>15</v>
      </c>
      <c r="C19" s="10" t="s">
        <v>170</v>
      </c>
      <c r="D19" s="11" t="s">
        <v>174</v>
      </c>
      <c r="E19" s="22">
        <f>B19</f>
        <v>15</v>
      </c>
      <c r="F19" s="11" t="s">
        <v>175</v>
      </c>
    </row>
    <row r="20" spans="1:6">
      <c r="A20" s="7" t="s">
        <v>176</v>
      </c>
      <c r="B20" s="21">
        <f>B18+B19</f>
        <v>35.58</v>
      </c>
      <c r="C20" s="10" t="s">
        <v>170</v>
      </c>
      <c r="D20" s="11" t="s">
        <v>177</v>
      </c>
      <c r="E20" s="22">
        <f>B20</f>
        <v>35.58</v>
      </c>
      <c r="F20" s="11" t="s">
        <v>178</v>
      </c>
    </row>
    <row r="22" spans="1:6" ht="15.5">
      <c r="A22" s="4" t="s">
        <v>179</v>
      </c>
      <c r="B22" s="5"/>
      <c r="C22" s="5"/>
      <c r="D22" s="5"/>
      <c r="E22" s="5"/>
      <c r="F22" s="5"/>
    </row>
    <row r="23" spans="1:6">
      <c r="A23" s="37" t="s">
        <v>180</v>
      </c>
      <c r="B23" s="38"/>
      <c r="C23" s="38"/>
      <c r="D23" s="38"/>
      <c r="E23" s="38"/>
      <c r="F23" s="38"/>
    </row>
    <row r="24" spans="1:6" ht="29">
      <c r="A24" s="3" t="s">
        <v>181</v>
      </c>
      <c r="B24" s="3" t="s">
        <v>182</v>
      </c>
      <c r="C24" s="3" t="s">
        <v>183</v>
      </c>
      <c r="D24" s="3" t="s">
        <v>184</v>
      </c>
      <c r="E24" s="3" t="s">
        <v>185</v>
      </c>
      <c r="F24" s="3" t="s">
        <v>186</v>
      </c>
    </row>
    <row r="25" spans="1:6">
      <c r="A25" s="7" t="s">
        <v>187</v>
      </c>
      <c r="B25" s="25">
        <v>7</v>
      </c>
      <c r="C25" s="23">
        <f>'1_Τιμές_Εταιρείας'!$D$64</f>
        <v>0.12</v>
      </c>
      <c r="D25" s="26">
        <f>ROUND(C25/2, 3)</f>
        <v>0.06</v>
      </c>
      <c r="E25" s="27">
        <f>ROUND(PI()*(D25^2)*B25*'1_Τιμές_Εταιρείας'!$D$65, 4)</f>
        <v>9.5000000000000001E-2</v>
      </c>
      <c r="F25" s="21">
        <f>ROUND(E25*'1_Τιμές_Εταιρείας'!$D$43, 2)</f>
        <v>47.5</v>
      </c>
    </row>
    <row r="26" spans="1:6">
      <c r="A26" s="7" t="s">
        <v>188</v>
      </c>
      <c r="B26" s="25">
        <v>6</v>
      </c>
      <c r="C26" s="23">
        <f>'1_Τιμές_Εταιρείας'!$D$64</f>
        <v>0.12</v>
      </c>
      <c r="D26" s="26">
        <f>ROUND(C26/2, 3)</f>
        <v>0.06</v>
      </c>
      <c r="E26" s="27">
        <f>ROUND(PI()*(D26^2)*B26*'1_Τιμές_Εταιρείας'!$D$65, 4)</f>
        <v>8.14E-2</v>
      </c>
      <c r="F26" s="21">
        <f>ROUND(E26*'1_Τιμές_Εταιρείας'!$D$43, 2)</f>
        <v>40.700000000000003</v>
      </c>
    </row>
    <row r="28" spans="1:6" ht="15.5">
      <c r="A28" s="4" t="s">
        <v>189</v>
      </c>
      <c r="B28" s="5"/>
      <c r="C28" s="5"/>
      <c r="D28" s="5"/>
      <c r="E28" s="5"/>
      <c r="F28" s="5"/>
    </row>
    <row r="29" spans="1:6">
      <c r="A29" s="37" t="s">
        <v>190</v>
      </c>
      <c r="B29" s="38"/>
      <c r="C29" s="38"/>
      <c r="D29" s="38"/>
      <c r="E29" s="38"/>
      <c r="F29" s="38"/>
    </row>
    <row r="30" spans="1:6">
      <c r="A30" s="3" t="s">
        <v>191</v>
      </c>
      <c r="B30" s="3" t="s">
        <v>192</v>
      </c>
      <c r="C30" s="3" t="s">
        <v>193</v>
      </c>
      <c r="D30" s="3" t="s">
        <v>194</v>
      </c>
      <c r="E30" s="3" t="s">
        <v>195</v>
      </c>
      <c r="F30" s="3" t="s">
        <v>196</v>
      </c>
    </row>
    <row r="31" spans="1:6">
      <c r="A31" s="19">
        <v>200</v>
      </c>
      <c r="B31" s="19">
        <v>200</v>
      </c>
      <c r="C31" s="19">
        <v>12</v>
      </c>
      <c r="D31" s="28">
        <f>ROUND((A31/1000)*(B31/1000)*(C31/1000), 6)</f>
        <v>4.8000000000000001E-4</v>
      </c>
      <c r="E31" s="29">
        <f>ROUND(D31*'1_Τιμές_Εταιρείας'!$D$63, 3)</f>
        <v>3.7679999999999998</v>
      </c>
      <c r="F31" s="21">
        <f>ROUND(E31*'1_Τιμές_Εταιρείας'!$D$46, 2)</f>
        <v>7.54</v>
      </c>
    </row>
  </sheetData>
  <mergeCells count="4">
    <mergeCell ref="A13:F13"/>
    <mergeCell ref="A5:F5"/>
    <mergeCell ref="A23:F23"/>
    <mergeCell ref="A29:F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tabSelected="1" workbookViewId="0">
      <pane ySplit="3" topLeftCell="A4" activePane="bottomLeft" state="frozen"/>
      <selection pane="bottomLeft"/>
    </sheetView>
  </sheetViews>
  <sheetFormatPr defaultRowHeight="14.5"/>
  <cols>
    <col min="1" max="1" width="28" customWidth="1"/>
    <col min="2" max="2" width="110" customWidth="1"/>
  </cols>
  <sheetData>
    <row r="1" spans="1:2" ht="19.5">
      <c r="A1" s="1" t="s">
        <v>197</v>
      </c>
    </row>
    <row r="3" spans="1:2">
      <c r="A3" s="3" t="s">
        <v>198</v>
      </c>
      <c r="B3" s="3" t="s">
        <v>199</v>
      </c>
    </row>
    <row r="4" spans="1:2" ht="45" customHeight="1">
      <c r="A4" s="30" t="s">
        <v>200</v>
      </c>
      <c r="B4" s="31" t="s">
        <v>201</v>
      </c>
    </row>
    <row r="5" spans="1:2" ht="55" customHeight="1">
      <c r="A5" s="30" t="s">
        <v>202</v>
      </c>
      <c r="B5" s="31" t="s">
        <v>203</v>
      </c>
    </row>
    <row r="6" spans="1:2" ht="55" customHeight="1">
      <c r="A6" s="30" t="s">
        <v>204</v>
      </c>
      <c r="B6" s="31" t="s">
        <v>205</v>
      </c>
    </row>
    <row r="7" spans="1:2" ht="55" customHeight="1">
      <c r="A7" s="30" t="s">
        <v>206</v>
      </c>
      <c r="B7" s="31" t="s">
        <v>207</v>
      </c>
    </row>
    <row r="8" spans="1:2" ht="55" customHeight="1">
      <c r="A8" s="32" t="s">
        <v>208</v>
      </c>
      <c r="B8" s="33" t="s">
        <v>209</v>
      </c>
    </row>
    <row r="9" spans="1:2" ht="45" customHeight="1">
      <c r="A9" s="30" t="s">
        <v>210</v>
      </c>
      <c r="B9" s="31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1_Τιμές_Εταιρείας</vt:lpstr>
      <vt:lpstr>2_Βάρη_Διατομών_Χάλυβα</vt:lpstr>
      <vt:lpstr>3_Υπολογιστές_Έργων_&amp;_Math</vt:lpstr>
      <vt:lpstr>4_Κανόνες_&amp;_Πολιτική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2026-10-08T12:00:25Z</dcterms:created>
  <dcterms:modified xsi:type="dcterms:W3CDTF">2026-10-09T05:57:52Z</dcterms:modified>
</cp:coreProperties>
</file>