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kth\Desktop\NIKOLAS TRY\Projects\Agkirosis\BOLTON_TOWER\"/>
    </mc:Choice>
  </mc:AlternateContent>
  <xr:revisionPtr revIDLastSave="0" documentId="8_{4C9BEE13-BAB6-4AC9-BCDB-3C899FDF31A6}" xr6:coauthVersionLast="47" xr6:coauthVersionMax="47" xr10:uidLastSave="{00000000-0000-0000-0000-000000000000}"/>
  <bookViews>
    <workbookView xWindow="-110" yWindow="-110" windowWidth="25820" windowHeight="15500" activeTab="1" xr2:uid="{00000000-000D-0000-FFFF-FFFF00000000}"/>
  </bookViews>
  <sheets>
    <sheet name="1_Στοιχεία_Μελέτης_&amp;_Ποσότητες" sheetId="1" r:id="rId1"/>
    <sheet name="2_Υπολογισμοί_&amp;_Κοστολόγηση" sheetId="2" r:id="rId2"/>
    <sheet name="3_Πίνακες_Διατομών_Χάλυβα"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8" i="2" l="1"/>
  <c r="B58" i="2"/>
  <c r="D57" i="2"/>
  <c r="B57" i="2"/>
  <c r="D56" i="2"/>
  <c r="C56" i="2"/>
  <c r="F56" i="2" s="1"/>
  <c r="B56" i="2"/>
  <c r="B55" i="2"/>
  <c r="H53" i="2"/>
  <c r="D53" i="2"/>
  <c r="H52" i="2"/>
  <c r="D52" i="2"/>
  <c r="H51" i="2"/>
  <c r="D51" i="2"/>
  <c r="B51" i="2"/>
  <c r="H50" i="2"/>
  <c r="D50" i="2"/>
  <c r="H49" i="2"/>
  <c r="D49" i="2"/>
  <c r="D48" i="2"/>
  <c r="H47" i="2"/>
  <c r="D47" i="2"/>
  <c r="H46" i="2"/>
  <c r="D46" i="2"/>
  <c r="D45" i="2"/>
  <c r="H44" i="2"/>
  <c r="D44" i="2"/>
  <c r="H43" i="2"/>
  <c r="D43" i="2"/>
  <c r="H42" i="2"/>
  <c r="D42" i="2"/>
  <c r="H41" i="2"/>
  <c r="D41" i="2"/>
  <c r="H40" i="2"/>
  <c r="D40" i="2"/>
  <c r="H37" i="2"/>
  <c r="D37" i="2"/>
  <c r="H36" i="2"/>
  <c r="D36" i="2"/>
  <c r="H35" i="2"/>
  <c r="D35" i="2"/>
  <c r="B35" i="2"/>
  <c r="H34" i="2"/>
  <c r="D34" i="2"/>
  <c r="B34" i="2"/>
  <c r="H33" i="2"/>
  <c r="D33" i="2"/>
  <c r="H32" i="2"/>
  <c r="D32" i="2"/>
  <c r="D31" i="2"/>
  <c r="H30" i="2"/>
  <c r="D30" i="2"/>
  <c r="H29" i="2"/>
  <c r="D29" i="2"/>
  <c r="D28" i="2"/>
  <c r="H27" i="2"/>
  <c r="D27" i="2"/>
  <c r="H26" i="2"/>
  <c r="D26" i="2"/>
  <c r="H25" i="2"/>
  <c r="D25" i="2"/>
  <c r="H24" i="2"/>
  <c r="D24" i="2"/>
  <c r="H23" i="2"/>
  <c r="D23" i="2"/>
  <c r="H20" i="2"/>
  <c r="D20" i="2"/>
  <c r="H19" i="2"/>
  <c r="D19" i="2"/>
  <c r="H18" i="2"/>
  <c r="D18" i="2"/>
  <c r="B18" i="2"/>
  <c r="H17" i="2"/>
  <c r="D17" i="2"/>
  <c r="B17" i="2"/>
  <c r="H16" i="2"/>
  <c r="D16" i="2"/>
  <c r="H15" i="2"/>
  <c r="D15" i="2"/>
  <c r="D14" i="2"/>
  <c r="H13" i="2"/>
  <c r="D13" i="2"/>
  <c r="H12" i="2"/>
  <c r="D12" i="2"/>
  <c r="D11" i="2"/>
  <c r="H10" i="2"/>
  <c r="D10" i="2"/>
  <c r="H9" i="2"/>
  <c r="D9" i="2"/>
  <c r="H8" i="2"/>
  <c r="D8" i="2"/>
  <c r="H7" i="2"/>
  <c r="D7" i="2"/>
  <c r="D6" i="2"/>
  <c r="C133" i="1"/>
  <c r="E132" i="1"/>
  <c r="C132" i="1"/>
  <c r="E131" i="1"/>
  <c r="C131" i="1"/>
  <c r="E130" i="1"/>
  <c r="B127" i="1"/>
  <c r="B53" i="2" s="1"/>
  <c r="C126" i="1"/>
  <c r="B126" i="1"/>
  <c r="B52" i="2" s="1"/>
  <c r="C125" i="1"/>
  <c r="C123" i="1"/>
  <c r="B123" i="1"/>
  <c r="B49" i="2" s="1"/>
  <c r="E118" i="1"/>
  <c r="C118" i="1"/>
  <c r="C44" i="2" s="1"/>
  <c r="F44" i="2" s="1"/>
  <c r="B118" i="1"/>
  <c r="B44" i="2" s="1"/>
  <c r="E117" i="1"/>
  <c r="C117" i="1"/>
  <c r="C43" i="2" s="1"/>
  <c r="F43" i="2" s="1"/>
  <c r="B117" i="1"/>
  <c r="B43" i="2" s="1"/>
  <c r="C116" i="1"/>
  <c r="B116" i="1"/>
  <c r="B42" i="2" s="1"/>
  <c r="C114" i="1"/>
  <c r="B114" i="1"/>
  <c r="B40" i="2" s="1"/>
  <c r="B111" i="1"/>
  <c r="B37" i="2" s="1"/>
  <c r="C110" i="1"/>
  <c r="B110" i="1"/>
  <c r="B36" i="2" s="1"/>
  <c r="C109" i="1"/>
  <c r="C108" i="1"/>
  <c r="C106" i="1"/>
  <c r="B106" i="1"/>
  <c r="B32" i="2" s="1"/>
  <c r="E101" i="1"/>
  <c r="C101" i="1"/>
  <c r="C27" i="2" s="1"/>
  <c r="F27" i="2" s="1"/>
  <c r="B101" i="1"/>
  <c r="B27" i="2" s="1"/>
  <c r="E100" i="1"/>
  <c r="C100" i="1"/>
  <c r="C26" i="2" s="1"/>
  <c r="F26" i="2" s="1"/>
  <c r="B100" i="1"/>
  <c r="B26" i="2" s="1"/>
  <c r="C99" i="1"/>
  <c r="B99" i="1"/>
  <c r="B25" i="2" s="1"/>
  <c r="C97" i="1"/>
  <c r="B97" i="1"/>
  <c r="B23" i="2" s="1"/>
  <c r="B94" i="1"/>
  <c r="B20" i="2" s="1"/>
  <c r="C93" i="1"/>
  <c r="B93" i="1"/>
  <c r="B19" i="2" s="1"/>
  <c r="C92" i="1"/>
  <c r="C91" i="1"/>
  <c r="C89" i="1"/>
  <c r="B89" i="1"/>
  <c r="B15" i="2" s="1"/>
  <c r="E84" i="1"/>
  <c r="C84" i="1"/>
  <c r="B84" i="1"/>
  <c r="B10" i="2" s="1"/>
  <c r="E77" i="1"/>
  <c r="C77" i="1"/>
  <c r="C76" i="1"/>
  <c r="E76" i="1" s="1"/>
  <c r="C75" i="1"/>
  <c r="E74" i="1"/>
  <c r="C74" i="1"/>
  <c r="F60" i="1"/>
  <c r="C60" i="1"/>
  <c r="F45" i="1"/>
  <c r="C45" i="1"/>
  <c r="C33" i="1"/>
  <c r="F30" i="1"/>
  <c r="C30" i="1"/>
  <c r="C139" i="1" l="1"/>
  <c r="E139" i="1"/>
  <c r="H75" i="2"/>
  <c r="C75" i="2"/>
  <c r="C66" i="2"/>
  <c r="E133" i="1"/>
  <c r="H58" i="2"/>
  <c r="C58" i="2"/>
  <c r="F58" i="2" s="1"/>
  <c r="C64" i="2"/>
  <c r="H57" i="2"/>
  <c r="C57" i="2"/>
  <c r="F57" i="2" s="1"/>
  <c r="F55" i="2" s="1"/>
  <c r="C52" i="2"/>
  <c r="F52" i="2" s="1"/>
  <c r="C127" i="1"/>
  <c r="E126" i="1"/>
  <c r="C51" i="2"/>
  <c r="F51" i="2" s="1"/>
  <c r="E125" i="1"/>
  <c r="C124" i="1"/>
  <c r="B124" i="1"/>
  <c r="B50" i="2" s="1"/>
  <c r="E123" i="1"/>
  <c r="C49" i="2"/>
  <c r="F49" i="2" s="1"/>
  <c r="E116" i="1"/>
  <c r="C42" i="2"/>
  <c r="F42" i="2" s="1"/>
  <c r="C40" i="2"/>
  <c r="F40" i="2" s="1"/>
  <c r="E114" i="1"/>
  <c r="E110" i="1"/>
  <c r="C111" i="1"/>
  <c r="C36" i="2"/>
  <c r="F36" i="2" s="1"/>
  <c r="E109" i="1"/>
  <c r="C35" i="2"/>
  <c r="F35" i="2" s="1"/>
  <c r="C34" i="2"/>
  <c r="F34" i="2" s="1"/>
  <c r="E108" i="1"/>
  <c r="C107" i="1"/>
  <c r="C33" i="2" s="1"/>
  <c r="F33" i="2" s="1"/>
  <c r="E107" i="1"/>
  <c r="B107" i="1"/>
  <c r="B33" i="2" s="1"/>
  <c r="C32" i="2"/>
  <c r="F32" i="2" s="1"/>
  <c r="E106" i="1"/>
  <c r="C25" i="2"/>
  <c r="F25" i="2" s="1"/>
  <c r="E99" i="1"/>
  <c r="C23" i="2"/>
  <c r="F23" i="2" s="1"/>
  <c r="E97" i="1"/>
  <c r="C19" i="2"/>
  <c r="F19" i="2" s="1"/>
  <c r="C144" i="1"/>
  <c r="E144" i="1" s="1"/>
  <c r="C94" i="1"/>
  <c r="E93" i="1"/>
  <c r="E92" i="1"/>
  <c r="C18" i="2"/>
  <c r="F18" i="2" s="1"/>
  <c r="C147" i="1"/>
  <c r="E147" i="1"/>
  <c r="C17" i="2"/>
  <c r="F17" i="2" s="1"/>
  <c r="E91" i="1"/>
  <c r="C145" i="1"/>
  <c r="E145" i="1"/>
  <c r="C90" i="1"/>
  <c r="E90" i="1"/>
  <c r="C15" i="2"/>
  <c r="F15" i="2" s="1"/>
  <c r="B90" i="1"/>
  <c r="B16" i="2" s="1"/>
  <c r="E89" i="1"/>
  <c r="C10" i="2"/>
  <c r="F10" i="2" s="1"/>
  <c r="C141" i="1"/>
  <c r="E141" i="1"/>
  <c r="H48" i="2"/>
  <c r="E14" i="2"/>
  <c r="H14" i="2"/>
  <c r="E31" i="2"/>
  <c r="E48" i="2"/>
  <c r="H31" i="2"/>
  <c r="H45" i="2"/>
  <c r="H11" i="2"/>
  <c r="H28" i="2"/>
  <c r="E75" i="1"/>
  <c r="B115" i="1"/>
  <c r="B41" i="2" s="1"/>
  <c r="C98" i="1"/>
  <c r="C24" i="2" s="1"/>
  <c r="F24" i="2" s="1"/>
  <c r="B98" i="1"/>
  <c r="B24" i="2" s="1"/>
  <c r="C115" i="1"/>
  <c r="B81" i="1"/>
  <c r="B7" i="2" s="1"/>
  <c r="C81" i="1"/>
  <c r="E81" i="1" s="1"/>
  <c r="E98" i="1"/>
  <c r="C113" i="1"/>
  <c r="B120" i="1"/>
  <c r="B46" i="2" s="1"/>
  <c r="C39" i="2"/>
  <c r="C63" i="2" s="1"/>
  <c r="B113" i="1"/>
  <c r="B39" i="2"/>
  <c r="C120" i="1"/>
  <c r="E120" i="1" s="1"/>
  <c r="E113" i="1"/>
  <c r="C103" i="1"/>
  <c r="E103" i="1" s="1"/>
  <c r="B103" i="1"/>
  <c r="B29" i="2" s="1"/>
  <c r="C96" i="1"/>
  <c r="B96" i="1"/>
  <c r="B22" i="2"/>
  <c r="C22" i="2"/>
  <c r="C62" i="2" s="1"/>
  <c r="E96" i="1"/>
  <c r="C82" i="1"/>
  <c r="E82" i="1"/>
  <c r="B83" i="1"/>
  <c r="B9" i="2" s="1"/>
  <c r="H6" i="2"/>
  <c r="C83" i="1"/>
  <c r="C80" i="1"/>
  <c r="E83" i="1"/>
  <c r="B5" i="2"/>
  <c r="E80" i="1"/>
  <c r="B82" i="1"/>
  <c r="B8" i="2" s="1"/>
  <c r="B80" i="1"/>
  <c r="B6" i="2" s="1"/>
  <c r="B79" i="1"/>
  <c r="C134" i="1"/>
  <c r="E134" i="1"/>
  <c r="C79" i="1"/>
  <c r="E79" i="1"/>
  <c r="C5" i="2"/>
  <c r="C61" i="2" s="1"/>
  <c r="C86" i="1"/>
  <c r="E86" i="1" s="1"/>
  <c r="B86" i="1"/>
  <c r="B12" i="2" s="1"/>
  <c r="C50" i="2" l="1"/>
  <c r="F50" i="2" s="1"/>
  <c r="E124" i="1"/>
  <c r="C41" i="2"/>
  <c r="F41" i="2" s="1"/>
  <c r="E115" i="1"/>
  <c r="F64" i="2"/>
  <c r="G56" i="2"/>
  <c r="E127" i="1"/>
  <c r="C53" i="2"/>
  <c r="F53" i="2" s="1"/>
  <c r="E111" i="1"/>
  <c r="C37" i="2"/>
  <c r="F37" i="2" s="1"/>
  <c r="C67" i="2"/>
  <c r="C76" i="2"/>
  <c r="H76" i="2"/>
  <c r="E94" i="1"/>
  <c r="C20" i="2"/>
  <c r="F20" i="2" s="1"/>
  <c r="C146" i="1"/>
  <c r="C16" i="2"/>
  <c r="F16" i="2" s="1"/>
  <c r="F67" i="2" s="1"/>
  <c r="G67" i="2" s="1"/>
  <c r="E146" i="1"/>
  <c r="E137" i="1"/>
  <c r="C137" i="1"/>
  <c r="C7" i="2"/>
  <c r="F7" i="2" s="1"/>
  <c r="B121" i="1"/>
  <c r="B47" i="2" s="1"/>
  <c r="B122" i="1"/>
  <c r="B48" i="2" s="1"/>
  <c r="C46" i="2"/>
  <c r="F46" i="2" s="1"/>
  <c r="C121" i="1"/>
  <c r="E121" i="1"/>
  <c r="B119" i="1"/>
  <c r="B45" i="2" s="1"/>
  <c r="C119" i="1"/>
  <c r="C45" i="2" s="1"/>
  <c r="F45" i="2" s="1"/>
  <c r="E119" i="1"/>
  <c r="B104" i="1"/>
  <c r="B30" i="2" s="1"/>
  <c r="C104" i="1"/>
  <c r="E104" i="1"/>
  <c r="B105" i="1"/>
  <c r="B31" i="2" s="1"/>
  <c r="C29" i="2"/>
  <c r="F29" i="2" s="1"/>
  <c r="B102" i="1"/>
  <c r="B28" i="2" s="1"/>
  <c r="C102" i="1"/>
  <c r="C28" i="2" s="1"/>
  <c r="F28" i="2" s="1"/>
  <c r="E102" i="1"/>
  <c r="C138" i="1"/>
  <c r="E138" i="1" s="1"/>
  <c r="C8" i="2"/>
  <c r="F8" i="2" s="1"/>
  <c r="E140" i="1"/>
  <c r="C140" i="1"/>
  <c r="C9" i="2"/>
  <c r="F9" i="2" s="1"/>
  <c r="C136" i="1"/>
  <c r="E136" i="1"/>
  <c r="C6" i="2"/>
  <c r="F6" i="2" s="1"/>
  <c r="C68" i="2"/>
  <c r="C74" i="2"/>
  <c r="H74" i="2"/>
  <c r="C55" i="2"/>
  <c r="E55" i="2" s="1"/>
  <c r="B87" i="1"/>
  <c r="B13" i="2" s="1"/>
  <c r="C87" i="1"/>
  <c r="E87" i="1"/>
  <c r="B88" i="1"/>
  <c r="B14" i="2" s="1"/>
  <c r="E135" i="1"/>
  <c r="C12" i="2"/>
  <c r="F12" i="2" s="1"/>
  <c r="C135" i="1"/>
  <c r="B85" i="1"/>
  <c r="B11" i="2" s="1"/>
  <c r="C85" i="1"/>
  <c r="E85" i="1"/>
  <c r="G64" i="2" l="1"/>
  <c r="C122" i="1"/>
  <c r="C48" i="2" s="1"/>
  <c r="F48" i="2" s="1"/>
  <c r="E122" i="1"/>
  <c r="C47" i="2"/>
  <c r="F47" i="2" s="1"/>
  <c r="F39" i="2" s="1"/>
  <c r="C105" i="1"/>
  <c r="C31" i="2" s="1"/>
  <c r="F31" i="2" s="1"/>
  <c r="E105" i="1"/>
  <c r="C30" i="2"/>
  <c r="F30" i="2" s="1"/>
  <c r="F22" i="2" s="1"/>
  <c r="F66" i="2"/>
  <c r="G66" i="2" s="1"/>
  <c r="E66" i="2" s="1"/>
  <c r="C88" i="1"/>
  <c r="C14" i="2" s="1"/>
  <c r="F14" i="2" s="1"/>
  <c r="E88" i="1"/>
  <c r="E143" i="1"/>
  <c r="C143" i="1"/>
  <c r="C13" i="2"/>
  <c r="F13" i="2" s="1"/>
  <c r="C73" i="2"/>
  <c r="H73" i="2"/>
  <c r="C65" i="2"/>
  <c r="E142" i="1"/>
  <c r="C142" i="1"/>
  <c r="C11" i="2"/>
  <c r="F11" i="2" s="1"/>
  <c r="E39" i="2"/>
  <c r="E63" i="2" s="1"/>
  <c r="G40" i="2"/>
  <c r="F63" i="2"/>
  <c r="G63" i="2" s="1"/>
  <c r="G76" i="2"/>
  <c r="E67" i="2"/>
  <c r="F62" i="2" l="1"/>
  <c r="G62" i="2" s="1"/>
  <c r="E22" i="2"/>
  <c r="E62" i="2" s="1"/>
  <c r="G23" i="2"/>
  <c r="F65" i="2"/>
  <c r="F5" i="2"/>
  <c r="H68" i="2" l="1"/>
  <c r="G65" i="2"/>
  <c r="E65" i="2" s="1"/>
  <c r="G6" i="2"/>
  <c r="E5" i="2"/>
  <c r="E61" i="2" s="1"/>
  <c r="F61" i="2"/>
  <c r="G61" i="2" l="1"/>
  <c r="F68" i="2"/>
  <c r="G68" i="2" l="1"/>
  <c r="F69" i="2"/>
  <c r="G69" i="2" l="1"/>
  <c r="F70" i="2"/>
  <c r="G70" i="2" s="1"/>
  <c r="G73" i="2"/>
  <c r="G74" i="2"/>
  <c r="G75" i="2"/>
  <c r="E68" i="2"/>
</calcChain>
</file>

<file path=xl/sharedStrings.xml><?xml version="1.0" encoding="utf-8"?>
<sst xmlns="http://schemas.openxmlformats.org/spreadsheetml/2006/main" count="740" uniqueCount="458">
  <si>
    <t>ΕΡΓΟ: BOLTON TOWER (BERLIN WALL &amp; ΑΓΚΥΡΩΣΕΙΣ) — ΣΤΟΙΧΕΙΑ ΜΕΛΕΤΗΣ &amp; ΦΥΣΙΚΕΣ ΠΟΣΟΤΗΤΕΣ ΑΝΑ ΤΥΠΟ ΤΟΙΧΟΥ (ΧΩΡΙΣ ΕΥΡΩ)</t>
  </si>
  <si>
    <t>ΟΡΓΑΝΩΜΕΝΟ ΣΕ ΚΟΥΤΙΑ (BOXES) ΑΝΑ ΤΥΠΟ ΤΟΙΧΟΥ (TYPE A, TYPE B, TYPE C) ΓΙΑ ΑΜΕΣΟ ΕΛΕΓΧΟ | [ΚΕΦΑΛΑΙΟ Α] = RAW INPUTS | [ΚΕΦΑΛΑΙΟ Β] = ΥΠΟΛΟΓΙΣΜΟΙ</t>
  </si>
  <si>
    <t>🏛️ ΚΕΦΑΛΑΙΟ Α: ΣΤΟΙΧΕΙΑ ΜΕΛΕΤΗΣ (RAW INPUTS) — ΧΩΡΙΣΜΕΝΑ ΣΕ ΚΟΥΤΙΑ ΑΝΑ ΤΥΠΟ ΤΟΙΧΟΥ</t>
  </si>
  <si>
    <t>α/α</t>
  </si>
  <si>
    <t>ΠΕΡΙΓΡΑΦΗ ΣΤΟΙΧΕΙΟΥ / ΕΡΓΑΣΙΑΣ</t>
  </si>
  <si>
    <t>ΤΙΜΗ ΜΕΛΕΤΗΣ</t>
  </si>
  <si>
    <t>ΜΟΝ.</t>
  </si>
  <si>
    <t>ΠΗΓΗ ΜΕΛΕΤΗΣ (ΣΧΕΔΙΟ)</t>
  </si>
  <si>
    <t>ΤΕΧΝΙΚΗ ΣΗΜΕΙΩΣΗ / ΕΛΕΓΧΟΣ ΚΑΝΟΝΑ</t>
  </si>
  <si>
    <t>ΚΟΙΝΑ</t>
  </si>
  <si>
    <t>ΚΟΥΤΙ Α.0 — ΓΕΝΙΚΑ ΣΤΟΙΧΕΙΑ ΕΡΓΟΥ &amp; ΚΟΙΝΕΣ ΠΡΟΔΙΑΓΡΑΦΕΣ (Εργοτάξιο, Διάτρηση, Σχάρα, Shotcrete, Λάμες, Γωνιές, Αγκυρώσεις)</t>
  </si>
  <si>
    <t>Κ.1</t>
  </si>
  <si>
    <t>Έδρα Εταιρείας (Αφετηρία)</t>
  </si>
  <si>
    <t>Άγιος Συλάς, Σπύρου Κυπριανού 32, Λεμεσός</t>
  </si>
  <si>
    <t>-</t>
  </si>
  <si>
    <t>Βάση Εταιρείας</t>
  </si>
  <si>
    <t>Σταθερή βάση εκκίνησης συνεργείων &amp; μηχανημάτων</t>
  </si>
  <si>
    <t>Κ.2</t>
  </si>
  <si>
    <t>Τοποθεσία Εργοταξίου &amp; Χιλιομετρική Απόσταση</t>
  </si>
  <si>
    <t>km</t>
  </si>
  <si>
    <t>Σχέδιο ΘΕΜ/1 &amp; ΘΕΜ/6</t>
  </si>
  <si>
    <t>Λεμεσός (Bolton Tower) — Ζώνη 0-40 km (βασικές τιμές μετακινήσεων)</t>
  </si>
  <si>
    <t>Κ.3</t>
  </si>
  <si>
    <t>Μέγιστο Πλήθος Οριζόντιων Σειρών Αγκυρώσεων Έργου</t>
  </si>
  <si>
    <t>σειρές</t>
  </si>
  <si>
    <t>Σχέδιο ΘΕΜ/6, Τομές A, B, Γ</t>
  </si>
  <si>
    <t>Type A &amp; B: 4 σειρές αγκυρώσεων | Type C: 3 σειρές αγκυρώσεων</t>
  </si>
  <si>
    <t>Κ.4</t>
  </si>
  <si>
    <t>Αξονική Απόσταση Πασσάλων (s_c/c)</t>
  </si>
  <si>
    <t>m</t>
  </si>
  <si>
    <t>[!!! ΣΥΓΚΡΟΥΣΗ ΜΕΛΕΤΗΣ !!!]: Αναγράφονται 2 διαφορετικοί αριθμοί: @ 2000mm στο κείμενο λεπτομέρειας vs (1500) στη διάσταση CL και 1.50m στις τομές. Επιλέχθηκε ο πιο ασφαλής στατικά αριθμός s = 1.50 m.</t>
  </si>
  <si>
    <t>Κ.5</t>
  </si>
  <si>
    <t>Διάμετρος Οπής Διάτρησης Μεγάλου Τρυπανιού (D)</t>
  </si>
  <si>
    <t>Κανόνας Εταιρείας</t>
  </si>
  <si>
    <t>[DEFAULT ΕΤΑΙΡΕΙΑΣ]: Δεν αναγράφεται διάμετρος νέφκας στη μελέτη (το D=800 στο ΘΕΜ/1 αφορά υποστυλώματα κτιρίου). Εφαρμόζεται by default Ø800 mm.</t>
  </si>
  <si>
    <t>Κ.6</t>
  </si>
  <si>
    <t>Πλήθος Προφίλ Χάλυβα ανά Πάσσαλο / Οπή</t>
  </si>
  <si>
    <t>No/οπή</t>
  </si>
  <si>
    <t>Σχέδιο ΘΕΜ/6, Λεπτομέρεια</t>
  </si>
  <si>
    <t>Δίδυμο προφίλ (Ζεύγος 2 No. HEB ανά πάσσαλο)</t>
  </si>
  <si>
    <t>Κ.7</t>
  </si>
  <si>
    <t>Θεωρητικό Βάρος Διατομής HEB 220 (για Type A)</t>
  </si>
  <si>
    <t>kg/m</t>
  </si>
  <si>
    <t>Βιβλιοθήκη Διατομών (Φύλλο 3)</t>
  </si>
  <si>
    <t>71.5 kg/m ανά HEB 220 (143.0 kg/m ανά ζεύγος)</t>
  </si>
  <si>
    <t>Κ.8</t>
  </si>
  <si>
    <t>Θεωρητικό Βάρος Διατομής HEB 200 (για Type B &amp; Type C)</t>
  </si>
  <si>
    <t>61.3 kg/m ανά HEB 200 (122.6 kg/m ανά ζεύγος)</t>
  </si>
  <si>
    <t>Κ.9</t>
  </si>
  <si>
    <t>Κατακόρυφο Βήμα Λαμών Σύνδεσης (s_plate)</t>
  </si>
  <si>
    <t>Λάμες 200x200x10mm ανά 1000mm (1.0m) καθ' ύψος (Κανόνας L_beam / s_plate)</t>
  </si>
  <si>
    <t>Κ.10</t>
  </si>
  <si>
    <t>Πλάτος / Μήκος / Πάχος Λάμας Σύνδεσης (200x200x10 mm)</t>
  </si>
  <si>
    <t>kg/τεμ</t>
  </si>
  <si>
    <t>0.20m × 0.20m × 0.010m × 7,850 kg/m³ = 3.140 kg ανά λάμα</t>
  </si>
  <si>
    <t>Κ.11</t>
  </si>
  <si>
    <t>Γωνιές Στήριξης Σχάρας L 70x70x6mm (2 τεμ. ανά πάσσαλο)</t>
  </si>
  <si>
    <t>Σχέδιο ΘΕΜ/6 &amp; Φύλλο 3</t>
  </si>
  <si>
    <t>Γωνιές 70x70x6mm (6.38 kg/m × 2 γωνιές καθ' ύψος εκσκαφής H_exc)</t>
  </si>
  <si>
    <t>Κ.12</t>
  </si>
  <si>
    <t>Διάμετρος Ράβδων Σχάρας Οριζόντιων &amp; Κατακόρυφων (#Y8/150)</t>
  </si>
  <si>
    <t>mm</t>
  </si>
  <si>
    <t>Αναγράφεται ρητά #Y8/150 (αυστηρή τήρηση Y8 βάσει κανόνα 2.3)</t>
  </si>
  <si>
    <t>Κ.13</t>
  </si>
  <si>
    <t>Βήμα Ράβδων Σχάρας Οριζόντιων &amp; Κατακόρυφων (s_mesh)</t>
  </si>
  <si>
    <t>Βήμα 150mm × 150mm (2 × 6.67 m/m² × 0.395 kg/m = 5.261 kg/m²)</t>
  </si>
  <si>
    <t>Κ.14</t>
  </si>
  <si>
    <t>Κατηγορία Σκυροδέματος Shotcrete &amp; Πάκτωσης</t>
  </si>
  <si>
    <t>C30/37</t>
  </si>
  <si>
    <t>[DEFAULT ΕΤΑΙΡΕΙΑΣ]: Δεν αναγράφεται στη μελέτη. Εφαρμόζεται by default C30/37 βάσει κανόνα εταιρείας.</t>
  </si>
  <si>
    <t>Κ.15</t>
  </si>
  <si>
    <t>Ονομαστικό Πάχος Shotcrete Μελέτης (Gunite)</t>
  </si>
  <si>
    <t>150 mm (15 cm) εκτοξευόμενο σκυρόδεμα (gunite)</t>
  </si>
  <si>
    <t>Κ.16</t>
  </si>
  <si>
    <t>Πάγια Απώλεια / Αναπήδηση Shotcrete Εταιρείας</t>
  </si>
  <si>
    <t>+5 cm πάγια προσαύξηση εταιρείας (+33.3% επί του ονομαστικού πάχους)</t>
  </si>
  <si>
    <t>Κ.17</t>
  </si>
  <si>
    <t>Διάμετρος Οπής Διάτρησης Αγκυρώσεων (D_anc)</t>
  </si>
  <si>
    <t>Ø120 mm τυπική διάμετρος διάτρησης αγκυρίων</t>
  </si>
  <si>
    <t>Κ.18</t>
  </si>
  <si>
    <t>Συντελεστής Απώλειας Grout Αγκυρώσεων</t>
  </si>
  <si>
    <t>+20% προσαύξηση όγκου τσιμεντενέματος (0.013572 m³/m)</t>
  </si>
  <si>
    <t>Κ.19</t>
  </si>
  <si>
    <t>Πρόσθετο Μήκος Τένοντα εκτός Μετώπου (για τάνυση/κεφαλή)</t>
  </si>
  <si>
    <t>+1.00 m έξω από το μέτωπο σε κάθε τένοντα</t>
  </si>
  <si>
    <t>Κ.20</t>
  </si>
  <si>
    <t>Τυπικό Βάρος Τένοντα Προέντασης 0.6" (15.2mm)</t>
  </si>
  <si>
    <t>7-wire strand 0.6" (1670/1860 MPa) = 1.10 kg/m</t>
  </si>
  <si>
    <t>TYPE A</t>
  </si>
  <si>
    <t>ΚΟΥΤΙ ΣΤΟΙΧΕΙΩΝ ΜΕΛΕΤΗΣ TYPE A — ΤΟΙΧΟΣ ΑΝΤΙΣΤΗΡΙΞΗΣ Α (Εκσκαφή 17.00m, 24No Ζεύγη HEB 220, L=19.00m, 4 Σειρές Αγκυρώσεων)</t>
  </si>
  <si>
    <t>A.in.1</t>
  </si>
  <si>
    <t>Πλήθος Πασσάλων / Ζευγών HEB 220 (Type A)</t>
  </si>
  <si>
    <t>No</t>
  </si>
  <si>
    <t>Σχέδιο ΘΕΜ/1 (Κάτοψη) &amp; OpenCV</t>
  </si>
  <si>
    <t>24 πάσσαλοι (Ανατολικό &amp; Νότιο τμήμα Τοίχου Α)</t>
  </si>
  <si>
    <t>A.in.2</t>
  </si>
  <si>
    <t>Αναπτυγμένο Μήκος Μετώπου Type A (24 × 1.50m)</t>
  </si>
  <si>
    <t>τρ.μ.</t>
  </si>
  <si>
    <t>Σχέδιο ΘΕΜ/1 (Intervals)</t>
  </si>
  <si>
    <t>A.in.3</t>
  </si>
  <si>
    <t>Ελεύθερο Ύψος Εκσκαφής Type A (H_exc_A)</t>
  </si>
  <si>
    <t>Σχέδιο ΘΕΜ/6, Τομή Τοίχου Α</t>
  </si>
  <si>
    <t>Αναγραφόμενο ύψος εκσκαφής 17000 mm (17.00 m)</t>
  </si>
  <si>
    <t>A.in.4</t>
  </si>
  <si>
    <t>Βάθος Πάκτωσης Νέφκας Type A (H_embed_A)</t>
  </si>
  <si>
    <t>Αναγραφόμενο βάθος πάκτωσης 2000 mm (2.00 m)</t>
  </si>
  <si>
    <t>A.in.5</t>
  </si>
  <si>
    <t>Συνολικό Μήκος Νέφκας / Διάτρησης Type A (L_beam_A)</t>
  </si>
  <si>
    <t>Αναγραφόμενο μήκος 19000 mm (17.00m + 2.00m = 19.00m)</t>
  </si>
  <si>
    <t>A.in.6</t>
  </si>
  <si>
    <t>Αγκύρωση Σειρά 1 (στο -1.50m): Μήκος Διάτρησης L1</t>
  </si>
  <si>
    <t>10.0m ελεύθερο + 10.0m πάκτωση grout = 20.00m (30°, 144 kN)</t>
  </si>
  <si>
    <t>A.in.7</t>
  </si>
  <si>
    <t>Αγκύρωση Σειρά 1 (στο -1.50m): Καλώδια (Strands)</t>
  </si>
  <si>
    <t>καλώδια</t>
  </si>
  <si>
    <t>Αναγράφεται: 2 ΚΑΛΩΔΙΑ 15.2mm (Type 1670/1860)</t>
  </si>
  <si>
    <t>A.in.8</t>
  </si>
  <si>
    <t>Αγκύρωση Σειρά 2 (στο -5.50m): Μήκος Διάτρησης L2</t>
  </si>
  <si>
    <t>8.5m ελεύθερο + 11.0m πάκτωση grout = 19.50m (30°, 338 kN)</t>
  </si>
  <si>
    <t>A.in.9</t>
  </si>
  <si>
    <t>Αγκύρωση Σειρά 2 (στο -5.50m): Καλώδια (Strands)</t>
  </si>
  <si>
    <t>A.in.10</t>
  </si>
  <si>
    <t>Αγκύρωση Σειρά 3 (στο -9.00m): Μήκος Διάτρησης L3</t>
  </si>
  <si>
    <t>8.0m ελεύθερο + 12.0m πάκτωση grout = 20.00m (30°, 439 kN)</t>
  </si>
  <si>
    <t>A.in.11</t>
  </si>
  <si>
    <t>Αγκύρωση Σειρά 3 (στο -9.00m): Καλώδια (Strands)</t>
  </si>
  <si>
    <t>Αναγράφεται: 3 ΚΑΛΩΔΙΑ 15.2mm (Type 1670/1860)</t>
  </si>
  <si>
    <t>A.in.12</t>
  </si>
  <si>
    <t>Αγκύρωση Σειρά 4 (στο -13.00m): Μήκος Διάτρησης L4</t>
  </si>
  <si>
    <t>3.5m ελεύθερο + 15.0m πάκτωση grout = 18.50m (30°, 584 kN)</t>
  </si>
  <si>
    <t>A.in.13</t>
  </si>
  <si>
    <t>Αγκύρωση Σειρά 4 (στο -13.00m): Καλώδια (Strands)</t>
  </si>
  <si>
    <t>TYPE B</t>
  </si>
  <si>
    <t>ΚΟΥΤΙ ΣΤΟΙΧΕΙΩΝ ΜΕΛΕΤΗΣ TYPE B — ΤΟΙΧΟΣ ΑΝΤΙΣΤΗΡΙΞΗΣ Β (Εκσκαφή 15.60m, 63No Ζεύγη HEB 200, L=17.00m, 4 Σειρές Αγκυρώσεων)</t>
  </si>
  <si>
    <t>B.in.1</t>
  </si>
  <si>
    <t>Πλήθος Πασσάλων / Ζευγών HEB 200 (Type B)</t>
  </si>
  <si>
    <t>63 πάσσαλοι (Βόρειο, Βορειοανατολικό &amp; Νότιο τμήμα Τοίχου Β)</t>
  </si>
  <si>
    <t>B.in.2</t>
  </si>
  <si>
    <t>Αναπτυγμένο Μήκος Μετώπου Type B (63 × 1.50m)</t>
  </si>
  <si>
    <t>B.in.3</t>
  </si>
  <si>
    <t>Ελεύθερο Ύψος Εκσκαφής Type B (H_exc_B)</t>
  </si>
  <si>
    <t>Σχέδιο ΘΕΜ/6, Τομή Τοίχου Β</t>
  </si>
  <si>
    <t>Αναγραφόμενο ύψος εκσκαφής 15600 mm (15.60 m)</t>
  </si>
  <si>
    <t>B.in.4</t>
  </si>
  <si>
    <t>Βάθος Πάκτωσης Νέφκας Type B (H_embed_B)</t>
  </si>
  <si>
    <t>B.in.5</t>
  </si>
  <si>
    <t>Συνολικό Μήκος Νέφκας / Διάτρησης Type B (L_beam_B)</t>
  </si>
  <si>
    <t>Αναγραφόμενο συνολικό μήκος νέφκας 17000 mm (17.00 m)</t>
  </si>
  <si>
    <t>B.in.6</t>
  </si>
  <si>
    <t>10.0m ελεύθερο + 10.0m πάκτωση grout = 20.00m (30°, 141 kN)</t>
  </si>
  <si>
    <t>B.in.7</t>
  </si>
  <si>
    <t>B.in.8</t>
  </si>
  <si>
    <t>8.5m ελεύθερο + 11.0m πάκτωση grout = 19.50m (30°, 323 kN)</t>
  </si>
  <si>
    <t>B.in.9</t>
  </si>
  <si>
    <t>B.in.10</t>
  </si>
  <si>
    <t>8.5m ελεύθερο + 11.0m πάκτωση grout = 19.50m (30°, 412 kN)</t>
  </si>
  <si>
    <t>B.in.11</t>
  </si>
  <si>
    <t>B.in.12</t>
  </si>
  <si>
    <t>Αγκύρωση Σειρά 4 (στο -12.00m): Μήκος Διάτρησης L4</t>
  </si>
  <si>
    <t>4.0m ελεύθερο + 12.0m πάκτωση grout = 16.00m (30°, 438 kN)</t>
  </si>
  <si>
    <t>B.in.13</t>
  </si>
  <si>
    <t>Αγκύρωση Σειρά 4 (στο -12.00m): Καλώδια (Strands)</t>
  </si>
  <si>
    <t>TYPE C</t>
  </si>
  <si>
    <t>ΚΟΥΤΙ ΣΤΟΙΧΕΙΩΝ ΜΕΛΕΤΗΣ TYPE C — ΤΟΙΧΟΣ ΑΝΤΙΣΤΗΡΙΞΗΣ Γ (Εκσκαφή 11.10m, 11No Ζεύγη HEB 200, L=13.00m, 3 Σειρές Αγκυρώσεων)</t>
  </si>
  <si>
    <t>C.in.1</t>
  </si>
  <si>
    <t>Πλήθος Πασσάλων / Ζευγών HEB 200 (Type C)</t>
  </si>
  <si>
    <t>11 πάσσαλοι (Βορειοδυτικό τμήμα Τοίχου Γ)</t>
  </si>
  <si>
    <t>C.in.2</t>
  </si>
  <si>
    <t>Αναπτυγμένο Μήκος Μετώπου Type C (11 × 1.50m)</t>
  </si>
  <si>
    <t>C.in.3</t>
  </si>
  <si>
    <t>Ελεύθερο Ύψος Εκσκαφής Type C (H_exc_C)</t>
  </si>
  <si>
    <t>Σχέδιο ΘΕΜ/6, Τομή Τοίχου Γ</t>
  </si>
  <si>
    <t>Αναγραφόμενο ύψος εκσκαφής 11100 mm (11.10 m)</t>
  </si>
  <si>
    <t>C.in.4</t>
  </si>
  <si>
    <t>Βάθος Πάκτωσης Νέφκας Type C (H_embed_C)</t>
  </si>
  <si>
    <t>C.in.5</t>
  </si>
  <si>
    <t>Συνολικό Μήκος Νέφκας / Διάτρησης Type C (L_beam_C)</t>
  </si>
  <si>
    <t>Αναγραφόμενο συνολικό μήκος νέφκας 13000 mm (13.00 m)</t>
  </si>
  <si>
    <t>C.in.6</t>
  </si>
  <si>
    <t>9.0m ελεύθερο + 10.0m πάκτωση grout = 19.00m (30°, 176 kN)</t>
  </si>
  <si>
    <t>C.in.7</t>
  </si>
  <si>
    <t>C.in.8</t>
  </si>
  <si>
    <t>7.0m ελεύθερο + 10.0m πάκτωση grout = 17.00m (30°, 371 kN)</t>
  </si>
  <si>
    <t>C.in.9</t>
  </si>
  <si>
    <t>C.in.10</t>
  </si>
  <si>
    <t>6.0m ελεύθερο + 10.0m πάκτωση grout = 16.00m (30°, 341.6 kN)</t>
  </si>
  <si>
    <t>C.in.11</t>
  </si>
  <si>
    <t>⚙️ ΚΕΦΑΛΑΙΟ Β: ΥΠΟΛΟΓΙΣΜΟΙ ΦΥΣΙΚΩΝ ΠΟΣΟΤΗΤΩΝ ΑΝΑ ΤΥΠΟ ΤΟΙΧΟΥ (1-ΠΡΟΣ-1 ΑΝΤΙΣΤΟΙΧΙΑ ΜΕ ΤΑ ΚΟΥΤΙΑ ΤΟΥ ΦΥΛΛΟΥ 2)</t>
  </si>
  <si>
    <t>ΠΕΡΙΓΡΑΦΗ ΥΠΟΛΟΓΙΣΜΟΥ ΠΟΣΟΤΗΤΑΣ</t>
  </si>
  <si>
    <t>ΠΟΣΟΤΗΤΑ</t>
  </si>
  <si>
    <t>ΔΥΝΑΜΙΚΟΣ ΤΥΠΟΣ &amp; ΕΠΕΞΗΓΗΣΗ</t>
  </si>
  <si>
    <t>ΣΤΑΘ.</t>
  </si>
  <si>
    <t>Β.0 ΒΟΗΘΗΤΙΚΕΣ ΦΥΣΙΚΕΣ ΣΤΑΘΕΡΕΣ ΜΟΝΑΔΑΣ (Διατομή Οπής Ø800mm, Βάρος Σχάρας #Y8/150 ανά m², Όγκος Grout Ø120mm ανά m)</t>
  </si>
  <si>
    <t>Σ.1</t>
  </si>
  <si>
    <t>Διατομή / Όγκος Οπής Μεγάλου Τρυπανιού ανά Μέτρο (Ø800mm)</t>
  </si>
  <si>
    <t>m³/m</t>
  </si>
  <si>
    <t>0.5027 m³/m για διάτρηση Ø800mm</t>
  </si>
  <si>
    <t>Σ.2</t>
  </si>
  <si>
    <t>Υπολογιστικό Βάρος Σχάρας #Y8/150 ανά m² (Οριζ. + Κατακ.)</t>
  </si>
  <si>
    <t>kg/m²</t>
  </si>
  <si>
    <t>5.261 kg/m² για #Y8/150 (2 κατευθύνσεις)</t>
  </si>
  <si>
    <t>Σ.3</t>
  </si>
  <si>
    <t>Όγκος Grout Αγκύρωσης ανά Μέτρο Διάτρησης (Ø120mm × 1.20)</t>
  </si>
  <si>
    <t>0.013572 m³/m (συμπεριλαμβάνει +20% απώλεια)</t>
  </si>
  <si>
    <t>Σ.4</t>
  </si>
  <si>
    <t>Ποσοστό Απώλειας Shotcrete επί του Ονομαστικού Πάχους</t>
  </si>
  <si>
    <t>%</t>
  </si>
  <si>
    <t>+33.3% προσαύξηση λόγω αναπήδησης (+5cm)</t>
  </si>
  <si>
    <t>Όλες οι ποσότητες A.1–A.15 μεταφέρονται 1-προς-1 στο Κουτί TYPE A του Φύλλου 2</t>
  </si>
  <si>
    <t>A.1</t>
  </si>
  <si>
    <t>Διάτρηση Μεγάλου Τρυπανιού Ø800mm (Type A)</t>
  </si>
  <si>
    <t>A.2</t>
  </si>
  <si>
    <t>m³</t>
  </si>
  <si>
    <t>Κουγκρί πάκτωσης σε ύψος H_embed = 2.00m</t>
  </si>
  <si>
    <t>A.3</t>
  </si>
  <si>
    <t>kg</t>
  </si>
  <si>
    <t>Ξεχωριστό κουτάκι HEB 220 (Κανόνας 3.6)</t>
  </si>
  <si>
    <t>A.4</t>
  </si>
  <si>
    <t>Κανόνας 3.2: L_beam / s_plate = 19.0m / 1.0m = 19 λάμες/οπή</t>
  </si>
  <si>
    <t>A.5</t>
  </si>
  <si>
    <t>2 γωνιές L 70x70x6 ανά πάσσαλο στο ύψος εκσκαφής</t>
  </si>
  <si>
    <t>A.6</t>
  </si>
  <si>
    <t>Χάλυβας σχάρας #Y8/150 μετώπου Type A</t>
  </si>
  <si>
    <t>A.7</t>
  </si>
  <si>
    <t>m²</t>
  </si>
  <si>
    <t>Εμβαδόν μετώπου εκσκαφής Type A</t>
  </si>
  <si>
    <t>A.8</t>
  </si>
  <si>
    <t>Ονομαστικός όγκος Shotcrete (πάχος 15cm)</t>
  </si>
  <si>
    <t>A.9</t>
  </si>
  <si>
    <t>Εφαρμογή εκτοξευόμενου σκυροδέματος Type A</t>
  </si>
  <si>
    <t>A.10</t>
  </si>
  <si>
    <t>Συνολικά μέτρα διάτρησης 96 αγκυρώσεων Type A</t>
  </si>
  <si>
    <t>A.11</t>
  </si>
  <si>
    <t>Grout πλήρωσης οπών αγκυρώσεων Type A</t>
  </si>
  <si>
    <t>A.12</t>
  </si>
  <si>
    <t>48 αγκυρώσεις 2-strands (Σειρές 1 &amp; 2 Τοίχου Α)</t>
  </si>
  <si>
    <t>A.13</t>
  </si>
  <si>
    <t>48 αγκυρώσεις 3-strands (Σειρές 3 &amp; 4 Τοίχου Α)</t>
  </si>
  <si>
    <t>A.14</t>
  </si>
  <si>
    <t>Τάνυση &amp; Lock-off 96 αγκυρώσεων Type A</t>
  </si>
  <si>
    <t>A.15</t>
  </si>
  <si>
    <t>Κεφαλές, σφήνες &amp; πλάκες 96 αγκυρώσεων Type A</t>
  </si>
  <si>
    <t>Όλες οι ποσότητες B.1–B.15 μεταφέρονται 1-προς-1 στο Κουτί TYPE B του Φύλλου 2</t>
  </si>
  <si>
    <t>B.1</t>
  </si>
  <si>
    <t>Διάτρηση Μεγάλου Τρυπανιού Ø800mm (Type B)</t>
  </si>
  <si>
    <t>B.2</t>
  </si>
  <si>
    <t>B.3</t>
  </si>
  <si>
    <t>Ξεχωριστό κουτάκι HEB 200 για Type B (Κανόνας 3.6)</t>
  </si>
  <si>
    <t>B.4</t>
  </si>
  <si>
    <t>Κανόνας 3.2: L_beam / s_plate = 17.0m / 1.0m = 17 λάμες/οπή</t>
  </si>
  <si>
    <t>B.5</t>
  </si>
  <si>
    <t>B.6</t>
  </si>
  <si>
    <t>Χάλυβας σχάρας #Y8/150 μετώπου Type B</t>
  </si>
  <si>
    <t>B.7</t>
  </si>
  <si>
    <t>Εμβαδόν μετώπου εκσκαφής Type B</t>
  </si>
  <si>
    <t>B.8</t>
  </si>
  <si>
    <t>B.9</t>
  </si>
  <si>
    <t>Εφαρμογή εκτοξευόμενου σκυροδέματος Type B</t>
  </si>
  <si>
    <t>B.10</t>
  </si>
  <si>
    <t>Συνολικά μέτρα διάτρησης 252 αγκυρώσεων Type B</t>
  </si>
  <si>
    <t>B.11</t>
  </si>
  <si>
    <t>Grout πλήρωσης οπών αγκυρώσεων Type B</t>
  </si>
  <si>
    <t>B.12</t>
  </si>
  <si>
    <t>126 αγκυρώσεις 2-strands (Σειρές 1 &amp; 2 Τοίχου Β)</t>
  </si>
  <si>
    <t>B.13</t>
  </si>
  <si>
    <t>126 αγκυρώσεις 3-strands (Σειρές 3 &amp; 4 Τοίχου Β)</t>
  </si>
  <si>
    <t>B.14</t>
  </si>
  <si>
    <t>Τάνυση &amp; Lock-off 252 αγκυρώσεων Type B</t>
  </si>
  <si>
    <t>B.15</t>
  </si>
  <si>
    <t>Κεφαλές, σφήνες &amp; πλάκες 252 αγκυρώσεων Type B</t>
  </si>
  <si>
    <t>Όλες οι ποσότητες C.1–C.14 μεταφέρονται 1-προς-1 στο Κουτί TYPE C του Φύλλου 2</t>
  </si>
  <si>
    <t>C.1</t>
  </si>
  <si>
    <t>Διάτρηση Μεγάλου Τρυπανιού Ø800mm (Type C)</t>
  </si>
  <si>
    <t>C.2</t>
  </si>
  <si>
    <t>C.3</t>
  </si>
  <si>
    <t>Ξεχωριστό κουτάκι HEB 200 για Type C (Κανόνας 3.6)</t>
  </si>
  <si>
    <t>C.4</t>
  </si>
  <si>
    <t>Κανόνας 3.2: L_beam / s_plate = 13.0m / 1.0m = 13 λάμες/οπή</t>
  </si>
  <si>
    <t>C.5</t>
  </si>
  <si>
    <t>C.6</t>
  </si>
  <si>
    <t>Χάλυβας σχάρας #Y8/150 μετώπου Type C</t>
  </si>
  <si>
    <t>C.7</t>
  </si>
  <si>
    <t>Εμβαδόν μετώπου εκσκαφής Type C</t>
  </si>
  <si>
    <t>C.8</t>
  </si>
  <si>
    <t>C.9</t>
  </si>
  <si>
    <t>Εφαρμογή εκτοξευόμενου σκυροδέματος Type C</t>
  </si>
  <si>
    <t>C.10</t>
  </si>
  <si>
    <t>Συνολικά μέτρα διάτρησης 33 αγκυρώσεων Type C</t>
  </si>
  <si>
    <t>C.11</t>
  </si>
  <si>
    <t>Grout πλήρωσης οπών αγκυρώσεων Type C</t>
  </si>
  <si>
    <t>C.12</t>
  </si>
  <si>
    <t>33 αγκυρώσεις 3-strands (Σειρές 1, 2 &amp; 3 Τοίχου Γ)</t>
  </si>
  <si>
    <t>C.13</t>
  </si>
  <si>
    <t>Τάνυση &amp; Lock-off 33 αγκυρώσεων Type C</t>
  </si>
  <si>
    <t>C.14</t>
  </si>
  <si>
    <t>Κεφαλές, σφήνες &amp; πλάκες 33 αγκυρώσεων Type C</t>
  </si>
  <si>
    <t>ΣΥΝΟΛΑ</t>
  </si>
  <si>
    <t>ΚΟΥΤΙ Β.4 — ΣΤΡΑΤΕΣ ΜΕΤΑΚΙΝΗΣΗΣ &amp; ΣΥΓΚΕΝΤΡΩΤΙΚΕΣ ΠΟΣΟΤΗΤΕΣ ΕΡΓΟΥ (TYPE A + TYPE B + TYPE C)</t>
  </si>
  <si>
    <t>M.1</t>
  </si>
  <si>
    <t>Στράτες Μεγάλου Τρυπανιού (Piling Rig)</t>
  </si>
  <si>
    <t>στράτες</t>
  </si>
  <si>
    <t>Ζώνη Λεμεσού 0-40 km</t>
  </si>
  <si>
    <t>M.2</t>
  </si>
  <si>
    <t>Στράτες Εξοπλισμού Αγκυρώσεων (όσες οι μέγιστες σειρές)</t>
  </si>
  <si>
    <t>M.3</t>
  </si>
  <si>
    <t>Στράτες Συνεργείου &amp; Αντλίας Shotcrete (σειρές + 1)</t>
  </si>
  <si>
    <t>ΣΥΝ.1</t>
  </si>
  <si>
    <t>ΣΥΝΟΛΙΚΟ ΠΛΗΘΟΣ ΠΑΣΣΑΛΩΝ / ΟΠΩΝ ΕΡΓΟΥ (Type A + B + C)</t>
  </si>
  <si>
    <t>98 πάσσαλοι συνολικά</t>
  </si>
  <si>
    <t>ΣΥΝ.2</t>
  </si>
  <si>
    <t>ΣΥΝΟΛΙΚΟ ΜΗΚΟΣ ΠΕΡΙΜΕΤΡΟΥ ΕΡΓΟΥ (Type A + B + C)</t>
  </si>
  <si>
    <t>147.00 τρ.μ. συνολική περίμετρος</t>
  </si>
  <si>
    <t>ΣΥΝ.3</t>
  </si>
  <si>
    <t>ΣΥΝΟΛΙΚΟ ΕΜΒΑΔΟΝ ΜΕΤΩΠΟΥ ΕΚΣΚΑΦΗΣ (Type A + B + C)</t>
  </si>
  <si>
    <t>2,269.35 m² συνολικό μέτωπο</t>
  </si>
  <si>
    <t>ΣΥΝ.4</t>
  </si>
  <si>
    <t>ΣΥΝΟΛΙΚΑ ΜΕΤΡΑ ΔΙΑΤΡΗΣΗΣ ΜΕΓΑΛΟΥ ΤΡΥΠΑΝΙΟΥ Ø800mm</t>
  </si>
  <si>
    <t>1,670.00 m διάτρηση πασσάλων</t>
  </si>
  <si>
    <t>ΣΥΝ.5</t>
  </si>
  <si>
    <t>ΣΥΝΟΛΙΚΟΣ ΟΓΚΟΣ ΜΠΕΤΟΝ ΠΑΚΤΩΣΗΣ C30/37 (Ø800mm)</t>
  </si>
  <si>
    <t>98.52 m³ κουγκρί πάκτωσης</t>
  </si>
  <si>
    <t>ΣΥΝ.6</t>
  </si>
  <si>
    <t>ΣΥΝΟΛΙΚΟ ΒΑΡΟΣ ΝΕΦΚΩΝ HEB 220 (Type A)</t>
  </si>
  <si>
    <t>65,208.00 kg HEB 220</t>
  </si>
  <si>
    <t>ΣΥΝ.7</t>
  </si>
  <si>
    <t>ΣΥΝΟΛΙΚΟ ΒΑΡΟΣ ΝΕΦΚΩΝ HEB 200 (Type B + Type C)</t>
  </si>
  <si>
    <t>148,836.40 kg HEB 200</t>
  </si>
  <si>
    <t>ΣΥΝ.8</t>
  </si>
  <si>
    <t>ΣΥΝΟΛΙΚΟ ΒΑΡΟΣ ΛΑΜΩΝ ΣΥΝΔΕΣΗΣ 200x200x10mm</t>
  </si>
  <si>
    <t>1,670 λάμες = 5,243.80 kg</t>
  </si>
  <si>
    <t>ΣΥΝ.9</t>
  </si>
  <si>
    <t>ΣΥΝΟΛΙΚΟ ΒΑΡΟΣ ΓΩΝΙΩΝ ΣΤΗΡΙΞΗΣ L 70x70x6mm</t>
  </si>
  <si>
    <t>3,025.80 m = 19,304.60 kg</t>
  </si>
  <si>
    <t>ΣΥΝ.10</t>
  </si>
  <si>
    <t>ΣΥΝΟΛΙΚΟ ΒΑΡΟΣ ΧΑΛΥΒΑ ΣΧΑΡΑΣ #Y8/150</t>
  </si>
  <si>
    <t>11,939.05 kg χάλυβα σχάρας</t>
  </si>
  <si>
    <t>ΣΥΝ.11</t>
  </si>
  <si>
    <t>ΣΥΝΟΛΙΚΟΣ ΟΝΟΜΑΣΤΙΚΟΣ ΟΓΚΟΣ SHOTCRETE C30/37 (15cm)</t>
  </si>
  <si>
    <t>340.40 m³ ονομαστικό shotcrete</t>
  </si>
  <si>
    <t>ΣΥΝ.12</t>
  </si>
  <si>
    <t>ΣΥΝΟΛΙΚΟ ΠΛΗΘΟΣ ΑΓΚΥΡΩΣΕΩΝ ΕΡΓΟΥ (174×2-strands + 207×3-strands)</t>
  </si>
  <si>
    <t>381 αγκυρώσεις συνολικά</t>
  </si>
  <si>
    <t>ΣΥΝ.13</t>
  </si>
  <si>
    <t>ΣΥΝΟΛΙΚΑ ΜΕΤΡΑ ΔΙΑΤΡΗΣΗΣ ΑΓΚΥΡΩΣΕΩΝ Ø120mm</t>
  </si>
  <si>
    <t>7,169.00 m διάτρηση αγκυρίων</t>
  </si>
  <si>
    <t>ΣΥΝ.14</t>
  </si>
  <si>
    <t>ΣΥΝΟΛΙΚΟΣ ΟΓΚΟΣ GROUT ΑΓΚΥΡΩΣΕΩΝ (με απώλεια 1.20)</t>
  </si>
  <si>
    <t>97.29 m³ grout αγκυρώσεων</t>
  </si>
  <si>
    <t>ΣΥΝ.15</t>
  </si>
  <si>
    <t>ΣΥΝΟΛΙΚΟ ΜΗΚΟΣ ΤΕΝΟΝΤΩΝ ΠΡΟΕΝΤΑΣΗΣ 0.6" (με +1.0m)</t>
  </si>
  <si>
    <t>19,039.50 m (20,943.45 kg)</t>
  </si>
  <si>
    <t>ΕΡΓΟ: BOLTON TOWER (BERLIN WALL &amp; ΑΓΚΥΡΩΣΕΙΣ) — ΟΙΚΟΝΟΜΙΚΗ ΠΡΟΣΦΟΡΑ ΑΝΑ ΤΥΠΟ ΤΟΙΧΟΥ (TYPE A, TYPE B, TYPE C)</t>
  </si>
  <si>
    <t>ΔΟΜΗ ΠΙΝΑΚΩΝ ΑΝΑ ΤΥΠΟ BERLIN WALL (BOX LAYOUT) | [ΚΙΤΡΙΝΟ #FFF2CC] = Τιμές Μονάδας Εταιρείας | [ΠΟΡΤΟΚΑΛΙ #FFE699] = Κουγκρί Πάκτωσης 120€</t>
  </si>
  <si>
    <t>ΠΕΡΙΓΡΑΦΗ ΕΡΓΑΣΙΩΝ</t>
  </si>
  <si>
    <t>ΤΙΜΗ (€)</t>
  </si>
  <si>
    <t>ΣΥΝΟΛΟ (€)</t>
  </si>
  <si>
    <t>ΤΕΛΙΚΟ ΠΟΣΟ (€)</t>
  </si>
  <si>
    <t>ΠΗΓΗ ΠΟΣΟΤΗΤΑΣ / ΤΕΧΝΙΚΟΣ ΚΑΝΟΝΑΣ &amp; ΣΗΜΕΙΩΣΕΙΣ</t>
  </si>
  <si>
    <t>ΤΕΛ. ΣΥΝΟΛΑ</t>
  </si>
  <si>
    <t>Σύνολο Τοίχου Α (Πυλώνες 2, 3 &amp; 4 — HEB 220, 24 πάσσαλοι, 96 αγκυρώσεις)</t>
  </si>
  <si>
    <t>Σύνολο Τοίχου Β (Πυλώνες 2, 3 &amp; 4 — HEB 200, 63 πάσσαλοι, 252 αγκυρώσεις)</t>
  </si>
  <si>
    <t>Σύνολο Τοίχου Γ (Πυλώνες 2, 3 &amp; 4 — HEB 200, 11 πάσσαλοι, 33 αγκυρώσεις)</t>
  </si>
  <si>
    <t>ΠΥΛ. 1</t>
  </si>
  <si>
    <t>Σύνολο Πυλώνα 1 (Μετακινήσεις Μεγάλου Τρυπανιού, Αγκυρώσεων &amp; Shotcrete)</t>
  </si>
  <si>
    <t>Βάση Λεμεσός (0-40 km από έδρα Αγίου Συλά: 1,500.00 € βασική τιμή)</t>
  </si>
  <si>
    <t>ΣΥΓΚΕΝΤΡΩΤΙΚΟΣ ΠΙΝΑΚΑΣ ΕΡΓΟΥ (ΑΝΑ ΤΥΠΟ BERLIN WALL &amp; ΑΝΑ ΠΥΛΩΝΑ) — ΤΕΛΙΚΑ ΣΥΝΟΛΑ &amp; KPIs</t>
  </si>
  <si>
    <t>ΣΥΝΟΛΟ BERLIN WALL TYPE A (24No HEB 220, L=19.0m, H=17.0m, 36.00 τρ.μ.)</t>
  </si>
  <si>
    <t>Περιλαμβάνει H-Beams, Σχάρα/Shotcrete &amp; 96 Αγκυρώσεις Τοίχου Α</t>
  </si>
  <si>
    <t>ΣΥΝΟΛΟ BERLIN WALL TYPE B (63No HEB 200, L=17.0m, H=15.6m, 94.50 τρ.μ.)</t>
  </si>
  <si>
    <t>Περιλαμβάνει H-Beams, Σχάρα/Shotcrete &amp; 252 Αγκυρώσεις Τοίχου Β</t>
  </si>
  <si>
    <t>ΣΥΝΟΛΟ BERLIN WALL TYPE C (11No HEB 200, L=13.0m, H=11.1m, 16.50 τρ.μ.)</t>
  </si>
  <si>
    <t>Περιλαμβάνει H-Beams, Σχάρα/Shotcrete &amp; 33 Αγκυρώσεις Τοίχου Γ</t>
  </si>
  <si>
    <t>ΣΥΝΟΛΟ ΜΕΤΑΚΙΝΗΣΕΩΝ ΕΡΓΟΥ (Μεγάλο Τρυπάνι + Αγκυρώσεις + Shotcrete)</t>
  </si>
  <si>
    <t>Πάγιες μετακινήσεις εργοταξίου Λεμεσού (1 + 4 + 5 = 10 στράτες)</t>
  </si>
  <si>
    <t>ΠΥΛ. 2</t>
  </si>
  <si>
    <t>Cross-Check Πυλώνα 2: Σύνολο Σχαρών (#Y8/150) &amp; Shotcrete C30/37 (Type A+B+C)</t>
  </si>
  <si>
    <t>Άθροισμα A.6–A.9 + B.6–B.9 + C.6–C.9</t>
  </si>
  <si>
    <t>ΠΥΛ. 3</t>
  </si>
  <si>
    <t>Cross-Check Πυλώνα 3: Σύνολο H-Beams / Νεφκών HEB 220 &amp; HEB 200 (Type A+B+C)</t>
  </si>
  <si>
    <t>πάσσαλοι</t>
  </si>
  <si>
    <t>Άθροισμα A.1–A.5 + B.1–B.5 + C.1–C.5</t>
  </si>
  <si>
    <t>ΠΥΛ. 4</t>
  </si>
  <si>
    <t>Cross-Check Πυλώνα 4: Σύνολο Αγκυρώσεων Tieback (Type A+B+C — 381 τεμ.)</t>
  </si>
  <si>
    <t>αγκυρώσεις</t>
  </si>
  <si>
    <t>Άθροισμα A.10–A.15 + B.10–B.15 + C.10–C.14</t>
  </si>
  <si>
    <t>ΣΥΝΟΛΟ</t>
  </si>
  <si>
    <t>ΚΑΘΑΡΟ ΣΥΝΟΛΟ ΠΡΟΣΦΟΡΑΣ BERLIN WALL (TYPE A + TYPE B + TYPE C + ΜΕΤΑΚΙΝΗΣΕΙΣ — ΠΡΟ Φ.Π.Α.)</t>
  </si>
  <si>
    <t>Φ.Π.Α.</t>
  </si>
  <si>
    <t>Φ.Π.Α. ΚΥΠΡΟΥ (19%)</t>
  </si>
  <si>
    <t>Νόμιμος Φ.Π.Α. 19% επί του Καθαρού Συνόλου</t>
  </si>
  <si>
    <t>ΤΕΛΙΚΟ</t>
  </si>
  <si>
    <t>ΤΕΛΙΚΟ ΠΛΗΡΩΤΕΟ ΠΟΣΟ ΕΡΓΟΥ (ΜΕ Φ.Π.Α. 19%)</t>
  </si>
  <si>
    <t>Τελικό πληρωτέο ποσό προσφοράς (συμπεριλαμβανομένου Φ.Π.Α.)</t>
  </si>
  <si>
    <t>ΒΑΣΙΚΟΙ ΔΕΙΚΤΕΣ ΚΟΣΤΟΥΣ &amp; VALUE ENGINEERING (KPIs)</t>
  </si>
  <si>
    <t>KPI 1</t>
  </si>
  <si>
    <t>Συνολικό Κόστος ανά m² Μετώπου Εκσκαφής</t>
  </si>
  <si>
    <t>€ / m²</t>
  </si>
  <si>
    <t>KPI 2</t>
  </si>
  <si>
    <t>Συνολικό Κόστος ανά Τρέχον Μέτρο Περιμέτρου</t>
  </si>
  <si>
    <t>€ / τρ.μ.</t>
  </si>
  <si>
    <t>KPI 3</t>
  </si>
  <si>
    <t>Συνολικό Κόστος ανά Πάσσαλο / Οπή Berlin Wall</t>
  </si>
  <si>
    <t>€ / πάσσαλο</t>
  </si>
  <si>
    <t>KPI 4</t>
  </si>
  <si>
    <t>Μέσο Κόστος ανά Πλήρη Αγκύρωση (Πυλώνας 4 / 381 τεμ.)</t>
  </si>
  <si>
    <t>€ / αγκύρωση</t>
  </si>
  <si>
    <t>ΒΙΒΛΙΟΘΗΚΗ ΔΙΑΤΟΜΩΝ ΧΑΛΥΒΑ (EUROPEAN STRUCTURAL STEEL PROFILES)</t>
  </si>
  <si>
    <t>Τεχνικά χαρακτηριστικά &amp; βάρη ανά μέτρο για διατομές HEA, HEB, UPN &amp; Γωνιών (L)</t>
  </si>
  <si>
    <t>1. ΔΙΑΤΟΜΕΣ HEA (Ευρωπαϊκά Πλατύπελμα Ελαφρού Τύπου)</t>
  </si>
  <si>
    <t>Ονομασία Διατομής</t>
  </si>
  <si>
    <t>Ύψος h (mm)</t>
  </si>
  <si>
    <t>Πλάτος b (mm)</t>
  </si>
  <si>
    <t>Πάχος tw (mm)</t>
  </si>
  <si>
    <t>Πάχος tf (mm)</t>
  </si>
  <si>
    <t>Διατομή A (cm²)</t>
  </si>
  <si>
    <t>Βάρος (kg / m)</t>
  </si>
  <si>
    <t>HEA 140</t>
  </si>
  <si>
    <t>HEA 160</t>
  </si>
  <si>
    <t>HEA 180</t>
  </si>
  <si>
    <t>HEA 200</t>
  </si>
  <si>
    <t>HEA 220</t>
  </si>
  <si>
    <t>HEA 240</t>
  </si>
  <si>
    <t>HEA 260</t>
  </si>
  <si>
    <t>HEA 280</t>
  </si>
  <si>
    <t>HEA 300</t>
  </si>
  <si>
    <t>2. ΔΙΑΤΟΜΕΣ HEB (Ευρωπαϊκά Πλατύπελμα Κανονικού Τύπου)</t>
  </si>
  <si>
    <t>HEB 140</t>
  </si>
  <si>
    <t>HEB 160</t>
  </si>
  <si>
    <t>HEB 180</t>
  </si>
  <si>
    <t>HEB 200</t>
  </si>
  <si>
    <t>HEB 220</t>
  </si>
  <si>
    <t>HEB 240</t>
  </si>
  <si>
    <t>HEB 260</t>
  </si>
  <si>
    <t>HEB 280</t>
  </si>
  <si>
    <t>HEB 300</t>
  </si>
  <si>
    <t>3. ΔΙΑΤΟΜΕΣ UPN (Ευρωπαϊκά Κοίλα Προφίλ U)</t>
  </si>
  <si>
    <t>UPN 140</t>
  </si>
  <si>
    <t>UPN 160</t>
  </si>
  <si>
    <t>UPN 180</t>
  </si>
  <si>
    <t>UPN 200</t>
  </si>
  <si>
    <t>UPN 220</t>
  </si>
  <si>
    <t>UPN 240</t>
  </si>
  <si>
    <t>UPN 260</t>
  </si>
  <si>
    <t>UPN 280</t>
  </si>
  <si>
    <t>UPN 300</t>
  </si>
  <si>
    <t>4. ΙΣΟΣΚΕΛΕΙΣ ΓΩΝΙΕΣ (Equal Angles L)</t>
  </si>
  <si>
    <t>L 50x50x5</t>
  </si>
  <si>
    <t>L 60x60x6</t>
  </si>
  <si>
    <t>L 70x70x6</t>
  </si>
  <si>
    <t>L 70x70x7</t>
  </si>
  <si>
    <t>L 80x80x8</t>
  </si>
  <si>
    <t>L 90x90x9</t>
  </si>
  <si>
    <t>L 100x100x10</t>
  </si>
  <si>
    <t>1500 λεει εινι και στα 3 ηδη λαθος εδώ</t>
  </si>
  <si>
    <t>η πακτωση δεν είναι υποχρεωτικα ολο οσο δεν είναι ελευθερο. Η πακτωση είναι 1.5 π.χ το χωμα παει 2 μετρα και ελευθερο 15 μετρα….</t>
  </si>
  <si>
    <t xml:space="preserve">C16 πρεπει μεσα να εχει τον τυπο όχι το αποτελεσμα και αν αλλαζω οτιδιποτε εγω μεσα στον τυπο να αλλαζει και στην επεξηγηση και στον τιτλο π.χ αλλαξα ξερωγω το μεγεθος τις λαμας εδώ θα αλλαξει και στις σημειωσεις και στο αποτελεσμα και στον τιτλο </t>
  </si>
  <si>
    <t>αλλαξα σε 27 εχω στα rules/agent το πως πρεπει να μετρας τις αγκυρωσεις αν δεν σου δινετε ο αριθμο, γιατι δεν το εκανες ετσι? Η το εκανες και βγηκε λαθος διοτι επρεπε ναταν 27</t>
  </si>
  <si>
    <t>δεν αλλαζει στον τιτλο μονο στις σημειωσεις όμως (δλδ το εκανα 27 αποπανω και στον τιτλο λεει 24*1.5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</si>
</sst>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00000"/>
    <numFmt numFmtId="168" formatCode="0.0%"/>
    <numFmt numFmtId="169" formatCode="#,##0.00\ \€"/>
  </numFmts>
  <fonts count="18" x14ac:knownFonts="1">
    <font>
      <sz val="11"/>
      <color theme="1"/>
      <name val="Calibri"/>
      <family val="2"/>
      <scheme val="minor"/>
    </font>
    <font>
      <b/>
      <sz val="13"/>
      <color rgb="FF1F497D"/>
      <name val="Segoe UI"/>
    </font>
    <font>
      <i/>
      <sz val="9.5"/>
      <color rgb="FF595959"/>
      <name val="Segoe UI"/>
    </font>
    <font>
      <b/>
      <sz val="11"/>
      <color rgb="FFFFFFFF"/>
      <name val="Segoe UI"/>
    </font>
    <font>
      <b/>
      <sz val="10"/>
      <color rgb="FF000000"/>
      <name val="Segoe UI"/>
    </font>
    <font>
      <b/>
      <sz val="10.5"/>
      <color rgb="FF000000"/>
      <name val="Segoe UI"/>
    </font>
    <font>
      <sz val="10"/>
      <color rgb="FF000000"/>
      <name val="Segoe UI"/>
    </font>
    <font>
      <i/>
      <sz val="9.5"/>
      <color rgb="FF333333"/>
      <name val="Segoe UI"/>
    </font>
    <font>
      <b/>
      <sz val="10"/>
      <color rgb="FF1F497D"/>
      <name val="Segoe UI"/>
    </font>
    <font>
      <b/>
      <sz val="11"/>
      <color rgb="FF274E13"/>
      <name val="Segoe UI"/>
    </font>
    <font>
      <b/>
      <sz val="11.5"/>
      <color rgb="FF000000"/>
      <name val="Segoe UI"/>
    </font>
    <font>
      <b/>
      <sz val="12"/>
      <color rgb="FF000000"/>
      <name val="Segoe UI"/>
    </font>
    <font>
      <b/>
      <sz val="14"/>
      <color rgb="FFFFFFFF"/>
      <name val="Calibri"/>
    </font>
    <font>
      <i/>
      <sz val="10"/>
      <color rgb="FF595959"/>
      <name val="Calibri"/>
    </font>
    <font>
      <b/>
      <sz val="12"/>
      <color rgb="FFFFFFFF"/>
      <name val="Calibri"/>
    </font>
    <font>
      <b/>
      <sz val="10"/>
      <color rgb="FFFFFFFF"/>
      <name val="Calibri"/>
    </font>
    <font>
      <b/>
      <sz val="11"/>
      <color rgb="FF000000"/>
      <name val="Calibri"/>
    </font>
    <font>
      <sz val="11"/>
      <color rgb="FF000000"/>
      <name val="Calibri"/>
    </font>
  </fonts>
  <fills count="17">
    <fill>
      <patternFill patternType="none"/>
    </fill>
    <fill>
      <patternFill patternType="gray125"/>
    </fill>
    <fill>
      <patternFill patternType="solid">
        <fgColor rgb="FF1F497D"/>
        <bgColor rgb="FF1F497D"/>
      </patternFill>
    </fill>
    <fill>
      <patternFill patternType="solid">
        <fgColor rgb="FFD9D9D9"/>
        <bgColor rgb="FFD9D9D9"/>
      </patternFill>
    </fill>
    <fill>
      <patternFill patternType="solid">
        <fgColor rgb="FFDCE6F1"/>
        <bgColor rgb="FFDCE6F1"/>
      </patternFill>
    </fill>
    <fill>
      <patternFill patternType="solid">
        <fgColor rgb="FFE2EFDA"/>
        <bgColor rgb="FFE2EFDA"/>
      </patternFill>
    </fill>
    <fill>
      <patternFill patternType="solid">
        <fgColor rgb="FFF2F2F2"/>
        <bgColor rgb="FFF2F2F2"/>
      </patternFill>
    </fill>
    <fill>
      <patternFill patternType="solid">
        <fgColor rgb="FFEDF2F8"/>
        <bgColor rgb="FFEDF2F8"/>
      </patternFill>
    </fill>
    <fill>
      <patternFill patternType="solid">
        <fgColor rgb="FFC6EFCE"/>
        <bgColor rgb="FFC6EFCE"/>
      </patternFill>
    </fill>
    <fill>
      <patternFill patternType="solid">
        <fgColor rgb="FFFFF2CC"/>
        <bgColor rgb="FFFFF2CC"/>
      </patternFill>
    </fill>
    <fill>
      <patternFill patternType="solid">
        <fgColor rgb="FFFFE699"/>
        <bgColor rgb="FFFFE699"/>
      </patternFill>
    </fill>
    <fill>
      <patternFill patternType="solid">
        <fgColor rgb="FFA9D08E"/>
        <bgColor rgb="FFA9D08E"/>
      </patternFill>
    </fill>
    <fill>
      <patternFill patternType="solid">
        <fgColor rgb="FF1F4E78"/>
      </patternFill>
    </fill>
    <fill>
      <patternFill patternType="solid">
        <fgColor rgb="FF2F5597"/>
      </patternFill>
    </fill>
    <fill>
      <patternFill patternType="solid">
        <fgColor rgb="FF305496"/>
      </patternFill>
    </fill>
    <fill>
      <patternFill patternType="solid">
        <fgColor rgb="FFD9E1F2"/>
      </patternFill>
    </fill>
    <fill>
      <patternFill patternType="solid">
        <fgColor rgb="FFFFF2CC"/>
      </patternFill>
    </fill>
  </fills>
  <borders count="21">
    <border>
      <left/>
      <right/>
      <top/>
      <bottom/>
      <diagonal/>
    </border>
    <border>
      <left style="thin">
        <color rgb="FF808080"/>
      </left>
      <right style="thin">
        <color rgb="FF808080"/>
      </right>
      <top style="thin">
        <color rgb="FF80808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thin">
        <color rgb="FF808080"/>
      </left>
      <right style="medium">
        <color rgb="FF000000"/>
      </right>
      <top style="thin">
        <color rgb="FF80808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thin">
        <color rgb="FF808080"/>
      </top>
      <bottom style="medium">
        <color rgb="FF000000"/>
      </bottom>
      <diagonal/>
    </border>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2">
    <xf numFmtId="0" fontId="0" fillId="0" borderId="0" xfId="0"/>
    <xf numFmtId="0" fontId="1" fillId="0" borderId="0" xfId="0" applyFont="1"/>
    <xf numFmtId="0" fontId="2" fillId="0" borderId="0" xfId="0" applyFont="1"/>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5" fillId="4" borderId="3" xfId="0" applyFont="1" applyFill="1" applyBorder="1"/>
    <xf numFmtId="0" fontId="4" fillId="0" borderId="5" xfId="0" applyFont="1" applyBorder="1" applyAlignment="1">
      <alignment horizontal="center" vertical="center" wrapText="1"/>
    </xf>
    <xf numFmtId="0" fontId="6" fillId="0" borderId="1" xfId="0" applyFont="1" applyBorder="1"/>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7" fillId="0" borderId="6" xfId="0" applyFont="1" applyBorder="1"/>
    <xf numFmtId="1" fontId="4" fillId="5" borderId="1" xfId="0" applyNumberFormat="1" applyFont="1" applyFill="1" applyBorder="1" applyAlignment="1">
      <alignment horizontal="right" vertical="center"/>
    </xf>
    <xf numFmtId="2" fontId="4"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0" fontId="4" fillId="0" borderId="7" xfId="0" applyFont="1" applyBorder="1" applyAlignment="1">
      <alignment horizontal="center" vertical="center" wrapText="1"/>
    </xf>
    <xf numFmtId="0" fontId="6" fillId="0" borderId="8" xfId="0" applyFont="1" applyBorder="1"/>
    <xf numFmtId="2" fontId="4" fillId="5" borderId="8" xfId="0" applyNumberFormat="1" applyFont="1" applyFill="1" applyBorder="1" applyAlignment="1">
      <alignment horizontal="right" vertical="center"/>
    </xf>
    <xf numFmtId="0" fontId="6" fillId="0" borderId="8" xfId="0" applyFont="1" applyBorder="1" applyAlignment="1">
      <alignment horizontal="center" vertical="center" wrapText="1"/>
    </xf>
    <xf numFmtId="0" fontId="7" fillId="0" borderId="8" xfId="0" applyFont="1" applyBorder="1"/>
    <xf numFmtId="0" fontId="7" fillId="0" borderId="9" xfId="0" applyFont="1" applyBorder="1"/>
    <xf numFmtId="2" fontId="4" fillId="6" borderId="1" xfId="0" applyNumberFormat="1" applyFont="1" applyFill="1" applyBorder="1" applyAlignment="1">
      <alignment horizontal="right" vertical="center"/>
    </xf>
    <xf numFmtId="1" fontId="4" fillId="5" borderId="8" xfId="0" applyNumberFormat="1" applyFont="1" applyFill="1" applyBorder="1" applyAlignment="1">
      <alignment horizontal="right" vertical="center"/>
    </xf>
    <xf numFmtId="0" fontId="5" fillId="7" borderId="2" xfId="0" applyFont="1" applyFill="1" applyBorder="1" applyAlignment="1">
      <alignment horizontal="center" vertical="center" wrapText="1"/>
    </xf>
    <xf numFmtId="166" fontId="4" fillId="6" borderId="1" xfId="0" applyNumberFormat="1" applyFont="1" applyFill="1" applyBorder="1" applyAlignment="1">
      <alignment horizontal="right" vertical="center"/>
    </xf>
    <xf numFmtId="165" fontId="4" fillId="6" borderId="1" xfId="0" applyNumberFormat="1" applyFont="1" applyFill="1" applyBorder="1" applyAlignment="1">
      <alignment horizontal="right" vertical="center"/>
    </xf>
    <xf numFmtId="167" fontId="4" fillId="6" borderId="1" xfId="0" applyNumberFormat="1" applyFont="1" applyFill="1" applyBorder="1" applyAlignment="1">
      <alignment horizontal="right" vertical="center"/>
    </xf>
    <xf numFmtId="168" fontId="4" fillId="6" borderId="8" xfId="0" applyNumberFormat="1" applyFont="1" applyFill="1" applyBorder="1" applyAlignment="1">
      <alignment horizontal="right" vertical="center"/>
    </xf>
    <xf numFmtId="4" fontId="5" fillId="4" borderId="3" xfId="0" applyNumberFormat="1" applyFont="1" applyFill="1" applyBorder="1" applyAlignment="1">
      <alignment horizontal="right" vertical="center"/>
    </xf>
    <xf numFmtId="0" fontId="5" fillId="4" borderId="3" xfId="0" applyFont="1" applyFill="1" applyBorder="1" applyAlignment="1">
      <alignment horizontal="center" vertical="center" wrapText="1"/>
    </xf>
    <xf numFmtId="0" fontId="7" fillId="4" borderId="3" xfId="0" applyFont="1" applyFill="1" applyBorder="1"/>
    <xf numFmtId="0" fontId="7" fillId="4" borderId="4" xfId="0" applyFont="1" applyFill="1" applyBorder="1"/>
    <xf numFmtId="4" fontId="4" fillId="6" borderId="1" xfId="0" applyNumberFormat="1" applyFont="1" applyFill="1" applyBorder="1" applyAlignment="1">
      <alignment horizontal="right" vertical="center"/>
    </xf>
    <xf numFmtId="3" fontId="4" fillId="6" borderId="1" xfId="0" applyNumberFormat="1" applyFont="1" applyFill="1" applyBorder="1" applyAlignment="1">
      <alignment horizontal="right" vertical="center"/>
    </xf>
    <xf numFmtId="3" fontId="4" fillId="6" borderId="8" xfId="0" applyNumberFormat="1" applyFont="1" applyFill="1" applyBorder="1" applyAlignment="1">
      <alignment horizontal="right" vertical="center"/>
    </xf>
    <xf numFmtId="0" fontId="5" fillId="8" borderId="2" xfId="0" applyFont="1" applyFill="1" applyBorder="1" applyAlignment="1">
      <alignment horizontal="center" vertical="center" wrapText="1"/>
    </xf>
    <xf numFmtId="1" fontId="4" fillId="6" borderId="1" xfId="0" applyNumberFormat="1" applyFont="1" applyFill="1" applyBorder="1" applyAlignment="1">
      <alignment horizontal="right" vertical="center"/>
    </xf>
    <xf numFmtId="0" fontId="4" fillId="0" borderId="1" xfId="0" applyFont="1" applyBorder="1"/>
    <xf numFmtId="3" fontId="9" fillId="8" borderId="1" xfId="0" applyNumberFormat="1" applyFont="1" applyFill="1" applyBorder="1" applyAlignment="1">
      <alignment horizontal="right" vertical="center"/>
    </xf>
    <xf numFmtId="4" fontId="9" fillId="8" borderId="1" xfId="0" applyNumberFormat="1" applyFont="1" applyFill="1" applyBorder="1" applyAlignment="1">
      <alignment horizontal="right" vertical="center"/>
    </xf>
    <xf numFmtId="0" fontId="4" fillId="0" borderId="8" xfId="0" applyFont="1" applyBorder="1"/>
    <xf numFmtId="4" fontId="9" fillId="8" borderId="8" xfId="0" applyNumberFormat="1" applyFont="1" applyFill="1" applyBorder="1" applyAlignment="1">
      <alignment horizontal="right" vertical="center"/>
    </xf>
    <xf numFmtId="0" fontId="4" fillId="3" borderId="10"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5" fillId="4" borderId="10" xfId="0" applyFont="1" applyFill="1" applyBorder="1" applyAlignment="1">
      <alignment horizontal="center" vertical="center" wrapText="1"/>
    </xf>
    <xf numFmtId="0" fontId="5" fillId="4" borderId="10" xfId="0" applyFont="1" applyFill="1" applyBorder="1" applyAlignment="1">
      <alignment horizontal="left" vertical="center" wrapText="1"/>
    </xf>
    <xf numFmtId="4" fontId="5" fillId="4" borderId="10" xfId="0" applyNumberFormat="1" applyFont="1" applyFill="1" applyBorder="1" applyAlignment="1">
      <alignment horizontal="right" vertical="center"/>
    </xf>
    <xf numFmtId="0" fontId="7" fillId="4" borderId="10" xfId="0" applyFont="1" applyFill="1" applyBorder="1" applyAlignment="1">
      <alignment horizontal="left" vertical="center" wrapText="1"/>
    </xf>
    <xf numFmtId="0" fontId="6" fillId="0" borderId="5" xfId="0" applyFont="1" applyBorder="1" applyAlignment="1">
      <alignment horizontal="center" vertical="center" wrapText="1"/>
    </xf>
    <xf numFmtId="0" fontId="6" fillId="0" borderId="1" xfId="0" applyFont="1" applyBorder="1" applyAlignment="1">
      <alignment horizontal="left" vertical="center" wrapText="1"/>
    </xf>
    <xf numFmtId="4" fontId="4" fillId="0" borderId="1" xfId="0" applyNumberFormat="1" applyFont="1" applyBorder="1" applyAlignment="1">
      <alignment horizontal="right" vertical="center"/>
    </xf>
    <xf numFmtId="4" fontId="5" fillId="9" borderId="1" xfId="0" applyNumberFormat="1" applyFont="1" applyFill="1" applyBorder="1" applyAlignment="1">
      <alignment horizontal="right" vertical="center"/>
    </xf>
    <xf numFmtId="0" fontId="7" fillId="0" borderId="6" xfId="0" applyFont="1" applyBorder="1" applyAlignment="1">
      <alignment horizontal="left" vertical="center" wrapText="1"/>
    </xf>
    <xf numFmtId="4" fontId="5" fillId="10" borderId="1" xfId="0" applyNumberFormat="1" applyFont="1" applyFill="1" applyBorder="1" applyAlignment="1">
      <alignment horizontal="right" vertical="center"/>
    </xf>
    <xf numFmtId="3" fontId="4" fillId="0" borderId="1" xfId="0" applyNumberFormat="1" applyFont="1" applyBorder="1" applyAlignment="1">
      <alignment horizontal="right" vertical="center"/>
    </xf>
    <xf numFmtId="0" fontId="6" fillId="0" borderId="7" xfId="0" applyFont="1" applyBorder="1" applyAlignment="1">
      <alignment horizontal="center" vertical="center" wrapText="1"/>
    </xf>
    <xf numFmtId="0" fontId="6" fillId="0" borderId="8" xfId="0" applyFont="1" applyBorder="1" applyAlignment="1">
      <alignment horizontal="left" vertical="center" wrapText="1"/>
    </xf>
    <xf numFmtId="3" fontId="4" fillId="0" borderId="8" xfId="0" applyNumberFormat="1" applyFont="1" applyBorder="1" applyAlignment="1">
      <alignment horizontal="right" vertical="center"/>
    </xf>
    <xf numFmtId="4" fontId="5" fillId="9" borderId="8" xfId="0" applyNumberFormat="1" applyFont="1" applyFill="1" applyBorder="1" applyAlignment="1">
      <alignment horizontal="right" vertical="center"/>
    </xf>
    <xf numFmtId="4" fontId="4" fillId="6" borderId="8" xfId="0" applyNumberFormat="1" applyFont="1" applyFill="1" applyBorder="1" applyAlignment="1">
      <alignment horizontal="right" vertical="center"/>
    </xf>
    <xf numFmtId="0" fontId="7" fillId="0" borderId="9" xfId="0" applyFont="1" applyBorder="1" applyAlignment="1">
      <alignment horizontal="left" vertical="center" wrapText="1"/>
    </xf>
    <xf numFmtId="4" fontId="6" fillId="0" borderId="1" xfId="0" applyNumberFormat="1" applyFont="1" applyBorder="1" applyAlignment="1">
      <alignment horizontal="right" vertical="center"/>
    </xf>
    <xf numFmtId="169" fontId="6" fillId="0" borderId="1" xfId="0" applyNumberFormat="1" applyFont="1" applyBorder="1" applyAlignment="1">
      <alignment horizontal="right" vertical="center"/>
    </xf>
    <xf numFmtId="169" fontId="4" fillId="0" borderId="1" xfId="0" applyNumberFormat="1" applyFont="1" applyBorder="1" applyAlignment="1">
      <alignment horizontal="right" vertical="center"/>
    </xf>
    <xf numFmtId="169" fontId="4" fillId="7" borderId="1" xfId="0" applyNumberFormat="1" applyFont="1" applyFill="1" applyBorder="1" applyAlignment="1">
      <alignment horizontal="right" vertical="center"/>
    </xf>
    <xf numFmtId="3" fontId="6" fillId="0" borderId="1" xfId="0" applyNumberFormat="1" applyFont="1" applyBorder="1" applyAlignment="1">
      <alignment horizontal="right" vertical="center"/>
    </xf>
    <xf numFmtId="169" fontId="6" fillId="0" borderId="1" xfId="0" applyNumberFormat="1" applyFont="1" applyBorder="1" applyAlignment="1">
      <alignment horizontal="center" vertical="center" wrapText="1"/>
    </xf>
    <xf numFmtId="169" fontId="4" fillId="6" borderId="1" xfId="0" applyNumberFormat="1" applyFont="1" applyFill="1" applyBorder="1" applyAlignment="1">
      <alignment horizontal="right" vertical="center"/>
    </xf>
    <xf numFmtId="0" fontId="11" fillId="8" borderId="5" xfId="0" applyFont="1" applyFill="1" applyBorder="1" applyAlignment="1">
      <alignment horizontal="center" vertical="center" wrapText="1"/>
    </xf>
    <xf numFmtId="0" fontId="11" fillId="8" borderId="1" xfId="0" applyFont="1" applyFill="1" applyBorder="1"/>
    <xf numFmtId="4" fontId="4" fillId="8" borderId="1" xfId="0" applyNumberFormat="1" applyFont="1" applyFill="1" applyBorder="1" applyAlignment="1">
      <alignment horizontal="right" vertical="center"/>
    </xf>
    <xf numFmtId="0" fontId="4" fillId="8" borderId="1" xfId="0" applyFont="1" applyFill="1" applyBorder="1" applyAlignment="1">
      <alignment horizontal="center" vertical="center" wrapText="1"/>
    </xf>
    <xf numFmtId="0" fontId="4" fillId="8" borderId="1" xfId="0" applyFont="1" applyFill="1" applyBorder="1" applyAlignment="1">
      <alignment horizontal="right" vertical="center"/>
    </xf>
    <xf numFmtId="169" fontId="11" fillId="8" borderId="1" xfId="0" applyNumberFormat="1" applyFont="1" applyFill="1" applyBorder="1" applyAlignment="1">
      <alignment horizontal="right" vertical="center"/>
    </xf>
    <xf numFmtId="0" fontId="7" fillId="8" borderId="6" xfId="0" applyFont="1" applyFill="1" applyBorder="1"/>
    <xf numFmtId="0" fontId="0" fillId="0" borderId="1" xfId="0" applyBorder="1"/>
    <xf numFmtId="0" fontId="11" fillId="11" borderId="17" xfId="0" applyFont="1" applyFill="1" applyBorder="1" applyAlignment="1">
      <alignment horizontal="center" vertical="center" wrapText="1"/>
    </xf>
    <xf numFmtId="0" fontId="11" fillId="11" borderId="17" xfId="0" applyFont="1" applyFill="1" applyBorder="1"/>
    <xf numFmtId="0" fontId="0" fillId="11" borderId="17" xfId="0" applyFill="1" applyBorder="1"/>
    <xf numFmtId="169" fontId="11" fillId="11" borderId="17" xfId="0" applyNumberFormat="1" applyFont="1" applyFill="1" applyBorder="1" applyAlignment="1">
      <alignment horizontal="right" vertical="center"/>
    </xf>
    <xf numFmtId="0" fontId="7" fillId="11" borderId="17" xfId="0" applyFont="1" applyFill="1" applyBorder="1"/>
    <xf numFmtId="4" fontId="6" fillId="0" borderId="8" xfId="0" applyNumberFormat="1" applyFont="1" applyBorder="1" applyAlignment="1">
      <alignment horizontal="right" vertical="center"/>
    </xf>
    <xf numFmtId="0" fontId="0" fillId="0" borderId="8" xfId="0" applyBorder="1"/>
    <xf numFmtId="169" fontId="4" fillId="6" borderId="8" xfId="0" applyNumberFormat="1" applyFont="1" applyFill="1" applyBorder="1" applyAlignment="1">
      <alignment horizontal="right" vertical="center"/>
    </xf>
    <xf numFmtId="0" fontId="13" fillId="0" borderId="18" xfId="0" applyFont="1" applyBorder="1"/>
    <xf numFmtId="0" fontId="15" fillId="14" borderId="19" xfId="0" applyFont="1" applyFill="1" applyBorder="1" applyAlignment="1">
      <alignment horizontal="center" vertical="center"/>
    </xf>
    <xf numFmtId="0" fontId="16" fillId="15" borderId="20" xfId="0" applyFont="1" applyFill="1" applyBorder="1" applyAlignment="1">
      <alignment horizontal="left"/>
    </xf>
    <xf numFmtId="3" fontId="17" fillId="0" borderId="20" xfId="0" applyNumberFormat="1" applyFont="1" applyBorder="1" applyAlignment="1">
      <alignment horizontal="right"/>
    </xf>
    <xf numFmtId="4" fontId="17" fillId="0" borderId="20" xfId="0" applyNumberFormat="1" applyFont="1" applyBorder="1" applyAlignment="1">
      <alignment horizontal="right"/>
    </xf>
    <xf numFmtId="4" fontId="16" fillId="16" borderId="20" xfId="0" applyNumberFormat="1" applyFont="1" applyFill="1" applyBorder="1" applyAlignment="1">
      <alignment horizontal="right"/>
    </xf>
    <xf numFmtId="0" fontId="3" fillId="2" borderId="0" xfId="0" applyFont="1" applyFill="1" applyAlignment="1">
      <alignment horizontal="left" vertical="center" wrapText="1"/>
    </xf>
    <xf numFmtId="0" fontId="0" fillId="0" borderId="0" xfId="0"/>
    <xf numFmtId="0" fontId="5" fillId="4" borderId="3" xfId="0" applyFont="1" applyFill="1" applyBorder="1"/>
    <xf numFmtId="0" fontId="0" fillId="4" borderId="3" xfId="0" applyFill="1" applyBorder="1"/>
    <xf numFmtId="0" fontId="0" fillId="4" borderId="4" xfId="0" applyFill="1" applyBorder="1"/>
    <xf numFmtId="0" fontId="8" fillId="7" borderId="3" xfId="0" applyFont="1" applyFill="1" applyBorder="1"/>
    <xf numFmtId="0" fontId="0" fillId="7" borderId="3" xfId="0" applyFill="1" applyBorder="1"/>
    <xf numFmtId="0" fontId="0" fillId="7" borderId="4" xfId="0" applyFill="1" applyBorder="1"/>
    <xf numFmtId="0" fontId="9" fillId="8" borderId="3" xfId="0" applyFont="1" applyFill="1" applyBorder="1"/>
    <xf numFmtId="0" fontId="0" fillId="8" borderId="3" xfId="0" applyFill="1" applyBorder="1"/>
    <xf numFmtId="0" fontId="0" fillId="8" borderId="4" xfId="0" applyFill="1" applyBorder="1"/>
    <xf numFmtId="169" fontId="10" fillId="8" borderId="11" xfId="0" applyNumberFormat="1" applyFont="1" applyFill="1" applyBorder="1" applyAlignment="1">
      <alignment horizontal="center" vertical="center" wrapText="1"/>
    </xf>
    <xf numFmtId="0" fontId="0" fillId="0" borderId="12" xfId="0" applyBorder="1"/>
    <xf numFmtId="0" fontId="0" fillId="0" borderId="13" xfId="0" applyBorder="1"/>
    <xf numFmtId="0" fontId="8" fillId="4" borderId="14" xfId="0" applyFont="1" applyFill="1" applyBorder="1"/>
    <xf numFmtId="0" fontId="0" fillId="0" borderId="15" xfId="0" applyBorder="1"/>
    <xf numFmtId="0" fontId="0" fillId="0" borderId="16" xfId="0" applyBorder="1"/>
    <xf numFmtId="0" fontId="3" fillId="2" borderId="14" xfId="0" applyFont="1" applyFill="1" applyBorder="1" applyAlignment="1">
      <alignment horizontal="left" vertical="center" wrapText="1"/>
    </xf>
    <xf numFmtId="0" fontId="12" fillId="12" borderId="18" xfId="0" applyFont="1" applyFill="1" applyBorder="1" applyAlignment="1">
      <alignment horizontal="left" vertical="center"/>
    </xf>
    <xf numFmtId="0" fontId="14" fillId="13" borderId="18"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7"/>
  <sheetViews>
    <sheetView topLeftCell="A70" workbookViewId="0">
      <selection activeCell="G31" sqref="G31"/>
    </sheetView>
  </sheetViews>
  <sheetFormatPr defaultRowHeight="14.5" x14ac:dyDescent="0.35"/>
  <cols>
    <col min="1" max="1" width="12" customWidth="1"/>
    <col min="2" max="2" width="56.36328125" customWidth="1"/>
    <col min="3" max="3" width="18" customWidth="1"/>
    <col min="4" max="4" width="14" customWidth="1"/>
    <col min="5" max="5" width="38" customWidth="1"/>
    <col min="6" max="6" width="56" customWidth="1"/>
  </cols>
  <sheetData>
    <row r="1" spans="1:7" ht="20" x14ac:dyDescent="0.55000000000000004">
      <c r="A1" s="1" t="s">
        <v>0</v>
      </c>
    </row>
    <row r="2" spans="1:7" x14ac:dyDescent="0.35">
      <c r="A2" s="2" t="s">
        <v>1</v>
      </c>
    </row>
    <row r="4" spans="1:7" x14ac:dyDescent="0.35">
      <c r="A4" s="92" t="s">
        <v>2</v>
      </c>
      <c r="B4" s="93"/>
      <c r="C4" s="93"/>
      <c r="D4" s="93"/>
      <c r="E4" s="93"/>
      <c r="F4" s="93"/>
    </row>
    <row r="5" spans="1:7" ht="16" x14ac:dyDescent="0.35">
      <c r="A5" s="3" t="s">
        <v>3</v>
      </c>
      <c r="B5" s="4" t="s">
        <v>4</v>
      </c>
      <c r="C5" s="3" t="s">
        <v>5</v>
      </c>
      <c r="D5" s="3" t="s">
        <v>6</v>
      </c>
      <c r="E5" s="4" t="s">
        <v>7</v>
      </c>
      <c r="F5" s="4" t="s">
        <v>8</v>
      </c>
    </row>
    <row r="6" spans="1:7" ht="17" x14ac:dyDescent="0.5">
      <c r="A6" s="5" t="s">
        <v>9</v>
      </c>
      <c r="B6" s="94" t="s">
        <v>10</v>
      </c>
      <c r="C6" s="95"/>
      <c r="D6" s="95"/>
      <c r="E6" s="95"/>
      <c r="F6" s="96"/>
    </row>
    <row r="7" spans="1:7" ht="48" x14ac:dyDescent="0.45">
      <c r="A7" s="7" t="s">
        <v>11</v>
      </c>
      <c r="B7" s="8" t="s">
        <v>12</v>
      </c>
      <c r="C7" s="9" t="s">
        <v>13</v>
      </c>
      <c r="D7" s="10" t="s">
        <v>14</v>
      </c>
      <c r="E7" s="11" t="s">
        <v>15</v>
      </c>
      <c r="F7" s="12" t="s">
        <v>16</v>
      </c>
    </row>
    <row r="8" spans="1:7" ht="16" x14ac:dyDescent="0.45">
      <c r="A8" s="7" t="s">
        <v>17</v>
      </c>
      <c r="B8" s="8" t="s">
        <v>18</v>
      </c>
      <c r="C8" s="13">
        <v>12</v>
      </c>
      <c r="D8" s="10" t="s">
        <v>19</v>
      </c>
      <c r="E8" s="11" t="s">
        <v>20</v>
      </c>
      <c r="F8" s="12" t="s">
        <v>21</v>
      </c>
    </row>
    <row r="9" spans="1:7" ht="16" x14ac:dyDescent="0.45">
      <c r="A9" s="7" t="s">
        <v>22</v>
      </c>
      <c r="B9" s="8" t="s">
        <v>23</v>
      </c>
      <c r="C9" s="13">
        <v>4</v>
      </c>
      <c r="D9" s="10" t="s">
        <v>24</v>
      </c>
      <c r="E9" s="11" t="s">
        <v>25</v>
      </c>
      <c r="F9" s="12" t="s">
        <v>26</v>
      </c>
    </row>
    <row r="10" spans="1:7" ht="16" x14ac:dyDescent="0.45">
      <c r="A10" s="7" t="s">
        <v>27</v>
      </c>
      <c r="B10" s="8" t="s">
        <v>28</v>
      </c>
      <c r="C10" s="14">
        <v>1.5</v>
      </c>
      <c r="D10" s="10" t="s">
        <v>29</v>
      </c>
      <c r="E10" s="11" t="s">
        <v>20</v>
      </c>
      <c r="F10" s="12" t="s">
        <v>30</v>
      </c>
    </row>
    <row r="11" spans="1:7" ht="16" x14ac:dyDescent="0.45">
      <c r="A11" s="7" t="s">
        <v>31</v>
      </c>
      <c r="B11" s="8" t="s">
        <v>32</v>
      </c>
      <c r="C11" s="14">
        <v>0.8</v>
      </c>
      <c r="D11" s="10" t="s">
        <v>29</v>
      </c>
      <c r="E11" s="11" t="s">
        <v>33</v>
      </c>
      <c r="F11" s="12" t="s">
        <v>34</v>
      </c>
    </row>
    <row r="12" spans="1:7" ht="16" x14ac:dyDescent="0.45">
      <c r="A12" s="7" t="s">
        <v>35</v>
      </c>
      <c r="B12" s="8" t="s">
        <v>36</v>
      </c>
      <c r="C12" s="13">
        <v>2</v>
      </c>
      <c r="D12" s="10" t="s">
        <v>37</v>
      </c>
      <c r="E12" s="11" t="s">
        <v>38</v>
      </c>
      <c r="F12" s="12" t="s">
        <v>39</v>
      </c>
    </row>
    <row r="13" spans="1:7" ht="16" x14ac:dyDescent="0.45">
      <c r="A13" s="7" t="s">
        <v>40</v>
      </c>
      <c r="B13" s="8" t="s">
        <v>41</v>
      </c>
      <c r="C13" s="15">
        <v>71.5</v>
      </c>
      <c r="D13" s="10" t="s">
        <v>42</v>
      </c>
      <c r="E13" s="11" t="s">
        <v>43</v>
      </c>
      <c r="F13" s="12" t="s">
        <v>44</v>
      </c>
    </row>
    <row r="14" spans="1:7" ht="16" x14ac:dyDescent="0.45">
      <c r="A14" s="7" t="s">
        <v>45</v>
      </c>
      <c r="B14" s="8" t="s">
        <v>46</v>
      </c>
      <c r="C14" s="15">
        <v>61.3</v>
      </c>
      <c r="D14" s="10" t="s">
        <v>42</v>
      </c>
      <c r="E14" s="11" t="s">
        <v>43</v>
      </c>
      <c r="F14" s="12" t="s">
        <v>47</v>
      </c>
    </row>
    <row r="15" spans="1:7" ht="16" x14ac:dyDescent="0.45">
      <c r="A15" s="7" t="s">
        <v>48</v>
      </c>
      <c r="B15" s="8" t="s">
        <v>49</v>
      </c>
      <c r="C15" s="14">
        <v>1</v>
      </c>
      <c r="D15" s="10" t="s">
        <v>29</v>
      </c>
      <c r="E15" s="11" t="s">
        <v>38</v>
      </c>
      <c r="F15" s="12" t="s">
        <v>50</v>
      </c>
    </row>
    <row r="16" spans="1:7" ht="16" x14ac:dyDescent="0.45">
      <c r="A16" s="7" t="s">
        <v>51</v>
      </c>
      <c r="B16" s="8" t="s">
        <v>52</v>
      </c>
      <c r="C16" s="16">
        <v>3.14</v>
      </c>
      <c r="D16" s="10" t="s">
        <v>53</v>
      </c>
      <c r="E16" s="11" t="s">
        <v>38</v>
      </c>
      <c r="F16" s="12" t="s">
        <v>54</v>
      </c>
      <c r="G16" t="s">
        <v>455</v>
      </c>
    </row>
    <row r="17" spans="1:7" ht="16" x14ac:dyDescent="0.45">
      <c r="A17" s="7" t="s">
        <v>55</v>
      </c>
      <c r="B17" s="8" t="s">
        <v>56</v>
      </c>
      <c r="C17" s="14">
        <v>6.38</v>
      </c>
      <c r="D17" s="10" t="s">
        <v>42</v>
      </c>
      <c r="E17" s="11" t="s">
        <v>57</v>
      </c>
      <c r="F17" s="12" t="s">
        <v>58</v>
      </c>
    </row>
    <row r="18" spans="1:7" ht="16" x14ac:dyDescent="0.45">
      <c r="A18" s="7" t="s">
        <v>59</v>
      </c>
      <c r="B18" s="8" t="s">
        <v>60</v>
      </c>
      <c r="C18" s="13">
        <v>8</v>
      </c>
      <c r="D18" s="10" t="s">
        <v>61</v>
      </c>
      <c r="E18" s="11" t="s">
        <v>38</v>
      </c>
      <c r="F18" s="12" t="s">
        <v>62</v>
      </c>
    </row>
    <row r="19" spans="1:7" ht="16" x14ac:dyDescent="0.45">
      <c r="A19" s="7" t="s">
        <v>63</v>
      </c>
      <c r="B19" s="8" t="s">
        <v>64</v>
      </c>
      <c r="C19" s="13">
        <v>150</v>
      </c>
      <c r="D19" s="10" t="s">
        <v>61</v>
      </c>
      <c r="E19" s="11" t="s">
        <v>38</v>
      </c>
      <c r="F19" s="12" t="s">
        <v>65</v>
      </c>
    </row>
    <row r="20" spans="1:7" ht="16" x14ac:dyDescent="0.45">
      <c r="A20" s="7" t="s">
        <v>66</v>
      </c>
      <c r="B20" s="8" t="s">
        <v>67</v>
      </c>
      <c r="C20" s="9" t="s">
        <v>68</v>
      </c>
      <c r="D20" s="10" t="s">
        <v>14</v>
      </c>
      <c r="E20" s="11" t="s">
        <v>33</v>
      </c>
      <c r="F20" s="12" t="s">
        <v>69</v>
      </c>
    </row>
    <row r="21" spans="1:7" ht="16" x14ac:dyDescent="0.45">
      <c r="A21" s="7" t="s">
        <v>70</v>
      </c>
      <c r="B21" s="8" t="s">
        <v>71</v>
      </c>
      <c r="C21" s="14">
        <v>0.15</v>
      </c>
      <c r="D21" s="10" t="s">
        <v>29</v>
      </c>
      <c r="E21" s="11" t="s">
        <v>38</v>
      </c>
      <c r="F21" s="12" t="s">
        <v>72</v>
      </c>
    </row>
    <row r="22" spans="1:7" ht="16" x14ac:dyDescent="0.45">
      <c r="A22" s="7" t="s">
        <v>73</v>
      </c>
      <c r="B22" s="8" t="s">
        <v>74</v>
      </c>
      <c r="C22" s="14">
        <v>0.05</v>
      </c>
      <c r="D22" s="10" t="s">
        <v>29</v>
      </c>
      <c r="E22" s="11" t="s">
        <v>33</v>
      </c>
      <c r="F22" s="12" t="s">
        <v>75</v>
      </c>
    </row>
    <row r="23" spans="1:7" ht="16" x14ac:dyDescent="0.45">
      <c r="A23" s="7" t="s">
        <v>76</v>
      </c>
      <c r="B23" s="8" t="s">
        <v>77</v>
      </c>
      <c r="C23" s="14">
        <v>0.12</v>
      </c>
      <c r="D23" s="10" t="s">
        <v>29</v>
      </c>
      <c r="E23" s="11" t="s">
        <v>33</v>
      </c>
      <c r="F23" s="12" t="s">
        <v>78</v>
      </c>
    </row>
    <row r="24" spans="1:7" ht="16" x14ac:dyDescent="0.45">
      <c r="A24" s="7" t="s">
        <v>79</v>
      </c>
      <c r="B24" s="8" t="s">
        <v>80</v>
      </c>
      <c r="C24" s="14">
        <v>1.2</v>
      </c>
      <c r="D24" s="10" t="s">
        <v>14</v>
      </c>
      <c r="E24" s="11" t="s">
        <v>33</v>
      </c>
      <c r="F24" s="12" t="s">
        <v>81</v>
      </c>
    </row>
    <row r="25" spans="1:7" ht="16" x14ac:dyDescent="0.45">
      <c r="A25" s="7" t="s">
        <v>82</v>
      </c>
      <c r="B25" s="8" t="s">
        <v>83</v>
      </c>
      <c r="C25" s="14">
        <v>1</v>
      </c>
      <c r="D25" s="10" t="s">
        <v>29</v>
      </c>
      <c r="E25" s="11" t="s">
        <v>33</v>
      </c>
      <c r="F25" s="12" t="s">
        <v>84</v>
      </c>
    </row>
    <row r="26" spans="1:7" ht="16" x14ac:dyDescent="0.45">
      <c r="A26" s="17" t="s">
        <v>85</v>
      </c>
      <c r="B26" s="18" t="s">
        <v>86</v>
      </c>
      <c r="C26" s="19">
        <v>1.1000000000000001</v>
      </c>
      <c r="D26" s="20" t="s">
        <v>42</v>
      </c>
      <c r="E26" s="21" t="s">
        <v>33</v>
      </c>
      <c r="F26" s="22" t="s">
        <v>87</v>
      </c>
    </row>
    <row r="28" spans="1:7" ht="17" x14ac:dyDescent="0.5">
      <c r="A28" s="5" t="s">
        <v>88</v>
      </c>
      <c r="B28" s="94" t="s">
        <v>89</v>
      </c>
      <c r="C28" s="95"/>
      <c r="D28" s="95"/>
      <c r="E28" s="95"/>
      <c r="F28" s="96"/>
    </row>
    <row r="29" spans="1:7" ht="16" x14ac:dyDescent="0.45">
      <c r="A29" s="7" t="s">
        <v>90</v>
      </c>
      <c r="B29" s="8" t="s">
        <v>91</v>
      </c>
      <c r="C29" s="13">
        <v>27</v>
      </c>
      <c r="D29" s="10" t="s">
        <v>92</v>
      </c>
      <c r="E29" s="11" t="s">
        <v>93</v>
      </c>
      <c r="F29" s="12" t="s">
        <v>94</v>
      </c>
      <c r="G29" t="s">
        <v>456</v>
      </c>
    </row>
    <row r="30" spans="1:7" ht="16" x14ac:dyDescent="0.45">
      <c r="A30" s="7" t="s">
        <v>95</v>
      </c>
      <c r="B30" s="8" t="s">
        <v>96</v>
      </c>
      <c r="C30" s="23">
        <f>C29*C10</f>
        <v>40.5</v>
      </c>
      <c r="D30" s="10" t="s">
        <v>97</v>
      </c>
      <c r="E30" s="11" t="s">
        <v>98</v>
      </c>
      <c r="F30" s="12" t="str">
        <f>"=" &amp; C29 &amp; " πάσσαλοι × " &amp; TEXT(C10,"0.00") &amp; "m = " &amp; TEXT(C29*C10,"0.00") &amp; " τρ.μ."</f>
        <v>=27 πάσσαλοι × 1.50m = 40.50 τρ.μ.</v>
      </c>
      <c r="G30" t="s">
        <v>457</v>
      </c>
    </row>
    <row r="31" spans="1:7" ht="16" x14ac:dyDescent="0.45">
      <c r="A31" s="7" t="s">
        <v>99</v>
      </c>
      <c r="B31" s="8" t="s">
        <v>100</v>
      </c>
      <c r="C31" s="14">
        <v>17</v>
      </c>
      <c r="D31" s="10" t="s">
        <v>29</v>
      </c>
      <c r="E31" s="11" t="s">
        <v>101</v>
      </c>
      <c r="F31" s="12" t="s">
        <v>102</v>
      </c>
    </row>
    <row r="32" spans="1:7" ht="16" x14ac:dyDescent="0.45">
      <c r="A32" s="7" t="s">
        <v>103</v>
      </c>
      <c r="B32" s="8" t="s">
        <v>104</v>
      </c>
      <c r="C32" s="14">
        <v>1.5</v>
      </c>
      <c r="D32" s="10" t="s">
        <v>29</v>
      </c>
      <c r="E32" s="11" t="s">
        <v>101</v>
      </c>
      <c r="F32" s="12" t="s">
        <v>105</v>
      </c>
      <c r="G32" t="s">
        <v>453</v>
      </c>
    </row>
    <row r="33" spans="1:7" ht="16" x14ac:dyDescent="0.45">
      <c r="A33" s="7" t="s">
        <v>106</v>
      </c>
      <c r="B33" s="8" t="s">
        <v>107</v>
      </c>
      <c r="C33" s="23">
        <f>C31+C32</f>
        <v>18.5</v>
      </c>
      <c r="D33" s="10" t="s">
        <v>29</v>
      </c>
      <c r="E33" s="11" t="s">
        <v>101</v>
      </c>
      <c r="F33" s="12" t="s">
        <v>108</v>
      </c>
      <c r="G33" t="s">
        <v>454</v>
      </c>
    </row>
    <row r="34" spans="1:7" ht="16" x14ac:dyDescent="0.45">
      <c r="A34" s="7" t="s">
        <v>109</v>
      </c>
      <c r="B34" s="8" t="s">
        <v>110</v>
      </c>
      <c r="C34" s="14">
        <v>20</v>
      </c>
      <c r="D34" s="10" t="s">
        <v>29</v>
      </c>
      <c r="E34" s="11" t="s">
        <v>101</v>
      </c>
      <c r="F34" s="12" t="s">
        <v>111</v>
      </c>
    </row>
    <row r="35" spans="1:7" ht="16" x14ac:dyDescent="0.45">
      <c r="A35" s="7" t="s">
        <v>112</v>
      </c>
      <c r="B35" s="8" t="s">
        <v>113</v>
      </c>
      <c r="C35" s="13">
        <v>2</v>
      </c>
      <c r="D35" s="10" t="s">
        <v>114</v>
      </c>
      <c r="E35" s="11" t="s">
        <v>101</v>
      </c>
      <c r="F35" s="12" t="s">
        <v>115</v>
      </c>
    </row>
    <row r="36" spans="1:7" ht="16" x14ac:dyDescent="0.45">
      <c r="A36" s="7" t="s">
        <v>116</v>
      </c>
      <c r="B36" s="8" t="s">
        <v>117</v>
      </c>
      <c r="C36" s="14">
        <v>19.5</v>
      </c>
      <c r="D36" s="10" t="s">
        <v>29</v>
      </c>
      <c r="E36" s="11" t="s">
        <v>101</v>
      </c>
      <c r="F36" s="12" t="s">
        <v>118</v>
      </c>
    </row>
    <row r="37" spans="1:7" ht="16" x14ac:dyDescent="0.45">
      <c r="A37" s="7" t="s">
        <v>119</v>
      </c>
      <c r="B37" s="8" t="s">
        <v>120</v>
      </c>
      <c r="C37" s="13">
        <v>2</v>
      </c>
      <c r="D37" s="10" t="s">
        <v>114</v>
      </c>
      <c r="E37" s="11" t="s">
        <v>101</v>
      </c>
      <c r="F37" s="12" t="s">
        <v>115</v>
      </c>
    </row>
    <row r="38" spans="1:7" ht="16" x14ac:dyDescent="0.45">
      <c r="A38" s="7" t="s">
        <v>121</v>
      </c>
      <c r="B38" s="8" t="s">
        <v>122</v>
      </c>
      <c r="C38" s="14">
        <v>20</v>
      </c>
      <c r="D38" s="10" t="s">
        <v>29</v>
      </c>
      <c r="E38" s="11" t="s">
        <v>101</v>
      </c>
      <c r="F38" s="12" t="s">
        <v>123</v>
      </c>
    </row>
    <row r="39" spans="1:7" ht="16" x14ac:dyDescent="0.45">
      <c r="A39" s="7" t="s">
        <v>124</v>
      </c>
      <c r="B39" s="8" t="s">
        <v>125</v>
      </c>
      <c r="C39" s="13">
        <v>3</v>
      </c>
      <c r="D39" s="10" t="s">
        <v>114</v>
      </c>
      <c r="E39" s="11" t="s">
        <v>101</v>
      </c>
      <c r="F39" s="12" t="s">
        <v>126</v>
      </c>
    </row>
    <row r="40" spans="1:7" ht="16" x14ac:dyDescent="0.45">
      <c r="A40" s="7" t="s">
        <v>127</v>
      </c>
      <c r="B40" s="8" t="s">
        <v>128</v>
      </c>
      <c r="C40" s="14">
        <v>18.5</v>
      </c>
      <c r="D40" s="10" t="s">
        <v>29</v>
      </c>
      <c r="E40" s="11" t="s">
        <v>101</v>
      </c>
      <c r="F40" s="12" t="s">
        <v>129</v>
      </c>
    </row>
    <row r="41" spans="1:7" ht="16" x14ac:dyDescent="0.45">
      <c r="A41" s="17" t="s">
        <v>130</v>
      </c>
      <c r="B41" s="18" t="s">
        <v>131</v>
      </c>
      <c r="C41" s="24">
        <v>3</v>
      </c>
      <c r="D41" s="20" t="s">
        <v>114</v>
      </c>
      <c r="E41" s="21" t="s">
        <v>101</v>
      </c>
      <c r="F41" s="22" t="s">
        <v>126</v>
      </c>
    </row>
    <row r="43" spans="1:7" ht="17" x14ac:dyDescent="0.5">
      <c r="A43" s="5" t="s">
        <v>132</v>
      </c>
      <c r="B43" s="94" t="s">
        <v>133</v>
      </c>
      <c r="C43" s="95"/>
      <c r="D43" s="95"/>
      <c r="E43" s="95"/>
      <c r="F43" s="96"/>
    </row>
    <row r="44" spans="1:7" ht="16" x14ac:dyDescent="0.45">
      <c r="A44" s="7" t="s">
        <v>134</v>
      </c>
      <c r="B44" s="8" t="s">
        <v>135</v>
      </c>
      <c r="C44" s="13">
        <v>74</v>
      </c>
      <c r="D44" s="10" t="s">
        <v>92</v>
      </c>
      <c r="E44" s="11" t="s">
        <v>93</v>
      </c>
      <c r="F44" s="12" t="s">
        <v>136</v>
      </c>
    </row>
    <row r="45" spans="1:7" ht="16" x14ac:dyDescent="0.45">
      <c r="A45" s="7" t="s">
        <v>137</v>
      </c>
      <c r="B45" s="8" t="s">
        <v>138</v>
      </c>
      <c r="C45" s="23">
        <f>C44*C10</f>
        <v>111</v>
      </c>
      <c r="D45" s="10" t="s">
        <v>97</v>
      </c>
      <c r="E45" s="11" t="s">
        <v>98</v>
      </c>
      <c r="F45" s="12" t="str">
        <f>"=" &amp; C44 &amp; " πάσσαλοι × " &amp; TEXT(C10,"0.00") &amp; "m = " &amp; TEXT(C44*C10,"0.00") &amp; " τρ.μ."</f>
        <v>=74 πάσσαλοι × 1.50m = 111.00 τρ.μ.</v>
      </c>
    </row>
    <row r="46" spans="1:7" ht="16" x14ac:dyDescent="0.45">
      <c r="A46" s="7" t="s">
        <v>139</v>
      </c>
      <c r="B46" s="8" t="s">
        <v>140</v>
      </c>
      <c r="C46" s="14">
        <v>15.6</v>
      </c>
      <c r="D46" s="10" t="s">
        <v>29</v>
      </c>
      <c r="E46" s="11" t="s">
        <v>141</v>
      </c>
      <c r="F46" s="12" t="s">
        <v>142</v>
      </c>
    </row>
    <row r="47" spans="1:7" ht="16" x14ac:dyDescent="0.45">
      <c r="A47" s="7" t="s">
        <v>143</v>
      </c>
      <c r="B47" s="8" t="s">
        <v>144</v>
      </c>
      <c r="C47" s="14">
        <v>2</v>
      </c>
      <c r="D47" s="10" t="s">
        <v>29</v>
      </c>
      <c r="E47" s="11" t="s">
        <v>141</v>
      </c>
      <c r="F47" s="12" t="s">
        <v>105</v>
      </c>
    </row>
    <row r="48" spans="1:7" ht="16" x14ac:dyDescent="0.45">
      <c r="A48" s="7" t="s">
        <v>145</v>
      </c>
      <c r="B48" s="8" t="s">
        <v>146</v>
      </c>
      <c r="C48" s="14">
        <v>17</v>
      </c>
      <c r="D48" s="10" t="s">
        <v>29</v>
      </c>
      <c r="E48" s="11" t="s">
        <v>141</v>
      </c>
      <c r="F48" s="12" t="s">
        <v>147</v>
      </c>
    </row>
    <row r="49" spans="1:6" ht="16" x14ac:dyDescent="0.45">
      <c r="A49" s="7" t="s">
        <v>148</v>
      </c>
      <c r="B49" s="8" t="s">
        <v>110</v>
      </c>
      <c r="C49" s="14">
        <v>20</v>
      </c>
      <c r="D49" s="10" t="s">
        <v>29</v>
      </c>
      <c r="E49" s="11" t="s">
        <v>141</v>
      </c>
      <c r="F49" s="12" t="s">
        <v>149</v>
      </c>
    </row>
    <row r="50" spans="1:6" ht="16" x14ac:dyDescent="0.45">
      <c r="A50" s="7" t="s">
        <v>150</v>
      </c>
      <c r="B50" s="8" t="s">
        <v>113</v>
      </c>
      <c r="C50" s="13">
        <v>2</v>
      </c>
      <c r="D50" s="10" t="s">
        <v>114</v>
      </c>
      <c r="E50" s="11" t="s">
        <v>141</v>
      </c>
      <c r="F50" s="12" t="s">
        <v>115</v>
      </c>
    </row>
    <row r="51" spans="1:6" ht="16" x14ac:dyDescent="0.45">
      <c r="A51" s="7" t="s">
        <v>151</v>
      </c>
      <c r="B51" s="8" t="s">
        <v>117</v>
      </c>
      <c r="C51" s="14">
        <v>19.5</v>
      </c>
      <c r="D51" s="10" t="s">
        <v>29</v>
      </c>
      <c r="E51" s="11" t="s">
        <v>141</v>
      </c>
      <c r="F51" s="12" t="s">
        <v>152</v>
      </c>
    </row>
    <row r="52" spans="1:6" ht="16" x14ac:dyDescent="0.45">
      <c r="A52" s="7" t="s">
        <v>153</v>
      </c>
      <c r="B52" s="8" t="s">
        <v>120</v>
      </c>
      <c r="C52" s="13">
        <v>2</v>
      </c>
      <c r="D52" s="10" t="s">
        <v>114</v>
      </c>
      <c r="E52" s="11" t="s">
        <v>141</v>
      </c>
      <c r="F52" s="12" t="s">
        <v>115</v>
      </c>
    </row>
    <row r="53" spans="1:6" ht="16" x14ac:dyDescent="0.45">
      <c r="A53" s="7" t="s">
        <v>154</v>
      </c>
      <c r="B53" s="8" t="s">
        <v>122</v>
      </c>
      <c r="C53" s="14">
        <v>19.5</v>
      </c>
      <c r="D53" s="10" t="s">
        <v>29</v>
      </c>
      <c r="E53" s="11" t="s">
        <v>141</v>
      </c>
      <c r="F53" s="12" t="s">
        <v>155</v>
      </c>
    </row>
    <row r="54" spans="1:6" ht="16" x14ac:dyDescent="0.45">
      <c r="A54" s="7" t="s">
        <v>156</v>
      </c>
      <c r="B54" s="8" t="s">
        <v>125</v>
      </c>
      <c r="C54" s="13">
        <v>3</v>
      </c>
      <c r="D54" s="10" t="s">
        <v>114</v>
      </c>
      <c r="E54" s="11" t="s">
        <v>141</v>
      </c>
      <c r="F54" s="12" t="s">
        <v>126</v>
      </c>
    </row>
    <row r="55" spans="1:6" ht="16" x14ac:dyDescent="0.45">
      <c r="A55" s="7" t="s">
        <v>157</v>
      </c>
      <c r="B55" s="8" t="s">
        <v>158</v>
      </c>
      <c r="C55" s="14">
        <v>16</v>
      </c>
      <c r="D55" s="10" t="s">
        <v>29</v>
      </c>
      <c r="E55" s="11" t="s">
        <v>141</v>
      </c>
      <c r="F55" s="12" t="s">
        <v>159</v>
      </c>
    </row>
    <row r="56" spans="1:6" ht="16" x14ac:dyDescent="0.45">
      <c r="A56" s="17" t="s">
        <v>160</v>
      </c>
      <c r="B56" s="18" t="s">
        <v>161</v>
      </c>
      <c r="C56" s="24">
        <v>3</v>
      </c>
      <c r="D56" s="20" t="s">
        <v>114</v>
      </c>
      <c r="E56" s="21" t="s">
        <v>141</v>
      </c>
      <c r="F56" s="22" t="s">
        <v>126</v>
      </c>
    </row>
    <row r="58" spans="1:6" ht="17" x14ac:dyDescent="0.5">
      <c r="A58" s="5" t="s">
        <v>162</v>
      </c>
      <c r="B58" s="94" t="s">
        <v>163</v>
      </c>
      <c r="C58" s="95"/>
      <c r="D58" s="95"/>
      <c r="E58" s="95"/>
      <c r="F58" s="96"/>
    </row>
    <row r="59" spans="1:6" ht="16" x14ac:dyDescent="0.45">
      <c r="A59" s="7" t="s">
        <v>164</v>
      </c>
      <c r="B59" s="8" t="s">
        <v>165</v>
      </c>
      <c r="C59" s="13">
        <v>15</v>
      </c>
      <c r="D59" s="10" t="s">
        <v>92</v>
      </c>
      <c r="E59" s="11" t="s">
        <v>93</v>
      </c>
      <c r="F59" s="12" t="s">
        <v>166</v>
      </c>
    </row>
    <row r="60" spans="1:6" ht="16" x14ac:dyDescent="0.45">
      <c r="A60" s="7" t="s">
        <v>167</v>
      </c>
      <c r="B60" s="8" t="s">
        <v>168</v>
      </c>
      <c r="C60" s="23">
        <f>C59*C10</f>
        <v>22.5</v>
      </c>
      <c r="D60" s="10" t="s">
        <v>97</v>
      </c>
      <c r="E60" s="11" t="s">
        <v>98</v>
      </c>
      <c r="F60" s="12" t="str">
        <f>"=" &amp; C59 &amp; " πάσσαλοι × " &amp; TEXT(C10,"0.00") &amp; "m = " &amp; TEXT(C59*C10,"0.00") &amp; " τρ.μ."</f>
        <v>=15 πάσσαλοι × 1.50m = 22.50 τρ.μ.</v>
      </c>
    </row>
    <row r="61" spans="1:6" ht="16" x14ac:dyDescent="0.45">
      <c r="A61" s="7" t="s">
        <v>169</v>
      </c>
      <c r="B61" s="8" t="s">
        <v>170</v>
      </c>
      <c r="C61" s="14">
        <v>11.1</v>
      </c>
      <c r="D61" s="10" t="s">
        <v>29</v>
      </c>
      <c r="E61" s="11" t="s">
        <v>171</v>
      </c>
      <c r="F61" s="12" t="s">
        <v>172</v>
      </c>
    </row>
    <row r="62" spans="1:6" ht="16" x14ac:dyDescent="0.45">
      <c r="A62" s="7" t="s">
        <v>173</v>
      </c>
      <c r="B62" s="8" t="s">
        <v>174</v>
      </c>
      <c r="C62" s="14">
        <v>2</v>
      </c>
      <c r="D62" s="10" t="s">
        <v>29</v>
      </c>
      <c r="E62" s="11" t="s">
        <v>171</v>
      </c>
      <c r="F62" s="12" t="s">
        <v>105</v>
      </c>
    </row>
    <row r="63" spans="1:6" ht="16" x14ac:dyDescent="0.45">
      <c r="A63" s="7" t="s">
        <v>175</v>
      </c>
      <c r="B63" s="8" t="s">
        <v>176</v>
      </c>
      <c r="C63" s="14">
        <v>13</v>
      </c>
      <c r="D63" s="10" t="s">
        <v>29</v>
      </c>
      <c r="E63" s="11" t="s">
        <v>171</v>
      </c>
      <c r="F63" s="12" t="s">
        <v>177</v>
      </c>
    </row>
    <row r="64" spans="1:6" ht="16" x14ac:dyDescent="0.45">
      <c r="A64" s="7" t="s">
        <v>178</v>
      </c>
      <c r="B64" s="8" t="s">
        <v>110</v>
      </c>
      <c r="C64" s="14">
        <v>19</v>
      </c>
      <c r="D64" s="10" t="s">
        <v>29</v>
      </c>
      <c r="E64" s="11" t="s">
        <v>171</v>
      </c>
      <c r="F64" s="12" t="s">
        <v>179</v>
      </c>
    </row>
    <row r="65" spans="1:6" ht="16" x14ac:dyDescent="0.45">
      <c r="A65" s="7" t="s">
        <v>180</v>
      </c>
      <c r="B65" s="8" t="s">
        <v>113</v>
      </c>
      <c r="C65" s="13">
        <v>3</v>
      </c>
      <c r="D65" s="10" t="s">
        <v>114</v>
      </c>
      <c r="E65" s="11" t="s">
        <v>171</v>
      </c>
      <c r="F65" s="12" t="s">
        <v>126</v>
      </c>
    </row>
    <row r="66" spans="1:6" ht="16" x14ac:dyDescent="0.45">
      <c r="A66" s="7" t="s">
        <v>181</v>
      </c>
      <c r="B66" s="8" t="s">
        <v>117</v>
      </c>
      <c r="C66" s="14">
        <v>17</v>
      </c>
      <c r="D66" s="10" t="s">
        <v>29</v>
      </c>
      <c r="E66" s="11" t="s">
        <v>171</v>
      </c>
      <c r="F66" s="12" t="s">
        <v>182</v>
      </c>
    </row>
    <row r="67" spans="1:6" ht="16" x14ac:dyDescent="0.45">
      <c r="A67" s="7" t="s">
        <v>183</v>
      </c>
      <c r="B67" s="8" t="s">
        <v>120</v>
      </c>
      <c r="C67" s="13">
        <v>3</v>
      </c>
      <c r="D67" s="10" t="s">
        <v>114</v>
      </c>
      <c r="E67" s="11" t="s">
        <v>171</v>
      </c>
      <c r="F67" s="12" t="s">
        <v>126</v>
      </c>
    </row>
    <row r="68" spans="1:6" ht="16" x14ac:dyDescent="0.45">
      <c r="A68" s="7" t="s">
        <v>184</v>
      </c>
      <c r="B68" s="8" t="s">
        <v>122</v>
      </c>
      <c r="C68" s="14">
        <v>16</v>
      </c>
      <c r="D68" s="10" t="s">
        <v>29</v>
      </c>
      <c r="E68" s="11" t="s">
        <v>171</v>
      </c>
      <c r="F68" s="12" t="s">
        <v>185</v>
      </c>
    </row>
    <row r="69" spans="1:6" ht="16" x14ac:dyDescent="0.45">
      <c r="A69" s="17" t="s">
        <v>186</v>
      </c>
      <c r="B69" s="18" t="s">
        <v>125</v>
      </c>
      <c r="C69" s="24">
        <v>3</v>
      </c>
      <c r="D69" s="20" t="s">
        <v>114</v>
      </c>
      <c r="E69" s="21" t="s">
        <v>171</v>
      </c>
      <c r="F69" s="22" t="s">
        <v>126</v>
      </c>
    </row>
    <row r="71" spans="1:6" x14ac:dyDescent="0.35">
      <c r="A71" s="92" t="s">
        <v>187</v>
      </c>
      <c r="B71" s="93"/>
      <c r="C71" s="93"/>
      <c r="D71" s="93"/>
      <c r="E71" s="93"/>
      <c r="F71" s="93"/>
    </row>
    <row r="72" spans="1:6" ht="16" x14ac:dyDescent="0.35">
      <c r="A72" s="3" t="s">
        <v>3</v>
      </c>
      <c r="B72" s="4" t="s">
        <v>188</v>
      </c>
      <c r="C72" s="3" t="s">
        <v>189</v>
      </c>
      <c r="D72" s="3" t="s">
        <v>6</v>
      </c>
      <c r="E72" s="4" t="s">
        <v>190</v>
      </c>
      <c r="F72" s="4" t="s">
        <v>8</v>
      </c>
    </row>
    <row r="73" spans="1:6" ht="17" x14ac:dyDescent="0.45">
      <c r="A73" s="25" t="s">
        <v>191</v>
      </c>
      <c r="B73" s="97" t="s">
        <v>192</v>
      </c>
      <c r="C73" s="98"/>
      <c r="D73" s="98"/>
      <c r="E73" s="98"/>
      <c r="F73" s="99"/>
    </row>
    <row r="74" spans="1:6" ht="16" x14ac:dyDescent="0.45">
      <c r="A74" s="7" t="s">
        <v>193</v>
      </c>
      <c r="B74" s="8" t="s">
        <v>194</v>
      </c>
      <c r="C74" s="26">
        <f>PI()*((C11/2)^2)</f>
        <v>0.50265482457436694</v>
      </c>
      <c r="D74" s="10" t="s">
        <v>195</v>
      </c>
      <c r="E74" s="11" t="str">
        <f>"π × (" &amp; TEXT(C11,"0.00") &amp; "/2)² = " &amp; TEXT(PI()*((C11/2)^2),"0.0000") &amp; " m³/m"</f>
        <v>π × (0.80/2)² = 0.5027 m³/m</v>
      </c>
      <c r="F74" s="12" t="s">
        <v>196</v>
      </c>
    </row>
    <row r="75" spans="1:6" ht="16" x14ac:dyDescent="0.45">
      <c r="A75" s="7" t="s">
        <v>197</v>
      </c>
      <c r="B75" s="8" t="s">
        <v>198</v>
      </c>
      <c r="C75" s="27">
        <f>ROUND(2*(1000/C19)*((PI()*((C18/1000)^2)/4)*7850), 3)</f>
        <v>5.2610000000000001</v>
      </c>
      <c r="D75" s="10" t="s">
        <v>199</v>
      </c>
      <c r="E75" s="11" t="str">
        <f>"2 × (1000/" &amp; C19 &amp; ") × 0.395 kg/m = " &amp; TEXT(C75,"0.000") &amp; " kg/m²"</f>
        <v>2 × (1000/150) × 0.395 kg/m = 5.261 kg/m²</v>
      </c>
      <c r="F75" s="12" t="s">
        <v>200</v>
      </c>
    </row>
    <row r="76" spans="1:6" ht="16" x14ac:dyDescent="0.45">
      <c r="A76" s="7" t="s">
        <v>201</v>
      </c>
      <c r="B76" s="8" t="s">
        <v>202</v>
      </c>
      <c r="C76" s="28">
        <f>PI()*((C23/2)^2)*C24</f>
        <v>1.3571680263507906E-2</v>
      </c>
      <c r="D76" s="10" t="s">
        <v>195</v>
      </c>
      <c r="E76" s="11" t="str">
        <f>"π × (" &amp; TEXT(C23,"0.00") &amp; "/2)² × " &amp; TEXT(C24,"0.00") &amp; " = " &amp; TEXT(C76,"0.000000") &amp; " m³/m"</f>
        <v>π × (0.12/2)² × 1.20 = 0.013572 m³/m</v>
      </c>
      <c r="F76" s="12" t="s">
        <v>203</v>
      </c>
    </row>
    <row r="77" spans="1:6" ht="16" x14ac:dyDescent="0.45">
      <c r="A77" s="17" t="s">
        <v>204</v>
      </c>
      <c r="B77" s="18" t="s">
        <v>205</v>
      </c>
      <c r="C77" s="29">
        <f>C22/C21</f>
        <v>0.33333333333333337</v>
      </c>
      <c r="D77" s="20" t="s">
        <v>206</v>
      </c>
      <c r="E77" s="21" t="str">
        <f>"Απώλεια " &amp; TEXT(C22,"0.00") &amp; "m / Ονομαστικό " &amp; TEXT(C21,"0.00") &amp; "m = " &amp; TEXT(C22/C21,"0.0%")</f>
        <v>Απώλεια 0.05m / Ονομαστικό 0.15m = 33.3%</v>
      </c>
      <c r="F77" s="22" t="s">
        <v>207</v>
      </c>
    </row>
    <row r="79" spans="1:6" ht="17" x14ac:dyDescent="0.5">
      <c r="A79" s="5" t="s">
        <v>88</v>
      </c>
      <c r="B79" s="6" t="str">
        <f>"BERLIN WALL TYPE A: " &amp; C29 &amp; "No Ζεύγη HEB220, L=" &amp; TEXT(C33,"0.00") &amp; "m για βάθος εκσκαφής " &amp; TEXT(C31,"0.00") &amp; "m και " &amp; TEXT(C30,"0.00") &amp; " τρ.μ."</f>
        <v>BERLIN WALL TYPE A: 27No Ζεύγη HEB220, L=18.50m για βάθος εκσκαφής 17.00m και 40.50 τρ.μ.</v>
      </c>
      <c r="C79" s="30">
        <f>C30</f>
        <v>40.5</v>
      </c>
      <c r="D79" s="31" t="s">
        <v>97</v>
      </c>
      <c r="E79" s="32" t="str">
        <f>"Περίμετρος Type A = " &amp; C29 &amp; " × " &amp; TEXT(C10,"0.00") &amp; "m = " &amp; TEXT(C30,"0.00") &amp; " m"</f>
        <v>Περίμετρος Type A = 27 × 1.50m = 40.50 m</v>
      </c>
      <c r="F79" s="33" t="s">
        <v>208</v>
      </c>
    </row>
    <row r="80" spans="1:6" ht="16" x14ac:dyDescent="0.45">
      <c r="A80" s="7" t="s">
        <v>209</v>
      </c>
      <c r="B80" s="8" t="str">
        <f>"ΤΡΥΠΗΜΑ Ø800mm = " &amp; C29 &amp; "No X " &amp; TEXT(C33,"0.00") &amp; "m"</f>
        <v>ΤΡΥΠΗΜΑ Ø800mm = 27No X 18.50m</v>
      </c>
      <c r="C80" s="34">
        <f>C29*C33</f>
        <v>499.5</v>
      </c>
      <c r="D80" s="10" t="s">
        <v>29</v>
      </c>
      <c r="E80" s="11" t="str">
        <f>"=" &amp; C29 &amp; " πάσσαλοι × " &amp; TEXT(C33,"0.00") &amp; "m = " &amp; TEXT(C80,"#,##0.00") &amp; " m"</f>
        <v>=27 πάσσαλοι × 18.50m = 499.50 m</v>
      </c>
      <c r="F80" s="12" t="s">
        <v>210</v>
      </c>
    </row>
    <row r="81" spans="1:6" ht="16" x14ac:dyDescent="0.45">
      <c r="A81" s="7" t="s">
        <v>211</v>
      </c>
      <c r="B81" s="8" t="str">
        <f>"ΜΠΕΤΟΝ ΠΑΚΤΩΣΗΣ C30/37 = " &amp; C29 &amp; "No X " &amp; TEXT(C32,"0.00") &amp; "m X " &amp; TEXT(C74,"0.000") &amp; "m³/m"</f>
        <v>ΜΠΕΤΟΝ ΠΑΚΤΩΣΗΣ C30/37 = 27No X 1.50m X 0.503m³/m</v>
      </c>
      <c r="C81" s="34">
        <f>ROUND(C29*C32*C74, 2)</f>
        <v>20.36</v>
      </c>
      <c r="D81" s="10" t="s">
        <v>212</v>
      </c>
      <c r="E81" s="11" t="str">
        <f>"=" &amp; C29 &amp; " × " &amp; TEXT(C32,"0.00") &amp; "m × " &amp; TEXT(C74,"0.0000") &amp; " = " &amp; TEXT(C81,"#,##0.00") &amp; " m³"</f>
        <v>=27 × 1.50m × 0.5027 = 20.36 m³</v>
      </c>
      <c r="F81" s="12" t="s">
        <v>213</v>
      </c>
    </row>
    <row r="82" spans="1:6" ht="16" x14ac:dyDescent="0.45">
      <c r="A82" s="7" t="s">
        <v>214</v>
      </c>
      <c r="B82" s="8" t="str">
        <f>"HEB220 - ΠΡΟΜΗΘΕΙΑ, ΕΠΕΞΕΡΓΑΣΙΑ &amp; ΤΟΠΟΘΕΤΗΣΗ (" &amp; C29 &amp; "No x 2No x " &amp; TEXT(C33,"0.00") &amp; "m x " &amp; TEXT(C13,"0.0") &amp; "kg/m)"</f>
        <v>HEB220 - ΠΡΟΜΗΘΕΙΑ, ΕΠΕΞΕΡΓΑΣΙΑ &amp; ΤΟΠΟΘΕΤΗΣΗ (27No x 2No x 18.50m x 71.5kg/m)</v>
      </c>
      <c r="C82" s="34">
        <f>ROUND(C29*C12*C33*C13, 2)</f>
        <v>71428.5</v>
      </c>
      <c r="D82" s="10" t="s">
        <v>215</v>
      </c>
      <c r="E82" s="11" t="str">
        <f>"=" &amp; C29 &amp; " × 2 × " &amp; TEXT(C33,"0.00") &amp; "m × " &amp; TEXT(C13,"0.0") &amp; " = " &amp; TEXT(C82,"#,##0.00") &amp; " kg"</f>
        <v>=27 × 2 × 18.50m × 71.5 = 71,428.50 kg</v>
      </c>
      <c r="F82" s="12" t="s">
        <v>216</v>
      </c>
    </row>
    <row r="83" spans="1:6" ht="16" x14ac:dyDescent="0.45">
      <c r="A83" s="7" t="s">
        <v>217</v>
      </c>
      <c r="B83" s="8" t="str">
        <f>"ΛΑΜΕΣ ΣΥΝΔΕΣΗΣ 200x200x10mm = " &amp; C29 &amp; "No x (" &amp; (C33/C15) &amp; "No x " &amp; TEXT(C16,"0.00") &amp; "kg)"</f>
        <v>ΛΑΜΕΣ ΣΥΝΔΕΣΗΣ 200x200x10mm = 27No x (18.5No x 3.14kg)</v>
      </c>
      <c r="C83" s="34">
        <f>ROUND(C29*(C33/C15)*C16, 2)</f>
        <v>1568.43</v>
      </c>
      <c r="D83" s="10" t="s">
        <v>215</v>
      </c>
      <c r="E83" s="11" t="str">
        <f>"=" &amp; C29 &amp; " × " &amp; (C33/C15) &amp; " λάμες/οπή (456 τεμ.) × " &amp; TEXT(C16,"0.00") &amp; " kg"</f>
        <v>=27 × 18.5 λάμες/οπή (456 τεμ.) × 3.14 kg</v>
      </c>
      <c r="F83" s="12" t="s">
        <v>218</v>
      </c>
    </row>
    <row r="84" spans="1:6" ht="16" x14ac:dyDescent="0.45">
      <c r="A84" s="7" t="s">
        <v>219</v>
      </c>
      <c r="B84" s="8" t="str">
        <f>"ΓΩΝΙΕΣ ΣΤΗΡΙΞΗΣ L70x70x6mm = " &amp; C29 &amp; "No x " &amp; TEXT(C31,"0.00") &amp; "m x " &amp; TEXT(C17,"0.00") &amp; "kg/m x 2No"</f>
        <v>ΓΩΝΙΕΣ ΣΤΗΡΙΞΗΣ L70x70x6mm = 27No x 17.00m x 6.38kg/m x 2No</v>
      </c>
      <c r="C84" s="34">
        <f>ROUND(C29*2*C31*C17, 2)</f>
        <v>5856.84</v>
      </c>
      <c r="D84" s="10" t="s">
        <v>215</v>
      </c>
      <c r="E84" s="11" t="str">
        <f>"=" &amp; C29 &amp; " × 2 × " &amp; TEXT(C31,"0.00") &amp; "m (816.0m) × " &amp; TEXT(C17,"0.00") &amp; " kg/m"</f>
        <v>=27 × 2 × 17.00m (816.0m) × 6.38 kg/m</v>
      </c>
      <c r="F84" s="12" t="s">
        <v>220</v>
      </c>
    </row>
    <row r="85" spans="1:6" ht="16" x14ac:dyDescent="0.45">
      <c r="A85" s="7" t="s">
        <v>221</v>
      </c>
      <c r="B85" s="8" t="str">
        <f>"ΑΓΟΡΑ ΧΑΛΥΒΑ ΣΧΑΡΑΣ #Y8/150 = " &amp; TEXT(C86,"#,##0.00") &amp; "m² x " &amp; TEXT(C75,"0.000") &amp; "kg/m²"</f>
        <v>ΑΓΟΡΑ ΧΑΛΥΒΑ ΣΧΑΡΑΣ #Y8/150 = 688.50m² x 5.261kg/m²</v>
      </c>
      <c r="C85" s="34">
        <f>ROUND(C86*C75, 2)</f>
        <v>3622.2</v>
      </c>
      <c r="D85" s="10" t="s">
        <v>215</v>
      </c>
      <c r="E85" s="11" t="str">
        <f>"=" &amp; TEXT(C86,"#,##0.00") &amp; " m² × " &amp; TEXT(C75,"0.000") &amp; " kg/m² = " &amp; TEXT(C85,"#,##0.00") &amp; " kg"</f>
        <v>=688.50 m² × 5.261 kg/m² = 3,622.20 kg</v>
      </c>
      <c r="F85" s="12" t="s">
        <v>222</v>
      </c>
    </row>
    <row r="86" spans="1:6" ht="16" x14ac:dyDescent="0.45">
      <c r="A86" s="7" t="s">
        <v>223</v>
      </c>
      <c r="B86" s="8" t="str">
        <f>"ΤΟΠΟΘΕΤΗΣΗ ΣΧΑΡΑΣ ΜΕΤΩΠΟΥ = " &amp; TEXT(C30,"0.00") &amp; "m X " &amp; TEXT(C31,"0.00") &amp; "m"</f>
        <v>ΤΟΠΟΘΕΤΗΣΗ ΣΧΑΡΑΣ ΜΕΤΩΠΟΥ = 40.50m X 17.00m</v>
      </c>
      <c r="C86" s="34">
        <f>ROUND(C30*C31, 2)</f>
        <v>688.5</v>
      </c>
      <c r="D86" s="10" t="s">
        <v>224</v>
      </c>
      <c r="E86" s="11" t="str">
        <f>"=" &amp; TEXT(C30,"0.00") &amp; "m × " &amp; TEXT(C31,"0.00") &amp; "m = " &amp; TEXT(C86,"#,##0.00") &amp; " m²"</f>
        <v>=40.50m × 17.00m = 688.50 m²</v>
      </c>
      <c r="F86" s="12" t="s">
        <v>225</v>
      </c>
    </row>
    <row r="87" spans="1:6" ht="16" x14ac:dyDescent="0.45">
      <c r="A87" s="7" t="s">
        <v>226</v>
      </c>
      <c r="B87" s="8" t="str">
        <f>"ΑΓΟΡΑ ΣΚΥΡΟΔΕΜΑΤΟΣ SHOTCRETE C30/37 = " &amp; TEXT(C86,"#,##0.00") &amp; "m² x " &amp; TEXT(C21,"0.00") &amp; "m"</f>
        <v>ΑΓΟΡΑ ΣΚΥΡΟΔΕΜΑΤΟΣ SHOTCRETE C30/37 = 688.50m² x 0.15m</v>
      </c>
      <c r="C87" s="34">
        <f>ROUND(C86*C21, 2)</f>
        <v>103.28</v>
      </c>
      <c r="D87" s="10" t="s">
        <v>212</v>
      </c>
      <c r="E87" s="11" t="str">
        <f>"=" &amp; TEXT(C86,"#,##0.00") &amp; " m² × " &amp; TEXT(C21,"0.00") &amp; "m = " &amp; TEXT(C87,"#,##0.00") &amp; " m³"</f>
        <v>=688.50 m² × 0.15m = 103.28 m³</v>
      </c>
      <c r="F87" s="12" t="s">
        <v>227</v>
      </c>
    </row>
    <row r="88" spans="1:6" ht="16" x14ac:dyDescent="0.45">
      <c r="A88" s="7" t="s">
        <v>228</v>
      </c>
      <c r="B88" s="8" t="str">
        <f>"ΤΟΠΟΘΕΤΗΣΗ / ΕΚΤΟΞΕΥΣΗ SHOTCRETE = " &amp; TEXT(C86,"#,##0.00") &amp; "m² x " &amp; TEXT(C21,"0.00") &amp; "m (με απώλεια +33.3%)"</f>
        <v>ΤΟΠΟΘΕΤΗΣΗ / ΕΚΤΟΞΕΥΣΗ SHOTCRETE = 688.50m² x 0.15m (με απώλεια +33.3%)</v>
      </c>
      <c r="C88" s="34">
        <f>C87</f>
        <v>103.28</v>
      </c>
      <c r="D88" s="10" t="s">
        <v>212</v>
      </c>
      <c r="E88" s="11" t="str">
        <f>"Ονομαστικός όγκος " &amp; TEXT(C87,"#,##0.00") &amp; " m³ (η απώλεια +5cm ενσωματώνεται στην τιμή μονάδας)"</f>
        <v>Ονομαστικός όγκος 103.28 m³ (η απώλεια +5cm ενσωματώνεται στην τιμή μονάδας)</v>
      </c>
      <c r="F88" s="12" t="s">
        <v>229</v>
      </c>
    </row>
    <row r="89" spans="1:6" ht="16" x14ac:dyDescent="0.45">
      <c r="A89" s="7" t="s">
        <v>230</v>
      </c>
      <c r="B89" s="8" t="str">
        <f>"ΔΙΑΤΡΗΣΗ ΑΓΚΥΡΩΣΕΩΝ Ø120mm (4 Σειρές: L1=" &amp; C34 &amp; "m, L2=" &amp; C36 &amp; "m, L3=" &amp; C38 &amp; "m, L4=" &amp; C40 &amp; "m)"</f>
        <v>ΔΙΑΤΡΗΣΗ ΑΓΚΥΡΩΣΕΩΝ Ø120mm (4 Σειρές: L1=20m, L2=19.5m, L3=20m, L4=18.5m)</v>
      </c>
      <c r="C89" s="34">
        <f>C29*(C34+C36+C38+C40)</f>
        <v>2106</v>
      </c>
      <c r="D89" s="10" t="s">
        <v>29</v>
      </c>
      <c r="E89" s="11" t="str">
        <f>"=" &amp; C29 &amp; "No × (" &amp; C34 &amp; "+" &amp; C36 &amp; "+" &amp; C38 &amp; "+" &amp; C40 &amp; "m) = " &amp; TEXT(C89,"#,##0.00") &amp; " m"</f>
        <v>=27No × (20+19.5+20+18.5m) = 2,106.00 m</v>
      </c>
      <c r="F89" s="12" t="s">
        <v>231</v>
      </c>
    </row>
    <row r="90" spans="1:6" ht="16" x14ac:dyDescent="0.45">
      <c r="A90" s="7" t="s">
        <v>232</v>
      </c>
      <c r="B90" s="8" t="str">
        <f>"GROUT ΤΣΙΜΕΝΤΕΝΕΜΑ ΑΓΚΥΡΩΣΕΩΝ (με απώλεια 1.20) = " &amp; TEXT(C89,"#,##0.00") &amp; "m x " &amp; TEXT(C76,"0.0000") &amp; "m³/m"</f>
        <v>GROUT ΤΣΙΜΕΝΤΕΝΕΜΑ ΑΓΚΥΡΩΣΕΩΝ (με απώλεια 1.20) = 2,106.00m x 0.0136m³/m</v>
      </c>
      <c r="C90" s="34">
        <f>ROUND(C89*C76, 2)</f>
        <v>28.58</v>
      </c>
      <c r="D90" s="10" t="s">
        <v>212</v>
      </c>
      <c r="E90" s="11" t="str">
        <f>"=" &amp; TEXT(C89,"#,##0.00") &amp; "m × " &amp; TEXT(C76,"0.000000") &amp; " m³/m = " &amp; TEXT(C90,"#,##0.00") &amp; " m³"</f>
        <v>=2,106.00m × 0.013572 m³/m = 28.58 m³</v>
      </c>
      <c r="F90" s="12" t="s">
        <v>233</v>
      </c>
    </row>
    <row r="91" spans="1:6" ht="16" x14ac:dyDescent="0.45">
      <c r="A91" s="7" t="s">
        <v>234</v>
      </c>
      <c r="B91" s="8"/>
      <c r="C91" s="34">
        <f>C29*(((C34+C25)*C35)+((C36+C25)*C37))</f>
        <v>2241</v>
      </c>
      <c r="D91" s="10" t="s">
        <v>29</v>
      </c>
      <c r="E91" s="11" t="str">
        <f>"=" &amp; C29 &amp; "No × ((20+1)×2 + (19.5+1)×2) = " &amp; TEXT(C91,"#,##0.00") &amp; " m τενόντων"</f>
        <v>=27No × ((20+1)×2 + (19.5+1)×2) = 2,241.00 m τενόντων</v>
      </c>
      <c r="F91" s="12" t="s">
        <v>235</v>
      </c>
    </row>
    <row r="92" spans="1:6" ht="16" x14ac:dyDescent="0.45">
      <c r="A92" s="7" t="s">
        <v>236</v>
      </c>
      <c r="B92" s="8"/>
      <c r="C92" s="34">
        <f>C29*(((C38+C25)*C39)+((C40+C25)*C41))</f>
        <v>3280.5</v>
      </c>
      <c r="D92" s="10" t="s">
        <v>29</v>
      </c>
      <c r="E92" s="11" t="str">
        <f>"=" &amp; C29 &amp; "No × ((20+1)×3 + (18.5+1)×3) = " &amp; TEXT(C92,"#,##0.00") &amp; " m τενόντων"</f>
        <v>=27No × ((20+1)×3 + (18.5+1)×3) = 3,280.50 m τενόντων</v>
      </c>
      <c r="F92" s="12" t="s">
        <v>237</v>
      </c>
    </row>
    <row r="93" spans="1:6" ht="16" x14ac:dyDescent="0.45">
      <c r="A93" s="7" t="s">
        <v>238</v>
      </c>
      <c r="B93" s="8" t="str">
        <f>"ΠΡΟΕΝΤΑΣΗ ΑΓΚΥΡΩΣΕΩΝ (STRESSING &amp; LOCK-OFF) = 4 Σειρές X " &amp; C29 &amp; "No"</f>
        <v>ΠΡΟΕΝΤΑΣΗ ΑΓΚΥΡΩΣΕΩΝ (STRESSING &amp; LOCK-OFF) = 4 Σειρές X 27No</v>
      </c>
      <c r="C93" s="35">
        <f>C29*4</f>
        <v>108</v>
      </c>
      <c r="D93" s="10" t="s">
        <v>92</v>
      </c>
      <c r="E93" s="11" t="str">
        <f>"= 4 σειρές × " &amp; C29 &amp; " πάσσαλοι = " &amp; C93 &amp; " αγκυρώσεις (48×2-strands + 48×3-strands)"</f>
        <v>= 4 σειρές × 27 πάσσαλοι = 108 αγκυρώσεις (48×2-strands + 48×3-strands)</v>
      </c>
      <c r="F93" s="12" t="s">
        <v>239</v>
      </c>
    </row>
    <row r="94" spans="1:6" ht="16" x14ac:dyDescent="0.45">
      <c r="A94" s="17" t="s">
        <v>240</v>
      </c>
      <c r="B94" s="18" t="str">
        <f>"ΚΕΦΑΛΕΣ ΑΓΚΥΡΩΣΗΣ (ANCHOR HEAD, WEDGES, PLATE) = 4 Σειρές X " &amp; C29 &amp; "No"</f>
        <v>ΚΕΦΑΛΕΣ ΑΓΚΥΡΩΣΗΣ (ANCHOR HEAD, WEDGES, PLATE) = 4 Σειρές X 27No</v>
      </c>
      <c r="C94" s="36">
        <f>C93</f>
        <v>108</v>
      </c>
      <c r="D94" s="20" t="s">
        <v>92</v>
      </c>
      <c r="E94" s="21" t="str">
        <f>"=" &amp; C94 &amp; " πλήρη σετ κεφαλών αγκύρωσης (Σειρές 1 έως 4)"</f>
        <v>=108 πλήρη σετ κεφαλών αγκύρωσης (Σειρές 1 έως 4)</v>
      </c>
      <c r="F94" s="22" t="s">
        <v>241</v>
      </c>
    </row>
    <row r="96" spans="1:6" ht="17" x14ac:dyDescent="0.5">
      <c r="A96" s="5" t="s">
        <v>132</v>
      </c>
      <c r="B96" s="6" t="str">
        <f>"BERLIN WALL TYPE B: " &amp; C44 &amp; "No Ζεύγη HEB200, L=" &amp; TEXT(C48,"0.00") &amp; "m για βάθος εκσκαφής " &amp; TEXT(C46,"0.00") &amp; "m και " &amp; TEXT(C45,"0.00") &amp; " τρ.μ."</f>
        <v>BERLIN WALL TYPE B: 74No Ζεύγη HEB200, L=17.00m για βάθος εκσκαφής 15.60m και 111.00 τρ.μ.</v>
      </c>
      <c r="C96" s="30">
        <f>C45</f>
        <v>111</v>
      </c>
      <c r="D96" s="31" t="s">
        <v>97</v>
      </c>
      <c r="E96" s="32" t="str">
        <f>"Περίμετρος Type B = " &amp; C44 &amp; " × " &amp; TEXT(C10,"0.00") &amp; "m = " &amp; TEXT(C45,"0.00") &amp; " m"</f>
        <v>Περίμετρος Type B = 74 × 1.50m = 111.00 m</v>
      </c>
      <c r="F96" s="33" t="s">
        <v>242</v>
      </c>
    </row>
    <row r="97" spans="1:6" ht="16" x14ac:dyDescent="0.45">
      <c r="A97" s="7" t="s">
        <v>243</v>
      </c>
      <c r="B97" s="8" t="str">
        <f>"ΤΡΥΠΗΜΑ Ø800mm = " &amp; C44 &amp; "No X " &amp; TEXT(C48,"0.00") &amp; "m"</f>
        <v>ΤΡΥΠΗΜΑ Ø800mm = 74No X 17.00m</v>
      </c>
      <c r="C97" s="34">
        <f>C44*C48</f>
        <v>1258</v>
      </c>
      <c r="D97" s="10" t="s">
        <v>29</v>
      </c>
      <c r="E97" s="11" t="str">
        <f>"=" &amp; C44 &amp; " πάσσαλοι × " &amp; TEXT(C48,"0.00") &amp; "m = " &amp; TEXT(C97,"#,##0.00") &amp; " m"</f>
        <v>=74 πάσσαλοι × 17.00m = 1,258.00 m</v>
      </c>
      <c r="F97" s="12" t="s">
        <v>244</v>
      </c>
    </row>
    <row r="98" spans="1:6" ht="16" x14ac:dyDescent="0.45">
      <c r="A98" s="7" t="s">
        <v>245</v>
      </c>
      <c r="B98" s="8" t="str">
        <f>"ΜΠΕΤΟΝ ΠΑΚΤΩΣΗΣ C30/37 = " &amp; C44 &amp; "No X " &amp; TEXT(C47,"0.00") &amp; "m X " &amp; TEXT(C74,"0.000") &amp; "m³/m"</f>
        <v>ΜΠΕΤΟΝ ΠΑΚΤΩΣΗΣ C30/37 = 74No X 2.00m X 0.503m³/m</v>
      </c>
      <c r="C98" s="34">
        <f>ROUND(C44*C47*C74, 2)</f>
        <v>74.39</v>
      </c>
      <c r="D98" s="10" t="s">
        <v>212</v>
      </c>
      <c r="E98" s="11" t="str">
        <f>"=" &amp; C44 &amp; " × " &amp; TEXT(C47,"0.00") &amp; "m × " &amp; TEXT(C74,"0.0000") &amp; " = " &amp; TEXT(C98,"#,##0.00") &amp; " m³"</f>
        <v>=74 × 2.00m × 0.5027 = 74.39 m³</v>
      </c>
      <c r="F98" s="12" t="s">
        <v>213</v>
      </c>
    </row>
    <row r="99" spans="1:6" ht="16" x14ac:dyDescent="0.45">
      <c r="A99" s="7" t="s">
        <v>246</v>
      </c>
      <c r="B99" s="8" t="str">
        <f>"HEB200 - ΠΡΟΜΗΘΕΙΑ, ΕΠΕΞΕΡΓΑΣΙΑ &amp; ΤΟΠΟΘΕΤΗΣΗ (" &amp; C44 &amp; "No x 2No x " &amp; TEXT(C48,"0.00") &amp; "m x " &amp; TEXT(C14,"0.0") &amp; "kg/m)"</f>
        <v>HEB200 - ΠΡΟΜΗΘΕΙΑ, ΕΠΕΞΕΡΓΑΣΙΑ &amp; ΤΟΠΟΘΕΤΗΣΗ (74No x 2No x 17.00m x 61.3kg/m)</v>
      </c>
      <c r="C99" s="34">
        <f>ROUND(C44*C12*C48*C14, 2)</f>
        <v>154230.79999999999</v>
      </c>
      <c r="D99" s="10" t="s">
        <v>215</v>
      </c>
      <c r="E99" s="11" t="str">
        <f>"=" &amp; C44 &amp; " × 2 × " &amp; TEXT(C48,"0.00") &amp; "m × " &amp; TEXT(C14,"0.0") &amp; " = " &amp; TEXT(C99,"#,##0.00") &amp; " kg"</f>
        <v>=74 × 2 × 17.00m × 61.3 = 154,230.80 kg</v>
      </c>
      <c r="F99" s="12" t="s">
        <v>247</v>
      </c>
    </row>
    <row r="100" spans="1:6" ht="16" x14ac:dyDescent="0.45">
      <c r="A100" s="7" t="s">
        <v>248</v>
      </c>
      <c r="B100" s="8" t="str">
        <f>"ΛΑΜΕΣ ΣΥΝΔΕΣΗΣ 200x200x10mm = " &amp; C44 &amp; "No x (" &amp; (C48/C15) &amp; "No x " &amp; TEXT(C16,"0.00") &amp; "kg)"</f>
        <v>ΛΑΜΕΣ ΣΥΝΔΕΣΗΣ 200x200x10mm = 74No x (17No x 3.14kg)</v>
      </c>
      <c r="C100" s="34">
        <f>ROUND(C44*(C48/C15)*C16, 2)</f>
        <v>3950.12</v>
      </c>
      <c r="D100" s="10" t="s">
        <v>215</v>
      </c>
      <c r="E100" s="11" t="str">
        <f>"=" &amp; C44 &amp; " × " &amp; (C48/C15) &amp; " λάμες/οπή (1,071 τεμ.) × " &amp; TEXT(C16,"0.00") &amp; " kg"</f>
        <v>=74 × 17 λάμες/οπή (1,071 τεμ.) × 3.14 kg</v>
      </c>
      <c r="F100" s="12" t="s">
        <v>249</v>
      </c>
    </row>
    <row r="101" spans="1:6" ht="16" x14ac:dyDescent="0.45">
      <c r="A101" s="7" t="s">
        <v>250</v>
      </c>
      <c r="B101" s="8" t="str">
        <f>"ΓΩΝΙΕΣ ΣΤΗΡΙΞΗΣ L70x70x6mm = " &amp; C44 &amp; "No x " &amp; TEXT(C46,"0.00") &amp; "m x " &amp; TEXT(C17,"0.00") &amp; "kg/m x 2No"</f>
        <v>ΓΩΝΙΕΣ ΣΤΗΡΙΞΗΣ L70x70x6mm = 74No x 15.60m x 6.38kg/m x 2No</v>
      </c>
      <c r="C101" s="34">
        <f>ROUND(C44*2*C46*C17, 2)</f>
        <v>14730.14</v>
      </c>
      <c r="D101" s="10" t="s">
        <v>215</v>
      </c>
      <c r="E101" s="11" t="str">
        <f>"=" &amp; C44 &amp; " × 2 × " &amp; TEXT(C46,"0.00") &amp; "m (1,965.6m) × " &amp; TEXT(C17,"0.00") &amp; " kg/m"</f>
        <v>=74 × 2 × 15.60m (1,965.6m) × 6.38 kg/m</v>
      </c>
      <c r="F101" s="12" t="s">
        <v>220</v>
      </c>
    </row>
    <row r="102" spans="1:6" ht="16" x14ac:dyDescent="0.45">
      <c r="A102" s="7" t="s">
        <v>251</v>
      </c>
      <c r="B102" s="8" t="str">
        <f>"ΑΓΟΡΑ ΧΑΛΥΒΑ ΣΧΑΡΑΣ #Y8/150 = " &amp; TEXT(C103,"#,##0.00") &amp; "m² x " &amp; TEXT(C75,"0.000") &amp; "kg/m²"</f>
        <v>ΑΓΟΡΑ ΧΑΛΥΒΑ ΣΧΑΡΑΣ #Y8/150 = 1,731.60m² x 5.261kg/m²</v>
      </c>
      <c r="C102" s="34">
        <f>ROUND(C103*C75, 2)</f>
        <v>9109.9500000000007</v>
      </c>
      <c r="D102" s="10" t="s">
        <v>215</v>
      </c>
      <c r="E102" s="11" t="str">
        <f>"=" &amp; TEXT(C103,"#,##0.00") &amp; " m² × " &amp; TEXT(C75,"0.000") &amp; " kg/m² = " &amp; TEXT(C102,"#,##0.00") &amp; " kg"</f>
        <v>=1,731.60 m² × 5.261 kg/m² = 9,109.95 kg</v>
      </c>
      <c r="F102" s="12" t="s">
        <v>252</v>
      </c>
    </row>
    <row r="103" spans="1:6" ht="16" x14ac:dyDescent="0.45">
      <c r="A103" s="7" t="s">
        <v>253</v>
      </c>
      <c r="B103" s="8" t="str">
        <f>"ΤΟΠΟΘΕΤΗΣΗ ΣΧΑΡΑΣ ΜΕΤΩΠΟΥ = " &amp; TEXT(C45,"0.00") &amp; "m X " &amp; TEXT(C46,"0.00") &amp; "m"</f>
        <v>ΤΟΠΟΘΕΤΗΣΗ ΣΧΑΡΑΣ ΜΕΤΩΠΟΥ = 111.00m X 15.60m</v>
      </c>
      <c r="C103" s="34">
        <f>ROUND(C45*C46, 2)</f>
        <v>1731.6</v>
      </c>
      <c r="D103" s="10" t="s">
        <v>224</v>
      </c>
      <c r="E103" s="11" t="str">
        <f>"=" &amp; TEXT(C45,"0.00") &amp; "m × " &amp; TEXT(C46,"0.00") &amp; "m = " &amp; TEXT(C103,"#,##0.00") &amp; " m²"</f>
        <v>=111.00m × 15.60m = 1,731.60 m²</v>
      </c>
      <c r="F103" s="12" t="s">
        <v>254</v>
      </c>
    </row>
    <row r="104" spans="1:6" ht="16" x14ac:dyDescent="0.45">
      <c r="A104" s="7" t="s">
        <v>255</v>
      </c>
      <c r="B104" s="8" t="str">
        <f>"ΑΓΟΡΑ ΣΚΥΡΟΔΕΜΑΤΟΣ SHOTCRETE C30/37 = " &amp; TEXT(C103,"#,##0.00") &amp; "m² x " &amp; TEXT(C21,"0.00") &amp; "m"</f>
        <v>ΑΓΟΡΑ ΣΚΥΡΟΔΕΜΑΤΟΣ SHOTCRETE C30/37 = 1,731.60m² x 0.15m</v>
      </c>
      <c r="C104" s="34">
        <f>ROUND(C103*C21, 2)</f>
        <v>259.74</v>
      </c>
      <c r="D104" s="10" t="s">
        <v>212</v>
      </c>
      <c r="E104" s="11" t="str">
        <f>"=" &amp; TEXT(C103,"#,##0.00") &amp; " m² × " &amp; TEXT(C21,"0.00") &amp; "m = " &amp; TEXT(C104,"#,##0.00") &amp; " m³"</f>
        <v>=1,731.60 m² × 0.15m = 259.74 m³</v>
      </c>
      <c r="F104" s="12" t="s">
        <v>227</v>
      </c>
    </row>
    <row r="105" spans="1:6" ht="16" x14ac:dyDescent="0.45">
      <c r="A105" s="7" t="s">
        <v>256</v>
      </c>
      <c r="B105" s="8" t="str">
        <f>"ΤΟΠΟΘΕΤΗΣΗ / ΕΚΤΟΞΕΥΣΗ SHOTCRETE = " &amp; TEXT(C103,"#,##0.00") &amp; "m² x " &amp; TEXT(C21,"0.00") &amp; "m (με απώλεια +33.3%)"</f>
        <v>ΤΟΠΟΘΕΤΗΣΗ / ΕΚΤΟΞΕΥΣΗ SHOTCRETE = 1,731.60m² x 0.15m (με απώλεια +33.3%)</v>
      </c>
      <c r="C105" s="34">
        <f>C104</f>
        <v>259.74</v>
      </c>
      <c r="D105" s="10" t="s">
        <v>212</v>
      </c>
      <c r="E105" s="11" t="str">
        <f>"Ονομαστικός όγκος " &amp; TEXT(C104,"#,##0.00") &amp; " m³ (η απώλεια +5cm ενσωματώνεται στην τιμή μονάδας)"</f>
        <v>Ονομαστικός όγκος 259.74 m³ (η απώλεια +5cm ενσωματώνεται στην τιμή μονάδας)</v>
      </c>
      <c r="F105" s="12" t="s">
        <v>257</v>
      </c>
    </row>
    <row r="106" spans="1:6" ht="16" x14ac:dyDescent="0.45">
      <c r="A106" s="7" t="s">
        <v>258</v>
      </c>
      <c r="B106" s="8" t="str">
        <f>"ΔΙΑΤΡΗΣΗ ΑΓΚΥΡΩΣΕΩΝ Ø120mm (4 Σειρές: L1=" &amp; C49 &amp; "m, L2=" &amp; C51 &amp; "m, L3=" &amp; C53 &amp; "m, L4=" &amp; C55 &amp; "m)"</f>
        <v>ΔΙΑΤΡΗΣΗ ΑΓΚΥΡΩΣΕΩΝ Ø120mm (4 Σειρές: L1=20m, L2=19.5m, L3=19.5m, L4=16m)</v>
      </c>
      <c r="C106" s="34">
        <f>C44*(C49+C51+C53+C55)</f>
        <v>5550</v>
      </c>
      <c r="D106" s="10" t="s">
        <v>29</v>
      </c>
      <c r="E106" s="11" t="str">
        <f>"=" &amp; C44 &amp; "No × (" &amp; C49 &amp; "+" &amp; C51 &amp; "+" &amp; C53 &amp; "+" &amp; C55 &amp; "m) = " &amp; TEXT(C106,"#,##0.00") &amp; " m"</f>
        <v>=74No × (20+19.5+19.5+16m) = 5,550.00 m</v>
      </c>
      <c r="F106" s="12" t="s">
        <v>259</v>
      </c>
    </row>
    <row r="107" spans="1:6" ht="16" x14ac:dyDescent="0.45">
      <c r="A107" s="7" t="s">
        <v>260</v>
      </c>
      <c r="B107" s="8" t="str">
        <f>"GROUT ΤΣΙΜΕΝΤΕΝΕΜΑ ΑΓΚΥΡΩΣΕΩΝ (με απώλεια 1.20) = " &amp; TEXT(C106,"#,##0.00") &amp; "m x " &amp; TEXT(C76,"0.0000") &amp; "m³/m"</f>
        <v>GROUT ΤΣΙΜΕΝΤΕΝΕΜΑ ΑΓΚΥΡΩΣΕΩΝ (με απώλεια 1.20) = 5,550.00m x 0.0136m³/m</v>
      </c>
      <c r="C107" s="34">
        <f>ROUND(C106*C76, 2)</f>
        <v>75.319999999999993</v>
      </c>
      <c r="D107" s="10" t="s">
        <v>212</v>
      </c>
      <c r="E107" s="11" t="str">
        <f>"=" &amp; TEXT(C106,"#,##0.00") &amp; "m × " &amp; TEXT(C76,"0.000000") &amp; " m³/m = " &amp; TEXT(C107,"#,##0.00") &amp; " m³"</f>
        <v>=5,550.00m × 0.013572 m³/m = 75.32 m³</v>
      </c>
      <c r="F107" s="12" t="s">
        <v>261</v>
      </c>
    </row>
    <row r="108" spans="1:6" ht="16" x14ac:dyDescent="0.45">
      <c r="A108" s="7" t="s">
        <v>262</v>
      </c>
      <c r="B108" s="8"/>
      <c r="C108" s="34">
        <f>C44*(((C49+C25)*C50)+((C51+C25)*C52))</f>
        <v>6142</v>
      </c>
      <c r="D108" s="10" t="s">
        <v>29</v>
      </c>
      <c r="E108" s="11" t="str">
        <f>"=" &amp; C44 &amp; "No × ((20+1)×2 + (19.5+1)×2) = " &amp; TEXT(C108,"#,##0.00") &amp; " m τενόντων"</f>
        <v>=74No × ((20+1)×2 + (19.5+1)×2) = 6,142.00 m τενόντων</v>
      </c>
      <c r="F108" s="12" t="s">
        <v>263</v>
      </c>
    </row>
    <row r="109" spans="1:6" ht="16" x14ac:dyDescent="0.45">
      <c r="A109" s="7" t="s">
        <v>264</v>
      </c>
      <c r="B109" s="8"/>
      <c r="C109" s="34">
        <f>C44*(((C53+C25)*C54)+((C55+C25)*C56))</f>
        <v>8325</v>
      </c>
      <c r="D109" s="10" t="s">
        <v>29</v>
      </c>
      <c r="E109" s="11" t="str">
        <f>"=" &amp; C44 &amp; "No × ((19.5+1)×3 + (16+1)×3) = " &amp; TEXT(C109,"#,##0.00") &amp; " m τενόντων"</f>
        <v>=74No × ((19.5+1)×3 + (16+1)×3) = 8,325.00 m τενόντων</v>
      </c>
      <c r="F109" s="12" t="s">
        <v>265</v>
      </c>
    </row>
    <row r="110" spans="1:6" ht="16" x14ac:dyDescent="0.45">
      <c r="A110" s="7" t="s">
        <v>266</v>
      </c>
      <c r="B110" s="8" t="str">
        <f>"ΠΡΟΕΝΤΑΣΗ ΑΓΚΥΡΩΣΕΩΝ (STRESSING &amp; LOCK-OFF) = 4 Σειρές X " &amp; C44 &amp; "No"</f>
        <v>ΠΡΟΕΝΤΑΣΗ ΑΓΚΥΡΩΣΕΩΝ (STRESSING &amp; LOCK-OFF) = 4 Σειρές X 74No</v>
      </c>
      <c r="C110" s="35">
        <f>C44*4</f>
        <v>296</v>
      </c>
      <c r="D110" s="10" t="s">
        <v>92</v>
      </c>
      <c r="E110" s="11" t="str">
        <f>"= 4 σειρές × " &amp; C44 &amp; " πάσσαλοι = " &amp; C110 &amp; " αγκυρώσεις (126×2-strands + 126×3-strands)"</f>
        <v>= 4 σειρές × 74 πάσσαλοι = 296 αγκυρώσεις (126×2-strands + 126×3-strands)</v>
      </c>
      <c r="F110" s="12" t="s">
        <v>267</v>
      </c>
    </row>
    <row r="111" spans="1:6" ht="16" x14ac:dyDescent="0.45">
      <c r="A111" s="17" t="s">
        <v>268</v>
      </c>
      <c r="B111" s="18" t="str">
        <f>"ΚΕΦΑΛΕΣ ΑΓΚΥΡΩΣΗΣ (ANCHOR HEAD, WEDGES, PLATE) = 4 Σειρές X " &amp; C44 &amp; "No"</f>
        <v>ΚΕΦΑΛΕΣ ΑΓΚΥΡΩΣΗΣ (ANCHOR HEAD, WEDGES, PLATE) = 4 Σειρές X 74No</v>
      </c>
      <c r="C111" s="36">
        <f>C110</f>
        <v>296</v>
      </c>
      <c r="D111" s="20" t="s">
        <v>92</v>
      </c>
      <c r="E111" s="21" t="str">
        <f>"=" &amp; C111 &amp; " πλήρη σετ κεφαλών αγκύρωσης (Σειρές 1 έως 4)"</f>
        <v>=296 πλήρη σετ κεφαλών αγκύρωσης (Σειρές 1 έως 4)</v>
      </c>
      <c r="F111" s="22" t="s">
        <v>269</v>
      </c>
    </row>
    <row r="113" spans="1:6" ht="17" x14ac:dyDescent="0.5">
      <c r="A113" s="5" t="s">
        <v>162</v>
      </c>
      <c r="B113" s="6" t="str">
        <f>"BERLIN WALL TYPE C: " &amp; C59 &amp; "No Ζεύγη HEB200, L=" &amp; TEXT(C63,"0.00") &amp; "m για βάθος εκσκαφής " &amp; TEXT(C61,"0.00") &amp; "m και " &amp; TEXT(C60,"0.00") &amp; " τρ.μ."</f>
        <v>BERLIN WALL TYPE C: 15No Ζεύγη HEB200, L=13.00m για βάθος εκσκαφής 11.10m και 22.50 τρ.μ.</v>
      </c>
      <c r="C113" s="30">
        <f>C60</f>
        <v>22.5</v>
      </c>
      <c r="D113" s="31" t="s">
        <v>97</v>
      </c>
      <c r="E113" s="32" t="str">
        <f>"Περίμετρος Type C = " &amp; C59 &amp; " × " &amp; TEXT(C10,"0.00") &amp; "m = " &amp; TEXT(C60,"0.00") &amp; " m"</f>
        <v>Περίμετρος Type C = 15 × 1.50m = 22.50 m</v>
      </c>
      <c r="F113" s="33" t="s">
        <v>270</v>
      </c>
    </row>
    <row r="114" spans="1:6" ht="16" x14ac:dyDescent="0.45">
      <c r="A114" s="7" t="s">
        <v>271</v>
      </c>
      <c r="B114" s="8" t="str">
        <f>"ΤΡΥΠΗΜΑ Ø800mm = " &amp; C59 &amp; "No X " &amp; TEXT(C63,"0.00") &amp; "m"</f>
        <v>ΤΡΥΠΗΜΑ Ø800mm = 15No X 13.00m</v>
      </c>
      <c r="C114" s="34">
        <f>C59*C63</f>
        <v>195</v>
      </c>
      <c r="D114" s="10" t="s">
        <v>29</v>
      </c>
      <c r="E114" s="11" t="str">
        <f>"=" &amp; C59 &amp; " πάσσαλοι × " &amp; TEXT(C63,"0.00") &amp; "m = " &amp; TEXT(C114,"#,##0.00") &amp; " m"</f>
        <v>=15 πάσσαλοι × 13.00m = 195.00 m</v>
      </c>
      <c r="F114" s="12" t="s">
        <v>272</v>
      </c>
    </row>
    <row r="115" spans="1:6" ht="16" x14ac:dyDescent="0.45">
      <c r="A115" s="7" t="s">
        <v>273</v>
      </c>
      <c r="B115" s="8" t="str">
        <f>"ΜΠΕΤΟΝ ΠΑΚΤΩΣΗΣ C30/37 = " &amp; C59 &amp; "No X " &amp; TEXT(C62,"0.00") &amp; "m X " &amp; TEXT(C74,"0.000") &amp; "m³/m"</f>
        <v>ΜΠΕΤΟΝ ΠΑΚΤΩΣΗΣ C30/37 = 15No X 2.00m X 0.503m³/m</v>
      </c>
      <c r="C115" s="34">
        <f>ROUND(C59*C62*C74, 2)</f>
        <v>15.08</v>
      </c>
      <c r="D115" s="10" t="s">
        <v>212</v>
      </c>
      <c r="E115" s="11" t="str">
        <f>"=" &amp; C59 &amp; " × " &amp; TEXT(C62,"0.00") &amp; "m × " &amp; TEXT(C74,"0.0000") &amp; " = " &amp; TEXT(C115,"#,##0.00") &amp; " m³"</f>
        <v>=15 × 2.00m × 0.5027 = 15.08 m³</v>
      </c>
      <c r="F115" s="12" t="s">
        <v>213</v>
      </c>
    </row>
    <row r="116" spans="1:6" ht="16" x14ac:dyDescent="0.45">
      <c r="A116" s="7" t="s">
        <v>274</v>
      </c>
      <c r="B116" s="8" t="str">
        <f>"HEB200 - ΠΡΟΜΗΘΕΙΑ, ΕΠΕΞΕΡΓΑΣΙΑ &amp; ΤΟΠΟΘΕΤΗΣΗ (" &amp; C59 &amp; "No x 2No x " &amp; TEXT(C63,"0.00") &amp; "m x " &amp; TEXT(C14,"0.0") &amp; "kg/m)"</f>
        <v>HEB200 - ΠΡΟΜΗΘΕΙΑ, ΕΠΕΞΕΡΓΑΣΙΑ &amp; ΤΟΠΟΘΕΤΗΣΗ (15No x 2No x 13.00m x 61.3kg/m)</v>
      </c>
      <c r="C116" s="34">
        <f>ROUND(C59*C12*C63*C14, 2)</f>
        <v>23907</v>
      </c>
      <c r="D116" s="10" t="s">
        <v>215</v>
      </c>
      <c r="E116" s="11" t="str">
        <f>"=" &amp; C59 &amp; " × 2 × " &amp; TEXT(C63,"0.00") &amp; "m × " &amp; TEXT(C14,"0.0") &amp; " = " &amp; TEXT(C116,"#,##0.00") &amp; " kg"</f>
        <v>=15 × 2 × 13.00m × 61.3 = 23,907.00 kg</v>
      </c>
      <c r="F116" s="12" t="s">
        <v>275</v>
      </c>
    </row>
    <row r="117" spans="1:6" ht="16" x14ac:dyDescent="0.45">
      <c r="A117" s="7" t="s">
        <v>276</v>
      </c>
      <c r="B117" s="8" t="str">
        <f>"ΛΑΜΕΣ ΣΥΝΔΕΣΗΣ 200x200x10mm = " &amp; C59 &amp; "No x (" &amp; (C63/C15) &amp; "No x " &amp; TEXT(C16,"0.00") &amp; "kg)"</f>
        <v>ΛΑΜΕΣ ΣΥΝΔΕΣΗΣ 200x200x10mm = 15No x (13No x 3.14kg)</v>
      </c>
      <c r="C117" s="34">
        <f>ROUND(C59*(C63/C15)*C16, 2)</f>
        <v>612.29999999999995</v>
      </c>
      <c r="D117" s="10" t="s">
        <v>215</v>
      </c>
      <c r="E117" s="11" t="str">
        <f>"=" &amp; C59 &amp; " × " &amp; (C63/C15) &amp; " λάμες/οπή (143 τεμ.) × " &amp; TEXT(C16,"0.00") &amp; " kg"</f>
        <v>=15 × 13 λάμες/οπή (143 τεμ.) × 3.14 kg</v>
      </c>
      <c r="F117" s="12" t="s">
        <v>277</v>
      </c>
    </row>
    <row r="118" spans="1:6" ht="16" x14ac:dyDescent="0.45">
      <c r="A118" s="7" t="s">
        <v>278</v>
      </c>
      <c r="B118" s="8" t="str">
        <f>"ΓΩΝΙΕΣ ΣΤΗΡΙΞΗΣ L70x70x6mm = " &amp; C59 &amp; "No x " &amp; TEXT(C61,"0.00") &amp; "m x " &amp; TEXT(C17,"0.00") &amp; "kg/m x 2No"</f>
        <v>ΓΩΝΙΕΣ ΣΤΗΡΙΞΗΣ L70x70x6mm = 15No x 11.10m x 6.38kg/m x 2No</v>
      </c>
      <c r="C118" s="34">
        <f>ROUND(C59*2*C61*C17, 2)</f>
        <v>2124.54</v>
      </c>
      <c r="D118" s="10" t="s">
        <v>215</v>
      </c>
      <c r="E118" s="11" t="str">
        <f>"=" &amp; C59 &amp; " × 2 × " &amp; TEXT(C61,"0.00") &amp; "m (244.2m) × " &amp; TEXT(C17,"0.00") &amp; " kg/m"</f>
        <v>=15 × 2 × 11.10m (244.2m) × 6.38 kg/m</v>
      </c>
      <c r="F118" s="12" t="s">
        <v>220</v>
      </c>
    </row>
    <row r="119" spans="1:6" ht="16" x14ac:dyDescent="0.45">
      <c r="A119" s="7" t="s">
        <v>279</v>
      </c>
      <c r="B119" s="8" t="str">
        <f>"ΑΓΟΡΑ ΧΑΛΥΒΑ ΣΧΑΡΑΣ #Y8/150 = " &amp; TEXT(C120,"#,##0.00") &amp; "m² x " &amp; TEXT(C75,"0.000") &amp; "kg/m²"</f>
        <v>ΑΓΟΡΑ ΧΑΛΥΒΑ ΣΧΑΡΑΣ #Y8/150 = 249.75m² x 5.261kg/m²</v>
      </c>
      <c r="C119" s="34">
        <f>ROUND(C120*C75, 2)</f>
        <v>1313.93</v>
      </c>
      <c r="D119" s="10" t="s">
        <v>215</v>
      </c>
      <c r="E119" s="11" t="str">
        <f>"=" &amp; TEXT(C120,"#,##0.00") &amp; " m² × " &amp; TEXT(C75,"0.000") &amp; " kg/m² = " &amp; TEXT(C119,"#,##0.00") &amp; " kg"</f>
        <v>=249.75 m² × 5.261 kg/m² = 1,313.93 kg</v>
      </c>
      <c r="F119" s="12" t="s">
        <v>280</v>
      </c>
    </row>
    <row r="120" spans="1:6" ht="16" x14ac:dyDescent="0.45">
      <c r="A120" s="7" t="s">
        <v>281</v>
      </c>
      <c r="B120" s="8" t="str">
        <f>"ΤΟΠΟΘΕΤΗΣΗ ΣΧΑΡΑΣ ΜΕΤΩΠΟΥ = " &amp; TEXT(C60,"0.00") &amp; "m X " &amp; TEXT(C61,"0.00") &amp; "m"</f>
        <v>ΤΟΠΟΘΕΤΗΣΗ ΣΧΑΡΑΣ ΜΕΤΩΠΟΥ = 22.50m X 11.10m</v>
      </c>
      <c r="C120" s="34">
        <f>ROUND(C60*C61, 2)</f>
        <v>249.75</v>
      </c>
      <c r="D120" s="10" t="s">
        <v>224</v>
      </c>
      <c r="E120" s="11" t="str">
        <f>"=" &amp; TEXT(C60,"0.00") &amp; "m × " &amp; TEXT(C61,"0.00") &amp; "m = " &amp; TEXT(C120,"#,##0.00") &amp; " m²"</f>
        <v>=22.50m × 11.10m = 249.75 m²</v>
      </c>
      <c r="F120" s="12" t="s">
        <v>282</v>
      </c>
    </row>
    <row r="121" spans="1:6" ht="16" x14ac:dyDescent="0.45">
      <c r="A121" s="7" t="s">
        <v>283</v>
      </c>
      <c r="B121" s="8" t="str">
        <f>"ΑΓΟΡΑ ΣΚΥΡΟΔΕΜΑΤΟΣ SHOTCRETE C30/37 = " &amp; TEXT(C120,"#,##0.00") &amp; "m² x " &amp; TEXT(C21,"0.00") &amp; "m"</f>
        <v>ΑΓΟΡΑ ΣΚΥΡΟΔΕΜΑΤΟΣ SHOTCRETE C30/37 = 249.75m² x 0.15m</v>
      </c>
      <c r="C121" s="34">
        <f>ROUND(C120*C21, 2)</f>
        <v>37.46</v>
      </c>
      <c r="D121" s="10" t="s">
        <v>212</v>
      </c>
      <c r="E121" s="11" t="str">
        <f>"=" &amp; TEXT(C120,"#,##0.00") &amp; " m² × " &amp; TEXT(C21,"0.00") &amp; "m = " &amp; TEXT(C121,"#,##0.00") &amp; " m³"</f>
        <v>=249.75 m² × 0.15m = 37.46 m³</v>
      </c>
      <c r="F121" s="12" t="s">
        <v>227</v>
      </c>
    </row>
    <row r="122" spans="1:6" ht="16" x14ac:dyDescent="0.45">
      <c r="A122" s="7" t="s">
        <v>284</v>
      </c>
      <c r="B122" s="8" t="str">
        <f>"ΤΟΠΟΘΕΤΗΣΗ / ΕΚΤΟΞΕΥΣΗ SHOTCRETE = " &amp; TEXT(C120,"#,##0.00") &amp; "m² x " &amp; TEXT(C21,"0.00") &amp; "m (με απώλεια +33.3%)"</f>
        <v>ΤΟΠΟΘΕΤΗΣΗ / ΕΚΤΟΞΕΥΣΗ SHOTCRETE = 249.75m² x 0.15m (με απώλεια +33.3%)</v>
      </c>
      <c r="C122" s="34">
        <f>C121</f>
        <v>37.46</v>
      </c>
      <c r="D122" s="10" t="s">
        <v>212</v>
      </c>
      <c r="E122" s="11" t="str">
        <f>"Ονομαστικός όγκος " &amp; TEXT(C121,"#,##0.00") &amp; " m³ (η απώλεια +5cm ενσωματώνεται στην τιμή μονάδας)"</f>
        <v>Ονομαστικός όγκος 37.46 m³ (η απώλεια +5cm ενσωματώνεται στην τιμή μονάδας)</v>
      </c>
      <c r="F122" s="12" t="s">
        <v>285</v>
      </c>
    </row>
    <row r="123" spans="1:6" ht="16" x14ac:dyDescent="0.45">
      <c r="A123" s="7" t="s">
        <v>286</v>
      </c>
      <c r="B123" s="8" t="str">
        <f>"ΔΙΑΤΡΗΣΗ ΑΓΚΥΡΩΣΕΩΝ Ø120mm (3 Σειρές: L1=" &amp; C64 &amp; "m, L2=" &amp; C66 &amp; "m, L3=" &amp; C68 &amp; "m)"</f>
        <v>ΔΙΑΤΡΗΣΗ ΑΓΚΥΡΩΣΕΩΝ Ø120mm (3 Σειρές: L1=19m, L2=17m, L3=16m)</v>
      </c>
      <c r="C123" s="34">
        <f>C59*(C64+C66+C68)</f>
        <v>780</v>
      </c>
      <c r="D123" s="10" t="s">
        <v>29</v>
      </c>
      <c r="E123" s="11" t="str">
        <f>"=" &amp; C59 &amp; "No × (" &amp; C64 &amp; "+" &amp; C66 &amp; "+" &amp; C68 &amp; "m) = " &amp; TEXT(C123,"#,##0.00") &amp; " m"</f>
        <v>=15No × (19+17+16m) = 780.00 m</v>
      </c>
      <c r="F123" s="12" t="s">
        <v>287</v>
      </c>
    </row>
    <row r="124" spans="1:6" ht="16" x14ac:dyDescent="0.45">
      <c r="A124" s="7" t="s">
        <v>288</v>
      </c>
      <c r="B124" s="8" t="str">
        <f>"GROUT ΤΣΙΜΕΝΤΕΝΕΜΑ ΑΓΚΥΡΩΣΕΩΝ (με απώλεια 1.20) = " &amp; TEXT(C123,"#,##0.00") &amp; "m x " &amp; TEXT(C76,"0.0000") &amp; "m³/m"</f>
        <v>GROUT ΤΣΙΜΕΝΤΕΝΕΜΑ ΑΓΚΥΡΩΣΕΩΝ (με απώλεια 1.20) = 780.00m x 0.0136m³/m</v>
      </c>
      <c r="C124" s="34">
        <f>ROUND(C123*C76, 2)</f>
        <v>10.59</v>
      </c>
      <c r="D124" s="10" t="s">
        <v>212</v>
      </c>
      <c r="E124" s="11" t="str">
        <f>"=" &amp; TEXT(C123,"#,##0.00") &amp; "m × " &amp; TEXT(C76,"0.000000") &amp; " m³/m = " &amp; TEXT(C124,"#,##0.00") &amp; " m³"</f>
        <v>=780.00m × 0.013572 m³/m = 10.59 m³</v>
      </c>
      <c r="F124" s="12" t="s">
        <v>289</v>
      </c>
    </row>
    <row r="125" spans="1:6" ht="16" x14ac:dyDescent="0.45">
      <c r="A125" s="7" t="s">
        <v>290</v>
      </c>
      <c r="B125" s="8"/>
      <c r="C125" s="34">
        <f>C59*(((C64+C25)*C65)+((C66+C25)*C67)+((C68+C25)*C69))</f>
        <v>2475</v>
      </c>
      <c r="D125" s="10" t="s">
        <v>29</v>
      </c>
      <c r="E125" s="11" t="str">
        <f>"=" &amp; C59 &amp; "No × ((19+1)×3 + (17+1)×3 + (16+1)×3) = " &amp; TEXT(C125,"#,##0.00") &amp; " m"</f>
        <v>=15No × ((19+1)×3 + (17+1)×3 + (16+1)×3) = 2,475.00 m</v>
      </c>
      <c r="F125" s="12" t="s">
        <v>291</v>
      </c>
    </row>
    <row r="126" spans="1:6" ht="16" x14ac:dyDescent="0.45">
      <c r="A126" s="7" t="s">
        <v>292</v>
      </c>
      <c r="B126" s="8" t="str">
        <f>"ΠΡΟΕΝΤΑΣΗ ΑΓΚΥΡΩΣΕΩΝ (STRESSING &amp; LOCK-OFF) = 3 Σειρές X " &amp; C59 &amp; "No"</f>
        <v>ΠΡΟΕΝΤΑΣΗ ΑΓΚΥΡΩΣΕΩΝ (STRESSING &amp; LOCK-OFF) = 3 Σειρές X 15No</v>
      </c>
      <c r="C126" s="35">
        <f>C59*3</f>
        <v>45</v>
      </c>
      <c r="D126" s="10" t="s">
        <v>92</v>
      </c>
      <c r="E126" s="11" t="str">
        <f>"= 3 σειρές × " &amp; C59 &amp; " πάσσαλοι = " &amp; C126 &amp; " αγκυρώσεις (όλες 3-strands)"</f>
        <v>= 3 σειρές × 15 πάσσαλοι = 45 αγκυρώσεις (όλες 3-strands)</v>
      </c>
      <c r="F126" s="12" t="s">
        <v>293</v>
      </c>
    </row>
    <row r="127" spans="1:6" ht="16" x14ac:dyDescent="0.45">
      <c r="A127" s="17" t="s">
        <v>294</v>
      </c>
      <c r="B127" s="18" t="str">
        <f>"ΚΕΦΑΛΕΣ ΑΓΚΥΡΩΣΗΣ (ANCHOR HEAD, WEDGES, PLATE) = 3 Σειρές X " &amp; C59 &amp; "No"</f>
        <v>ΚΕΦΑΛΕΣ ΑΓΚΥΡΩΣΗΣ (ANCHOR HEAD, WEDGES, PLATE) = 3 Σειρές X 15No</v>
      </c>
      <c r="C127" s="36">
        <f>C126</f>
        <v>45</v>
      </c>
      <c r="D127" s="20" t="s">
        <v>92</v>
      </c>
      <c r="E127" s="21" t="str">
        <f>"=" &amp; C127 &amp; " πλήρη σετ κεφαλών αγκύρωσης (Σειρές 1 έως 3)"</f>
        <v>=45 πλήρη σετ κεφαλών αγκύρωσης (Σειρές 1 έως 3)</v>
      </c>
      <c r="F127" s="22" t="s">
        <v>295</v>
      </c>
    </row>
    <row r="129" spans="1:6" ht="17" x14ac:dyDescent="0.45">
      <c r="A129" s="37" t="s">
        <v>296</v>
      </c>
      <c r="B129" s="100" t="s">
        <v>297</v>
      </c>
      <c r="C129" s="101"/>
      <c r="D129" s="101"/>
      <c r="E129" s="101"/>
      <c r="F129" s="102"/>
    </row>
    <row r="130" spans="1:6" ht="16" x14ac:dyDescent="0.45">
      <c r="A130" s="7" t="s">
        <v>298</v>
      </c>
      <c r="B130" s="8" t="s">
        <v>299</v>
      </c>
      <c r="C130" s="38">
        <v>1</v>
      </c>
      <c r="D130" s="10" t="s">
        <v>300</v>
      </c>
      <c r="E130" s="11" t="str">
        <f>"1 στράτα (πάγια μετακίνηση έναρξης)"</f>
        <v>1 στράτα (πάγια μετακίνηση έναρξης)</v>
      </c>
      <c r="F130" s="12" t="s">
        <v>301</v>
      </c>
    </row>
    <row r="131" spans="1:6" ht="16" x14ac:dyDescent="0.45">
      <c r="A131" s="7" t="s">
        <v>302</v>
      </c>
      <c r="B131" s="8" t="s">
        <v>303</v>
      </c>
      <c r="C131" s="38">
        <f>C9</f>
        <v>4</v>
      </c>
      <c r="D131" s="10" t="s">
        <v>300</v>
      </c>
      <c r="E131" s="11" t="str">
        <f>"=" &amp; C9 &amp; " στράτες (4 στάθμες αγκυρώσεων)"</f>
        <v>=4 στράτες (4 στάθμες αγκυρώσεων)</v>
      </c>
      <c r="F131" s="12" t="s">
        <v>301</v>
      </c>
    </row>
    <row r="132" spans="1:6" ht="16" x14ac:dyDescent="0.45">
      <c r="A132" s="7" t="s">
        <v>304</v>
      </c>
      <c r="B132" s="8" t="s">
        <v>305</v>
      </c>
      <c r="C132" s="38">
        <f>C9+1</f>
        <v>5</v>
      </c>
      <c r="D132" s="10" t="s">
        <v>300</v>
      </c>
      <c r="E132" s="11" t="str">
        <f>"=" &amp; C9 &amp; " + 1 = " &amp; (C9+1) &amp; " στράτες"</f>
        <v>=4 + 1 = 5 στράτες</v>
      </c>
      <c r="F132" s="12" t="s">
        <v>301</v>
      </c>
    </row>
    <row r="133" spans="1:6" ht="16.5" x14ac:dyDescent="0.45">
      <c r="A133" s="7" t="s">
        <v>306</v>
      </c>
      <c r="B133" s="39" t="s">
        <v>307</v>
      </c>
      <c r="C133" s="40">
        <f>C29+C44+C59</f>
        <v>116</v>
      </c>
      <c r="D133" s="10" t="s">
        <v>92</v>
      </c>
      <c r="E133" s="11" t="str">
        <f>"Type A (" &amp; C29 &amp; ") + Type B (" &amp; C44 &amp; ") + Type C (" &amp; C59 &amp; ") = " &amp; C133 &amp; " No"</f>
        <v>Type A (27) + Type B (74) + Type C (15) = 116 No</v>
      </c>
      <c r="F133" s="12" t="s">
        <v>308</v>
      </c>
    </row>
    <row r="134" spans="1:6" ht="16.5" x14ac:dyDescent="0.45">
      <c r="A134" s="7" t="s">
        <v>309</v>
      </c>
      <c r="B134" s="39" t="s">
        <v>310</v>
      </c>
      <c r="C134" s="41">
        <f>C30+C45+C60</f>
        <v>174</v>
      </c>
      <c r="D134" s="10" t="s">
        <v>97</v>
      </c>
      <c r="E134" s="11" t="str">
        <f>"Type A (" &amp; TEXT(C30,"0.00") &amp; "m) + Type B (" &amp; TEXT(C45,"0.00") &amp; "m) + Type C (" &amp; TEXT(C60,"0.00") &amp; "m)"</f>
        <v>Type A (40.50m) + Type B (111.00m) + Type C (22.50m)</v>
      </c>
      <c r="F134" s="12" t="s">
        <v>311</v>
      </c>
    </row>
    <row r="135" spans="1:6" ht="16.5" x14ac:dyDescent="0.45">
      <c r="A135" s="7" t="s">
        <v>312</v>
      </c>
      <c r="B135" s="39" t="s">
        <v>313</v>
      </c>
      <c r="C135" s="41">
        <f>C86+C103+C120</f>
        <v>2669.85</v>
      </c>
      <c r="D135" s="10" t="s">
        <v>224</v>
      </c>
      <c r="E135" s="11" t="str">
        <f>"Type A (" &amp; TEXT(C86,"0.00") &amp; ") + Type B (" &amp; TEXT(C103,"0.00") &amp; ") + Type C (" &amp; TEXT(C120,"0.00") &amp; ")"</f>
        <v>Type A (688.50) + Type B (1731.60) + Type C (249.75)</v>
      </c>
      <c r="F135" s="12" t="s">
        <v>314</v>
      </c>
    </row>
    <row r="136" spans="1:6" ht="16.5" x14ac:dyDescent="0.45">
      <c r="A136" s="7" t="s">
        <v>315</v>
      </c>
      <c r="B136" s="39" t="s">
        <v>316</v>
      </c>
      <c r="C136" s="41">
        <f>C80+C97+C114</f>
        <v>1952.5</v>
      </c>
      <c r="D136" s="10" t="s">
        <v>29</v>
      </c>
      <c r="E136" s="11" t="str">
        <f>"Type A (" &amp; C80 &amp; "m) + Type B (" &amp; C97 &amp; "m) + Type C (" &amp; C114 &amp; "m)"</f>
        <v>Type A (499.5m) + Type B (1258m) + Type C (195m)</v>
      </c>
      <c r="F136" s="12" t="s">
        <v>317</v>
      </c>
    </row>
    <row r="137" spans="1:6" ht="16.5" x14ac:dyDescent="0.45">
      <c r="A137" s="7" t="s">
        <v>318</v>
      </c>
      <c r="B137" s="39" t="s">
        <v>319</v>
      </c>
      <c r="C137" s="41">
        <f>C81+C98+C115</f>
        <v>109.83</v>
      </c>
      <c r="D137" s="10" t="s">
        <v>212</v>
      </c>
      <c r="E137" s="11" t="str">
        <f>"Type A (" &amp; C81 &amp; ") + Type B (" &amp; C98 &amp; ") + Type C (" &amp; C115 &amp; ")"</f>
        <v>Type A (20.36) + Type B (74.39) + Type C (15.08)</v>
      </c>
      <c r="F137" s="12" t="s">
        <v>320</v>
      </c>
    </row>
    <row r="138" spans="1:6" ht="16.5" x14ac:dyDescent="0.45">
      <c r="A138" s="7" t="s">
        <v>321</v>
      </c>
      <c r="B138" s="39" t="s">
        <v>322</v>
      </c>
      <c r="C138" s="41">
        <f>C82</f>
        <v>71428.5</v>
      </c>
      <c r="D138" s="10" t="s">
        <v>215</v>
      </c>
      <c r="E138" s="11" t="str">
        <f>"Type A (24No × 2 × 19.0m × 71.5 kg/m) = " &amp; TEXT(C138,"#,##0.00") &amp; " kg"</f>
        <v>Type A (24No × 2 × 19.0m × 71.5 kg/m) = 71,428.50 kg</v>
      </c>
      <c r="F138" s="12" t="s">
        <v>323</v>
      </c>
    </row>
    <row r="139" spans="1:6" ht="16.5" x14ac:dyDescent="0.45">
      <c r="A139" s="7" t="s">
        <v>324</v>
      </c>
      <c r="B139" s="39" t="s">
        <v>325</v>
      </c>
      <c r="C139" s="41">
        <f>C99+C116</f>
        <v>178137.8</v>
      </c>
      <c r="D139" s="10" t="s">
        <v>215</v>
      </c>
      <c r="E139" s="11" t="str">
        <f>"Type B (" &amp; TEXT(C99,"#,##0.00") &amp; " kg) + Type C (" &amp; TEXT(C116,"#,##0.00") &amp; " kg)"</f>
        <v>Type B (154,230.80 kg) + Type C (23,907.00 kg)</v>
      </c>
      <c r="F139" s="12" t="s">
        <v>326</v>
      </c>
    </row>
    <row r="140" spans="1:6" ht="16.5" x14ac:dyDescent="0.45">
      <c r="A140" s="7" t="s">
        <v>327</v>
      </c>
      <c r="B140" s="39" t="s">
        <v>328</v>
      </c>
      <c r="C140" s="41">
        <f>C83+C100+C117</f>
        <v>6130.85</v>
      </c>
      <c r="D140" s="10" t="s">
        <v>215</v>
      </c>
      <c r="E140" s="11" t="str">
        <f>"Type A (" &amp; C83 &amp; ") + Type B (" &amp; C100 &amp; ") + Type C (" &amp; C117 &amp; ")"</f>
        <v>Type A (1568.43) + Type B (3950.12) + Type C (612.3)</v>
      </c>
      <c r="F140" s="12" t="s">
        <v>329</v>
      </c>
    </row>
    <row r="141" spans="1:6" ht="16.5" x14ac:dyDescent="0.45">
      <c r="A141" s="7" t="s">
        <v>330</v>
      </c>
      <c r="B141" s="39" t="s">
        <v>331</v>
      </c>
      <c r="C141" s="41">
        <f>C84+C101+C118</f>
        <v>22711.52</v>
      </c>
      <c r="D141" s="10" t="s">
        <v>215</v>
      </c>
      <c r="E141" s="11" t="str">
        <f>"Type A (" &amp; C84 &amp; ") + Type B (" &amp; C101 &amp; ") + Type C (" &amp; C118 &amp; ")"</f>
        <v>Type A (5856.84) + Type B (14730.14) + Type C (2124.54)</v>
      </c>
      <c r="F141" s="12" t="s">
        <v>332</v>
      </c>
    </row>
    <row r="142" spans="1:6" ht="16.5" x14ac:dyDescent="0.45">
      <c r="A142" s="7" t="s">
        <v>333</v>
      </c>
      <c r="B142" s="39" t="s">
        <v>334</v>
      </c>
      <c r="C142" s="41">
        <f>C85+C102+C119</f>
        <v>14046.080000000002</v>
      </c>
      <c r="D142" s="10" t="s">
        <v>215</v>
      </c>
      <c r="E142" s="11" t="str">
        <f>"Type A (" &amp; C85 &amp; ") + Type B (" &amp; C102 &amp; ") + Type C (" &amp; C119 &amp; ")"</f>
        <v>Type A (3622.2) + Type B (9109.95) + Type C (1313.93)</v>
      </c>
      <c r="F142" s="12" t="s">
        <v>335</v>
      </c>
    </row>
    <row r="143" spans="1:6" ht="16.5" x14ac:dyDescent="0.45">
      <c r="A143" s="7" t="s">
        <v>336</v>
      </c>
      <c r="B143" s="39" t="s">
        <v>337</v>
      </c>
      <c r="C143" s="41">
        <f>C87+C104+C121</f>
        <v>400.47999999999996</v>
      </c>
      <c r="D143" s="10" t="s">
        <v>212</v>
      </c>
      <c r="E143" s="11" t="str">
        <f>"Type A (" &amp; C87 &amp; ") + Type B (" &amp; C104 &amp; ") + Type C (" &amp; C121 &amp; ")"</f>
        <v>Type A (103.28) + Type B (259.74) + Type C (37.46)</v>
      </c>
      <c r="F143" s="12" t="s">
        <v>338</v>
      </c>
    </row>
    <row r="144" spans="1:6" ht="16.5" x14ac:dyDescent="0.45">
      <c r="A144" s="7" t="s">
        <v>339</v>
      </c>
      <c r="B144" s="39" t="s">
        <v>340</v>
      </c>
      <c r="C144" s="40">
        <f>C93+C110+C126</f>
        <v>449</v>
      </c>
      <c r="D144" s="10" t="s">
        <v>92</v>
      </c>
      <c r="E144" s="11" t="str">
        <f>"Type A (" &amp; C93 &amp; ") + Type B (" &amp; C110 &amp; ") + Type C (" &amp; C126 &amp; ") = " &amp; C144 &amp; " No"</f>
        <v>Type A (108) + Type B (296) + Type C (45) = 449 No</v>
      </c>
      <c r="F144" s="12" t="s">
        <v>341</v>
      </c>
    </row>
    <row r="145" spans="1:6" ht="16.5" x14ac:dyDescent="0.45">
      <c r="A145" s="7" t="s">
        <v>342</v>
      </c>
      <c r="B145" s="39" t="s">
        <v>343</v>
      </c>
      <c r="C145" s="41">
        <f>C89+C106+C123</f>
        <v>8436</v>
      </c>
      <c r="D145" s="10" t="s">
        <v>29</v>
      </c>
      <c r="E145" s="11" t="str">
        <f>"Type A (" &amp; C89 &amp; "m) + Type B (" &amp; C106 &amp; "m) + Type C (" &amp; C123 &amp; "m)"</f>
        <v>Type A (2106m) + Type B (5550m) + Type C (780m)</v>
      </c>
      <c r="F145" s="12" t="s">
        <v>344</v>
      </c>
    </row>
    <row r="146" spans="1:6" ht="16.5" x14ac:dyDescent="0.45">
      <c r="A146" s="7" t="s">
        <v>345</v>
      </c>
      <c r="B146" s="39" t="s">
        <v>346</v>
      </c>
      <c r="C146" s="41">
        <f>C90+C107+C124</f>
        <v>114.49</v>
      </c>
      <c r="D146" s="10" t="s">
        <v>212</v>
      </c>
      <c r="E146" s="11" t="str">
        <f>"Type A (" &amp; C90 &amp; ") + Type B (" &amp; C107 &amp; ") + Type C (" &amp; C124 &amp; ")"</f>
        <v>Type A (28.58) + Type B (75.32) + Type C (10.59)</v>
      </c>
      <c r="F146" s="12" t="s">
        <v>347</v>
      </c>
    </row>
    <row r="147" spans="1:6" ht="16.5" x14ac:dyDescent="0.45">
      <c r="A147" s="17" t="s">
        <v>348</v>
      </c>
      <c r="B147" s="42" t="s">
        <v>349</v>
      </c>
      <c r="C147" s="43">
        <f>C91+C92+C108+C109+C125</f>
        <v>22463.5</v>
      </c>
      <c r="D147" s="20" t="s">
        <v>29</v>
      </c>
      <c r="E147" s="21" t="str">
        <f>"Type A (" &amp; (C91+C92) &amp; "m) + Type B (" &amp; (C108+C109) &amp; "m) + Type C (" &amp; C125 &amp; "m)"</f>
        <v>Type A (5521.5m) + Type B (14467m) + Type C (2475m)</v>
      </c>
      <c r="F147" s="22" t="s">
        <v>350</v>
      </c>
    </row>
  </sheetData>
  <mergeCells count="8">
    <mergeCell ref="A4:F4"/>
    <mergeCell ref="B58:F58"/>
    <mergeCell ref="A71:F71"/>
    <mergeCell ref="B43:F43"/>
    <mergeCell ref="B73:F73"/>
    <mergeCell ref="B129:F129"/>
    <mergeCell ref="B6:F6"/>
    <mergeCell ref="B28:F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
  <sheetViews>
    <sheetView tabSelected="1" topLeftCell="A58" workbookViewId="0"/>
  </sheetViews>
  <sheetFormatPr defaultRowHeight="14.5" x14ac:dyDescent="0.35"/>
  <cols>
    <col min="1" max="1" width="10" customWidth="1"/>
    <col min="2" max="2" width="58" customWidth="1"/>
    <col min="3" max="3" width="15" customWidth="1"/>
    <col min="4" max="4" width="11" customWidth="1"/>
    <col min="5" max="5" width="16" customWidth="1"/>
    <col min="6" max="6" width="18" customWidth="1"/>
    <col min="7" max="7" width="20" customWidth="1"/>
    <col min="8" max="8" width="54" customWidth="1"/>
  </cols>
  <sheetData>
    <row r="1" spans="1:8" ht="20" x14ac:dyDescent="0.55000000000000004">
      <c r="A1" s="1" t="s">
        <v>351</v>
      </c>
    </row>
    <row r="2" spans="1:8" x14ac:dyDescent="0.35">
      <c r="A2" s="2" t="s">
        <v>352</v>
      </c>
    </row>
    <row r="4" spans="1:8" ht="16" x14ac:dyDescent="0.35">
      <c r="A4" s="44" t="s">
        <v>3</v>
      </c>
      <c r="B4" s="45" t="s">
        <v>353</v>
      </c>
      <c r="C4" s="44" t="s">
        <v>189</v>
      </c>
      <c r="D4" s="44" t="s">
        <v>6</v>
      </c>
      <c r="E4" s="44" t="s">
        <v>354</v>
      </c>
      <c r="F4" s="44" t="s">
        <v>355</v>
      </c>
      <c r="G4" s="44" t="s">
        <v>356</v>
      </c>
      <c r="H4" s="45" t="s">
        <v>357</v>
      </c>
    </row>
    <row r="5" spans="1:8" ht="27" x14ac:dyDescent="0.35">
      <c r="A5" s="46" t="s">
        <v>88</v>
      </c>
      <c r="B5" s="47" t="str">
        <f>"BERLIN WALL TYPE A: " &amp; '1_Στοιχεία_Μελέτης_&amp;_Ποσότητες'!C29 &amp; "No Ζεύγη HEB220, L=" &amp; TEXT('1_Στοιχεία_Μελέτης_&amp;_Ποσότητες'!C33,"0.00") &amp; "m για βάθος εκσκαφής " &amp; TEXT('1_Στοιχεία_Μελέτης_&amp;_Ποσότητες'!C31,"0.00") &amp; "m και " &amp; TEXT('1_Στοιχεία_Μελέτης_&amp;_Ποσότητες'!C30,"0.00") &amp; " τρ.μ."</f>
        <v>BERLIN WALL TYPE A: 27No Ζεύγη HEB220, L=18.50m για βάθος εκσκαφής 17.00m και 40.50 τρ.μ.</v>
      </c>
      <c r="C5" s="48">
        <f>'1_Στοιχεία_Μελέτης_&amp;_Ποσότητες'!C30</f>
        <v>40.5</v>
      </c>
      <c r="D5" s="46" t="s">
        <v>97</v>
      </c>
      <c r="E5" s="48">
        <f>ROUND(F5/C5, 2)</f>
        <v>7324.78</v>
      </c>
      <c r="F5" s="48">
        <f>SUM(F6:F20)</f>
        <v>296653.72999999992</v>
      </c>
      <c r="G5" s="46" t="s">
        <v>358</v>
      </c>
      <c r="H5" s="49" t="s">
        <v>359</v>
      </c>
    </row>
    <row r="6" spans="1:8" ht="17" x14ac:dyDescent="0.35">
      <c r="A6" s="50" t="s">
        <v>209</v>
      </c>
      <c r="B6" s="51" t="str">
        <f>'1_Στοιχεία_Μελέτης_&amp;_Ποσότητες'!B80</f>
        <v>ΤΡΥΠΗΜΑ Ø800mm = 27No X 18.50m</v>
      </c>
      <c r="C6" s="52">
        <f>'1_Στοιχεία_Μελέτης_&amp;_Ποσότητες'!C80</f>
        <v>499.5</v>
      </c>
      <c r="D6" s="10" t="str">
        <f>'1_Στοιχεία_Μελέτης_&amp;_Ποσότητες'!D80</f>
        <v>m</v>
      </c>
      <c r="E6" s="53">
        <v>75</v>
      </c>
      <c r="F6" s="34">
        <f t="shared" ref="F6:F20" si="0">ROUND(C6*E6, 2)</f>
        <v>37462.5</v>
      </c>
      <c r="G6" s="103">
        <f>F5</f>
        <v>296653.72999999992</v>
      </c>
      <c r="H6" s="54" t="str">
        <f>"Φύλλο 1 (A.1): " &amp; '1_Στοιχεία_Μελέτης_&amp;_Ποσότητες'!C29 &amp; " πάσσαλοι × " &amp; TEXT('1_Στοιχεία_Μελέτης_&amp;_Ποσότητες'!C33,"0.00") &amp; "m @ 75.00 €/m (Ø800mm Default Εταιρείας)"</f>
        <v>Φύλλο 1 (A.1): 27 πάσσαλοι × 18.50m @ 75.00 €/m (Ø800mm Default Εταιρείας)</v>
      </c>
    </row>
    <row r="7" spans="1:8" ht="17" x14ac:dyDescent="0.35">
      <c r="A7" s="50" t="s">
        <v>211</v>
      </c>
      <c r="B7" s="51" t="str">
        <f>'1_Στοιχεία_Μελέτης_&amp;_Ποσότητες'!B81</f>
        <v>ΜΠΕΤΟΝ ΠΑΚΤΩΣΗΣ C30/37 = 27No X 1.50m X 0.503m³/m</v>
      </c>
      <c r="C7" s="52">
        <f>'1_Στοιχεία_Μελέτης_&amp;_Ποσότητες'!C81</f>
        <v>20.36</v>
      </c>
      <c r="D7" s="10" t="str">
        <f>'1_Στοιχεία_Μελέτης_&amp;_Ποσότητες'!D81</f>
        <v>m³</v>
      </c>
      <c r="E7" s="55">
        <v>120</v>
      </c>
      <c r="F7" s="34">
        <f t="shared" si="0"/>
        <v>2443.1999999999998</v>
      </c>
      <c r="G7" s="104"/>
      <c r="H7" s="54" t="str">
        <f>"Φύλλο 1 (A.2): Πάκτωση H=2.00m σε Ø800mm @ 120.00 €/m³ [Πορτοκαλί #FFE699]"</f>
        <v>Φύλλο 1 (A.2): Πάκτωση H=2.00m σε Ø800mm @ 120.00 €/m³ [Πορτοκαλί #FFE699]</v>
      </c>
    </row>
    <row r="8" spans="1:8" ht="17" x14ac:dyDescent="0.35">
      <c r="A8" s="50" t="s">
        <v>214</v>
      </c>
      <c r="B8" s="51" t="str">
        <f>'1_Στοιχεία_Μελέτης_&amp;_Ποσότητες'!B82</f>
        <v>HEB220 - ΠΡΟΜΗΘΕΙΑ, ΕΠΕΞΕΡΓΑΣΙΑ &amp; ΤΟΠΟΘΕΤΗΣΗ (27No x 2No x 18.50m x 71.5kg/m)</v>
      </c>
      <c r="C8" s="52">
        <f>'1_Στοιχεία_Μελέτης_&amp;_Ποσότητες'!C82</f>
        <v>71428.5</v>
      </c>
      <c r="D8" s="10" t="str">
        <f>'1_Στοιχεία_Μελέτης_&amp;_Ποσότητες'!D82</f>
        <v>kg</v>
      </c>
      <c r="E8" s="53">
        <v>1.4</v>
      </c>
      <c r="F8" s="34">
        <f t="shared" si="0"/>
        <v>99999.9</v>
      </c>
      <c r="G8" s="104"/>
      <c r="H8" s="54" t="str">
        <f>"Φύλλο 1 (A.3): 2 No. HEB 220 (143.0 kg/m) @ 1.40 €/kg (1.00€ αγορά + 0.40€ επεξεργασία)"</f>
        <v>Φύλλο 1 (A.3): 2 No. HEB 220 (143.0 kg/m) @ 1.40 €/kg (1.00€ αγορά + 0.40€ επεξεργασία)</v>
      </c>
    </row>
    <row r="9" spans="1:8" ht="17" x14ac:dyDescent="0.35">
      <c r="A9" s="50" t="s">
        <v>217</v>
      </c>
      <c r="B9" s="51" t="str">
        <f>'1_Στοιχεία_Μελέτης_&amp;_Ποσότητες'!B83</f>
        <v>ΛΑΜΕΣ ΣΥΝΔΕΣΗΣ 200x200x10mm = 27No x (18.5No x 3.14kg)</v>
      </c>
      <c r="C9" s="52">
        <f>'1_Στοιχεία_Μελέτης_&amp;_Ποσότητες'!C83</f>
        <v>1568.43</v>
      </c>
      <c r="D9" s="10" t="str">
        <f>'1_Στοιχεία_Μελέτης_&amp;_Ποσότητες'!D83</f>
        <v>kg</v>
      </c>
      <c r="E9" s="53">
        <v>1.6</v>
      </c>
      <c r="F9" s="34">
        <f t="shared" si="0"/>
        <v>2509.4899999999998</v>
      </c>
      <c r="G9" s="104"/>
      <c r="H9" s="54" t="str">
        <f>"Φύλλο 1 (A.4): Κανόνας L_beam/s_plate = 19 λάμες/οπή (456 τεμ.) @ 1.60 €/kg"</f>
        <v>Φύλλο 1 (A.4): Κανόνας L_beam/s_plate = 19 λάμες/οπή (456 τεμ.) @ 1.60 €/kg</v>
      </c>
    </row>
    <row r="10" spans="1:8" ht="17" x14ac:dyDescent="0.35">
      <c r="A10" s="50" t="s">
        <v>219</v>
      </c>
      <c r="B10" s="51" t="str">
        <f>'1_Στοιχεία_Μελέτης_&amp;_Ποσότητες'!B84</f>
        <v>ΓΩΝΙΕΣ ΣΤΗΡΙΞΗΣ L70x70x6mm = 27No x 17.00m x 6.38kg/m x 2No</v>
      </c>
      <c r="C10" s="52">
        <f>'1_Στοιχεία_Μελέτης_&amp;_Ποσότητες'!C84</f>
        <v>5856.84</v>
      </c>
      <c r="D10" s="10" t="str">
        <f>'1_Στοιχεία_Μελέτης_&amp;_Ποσότητες'!D84</f>
        <v>kg</v>
      </c>
      <c r="E10" s="53">
        <v>1.6</v>
      </c>
      <c r="F10" s="34">
        <f t="shared" si="0"/>
        <v>9370.94</v>
      </c>
      <c r="G10" s="104"/>
      <c r="H10" s="54" t="str">
        <f>"Φύλλο 1 (A.5): 2 γωνιές L70x70x6 × 17.00m (816.0m) @ 1.60 €/kg"</f>
        <v>Φύλλο 1 (A.5): 2 γωνιές L70x70x6 × 17.00m (816.0m) @ 1.60 €/kg</v>
      </c>
    </row>
    <row r="11" spans="1:8" ht="17" x14ac:dyDescent="0.35">
      <c r="A11" s="50" t="s">
        <v>221</v>
      </c>
      <c r="B11" s="51" t="str">
        <f>'1_Στοιχεία_Μελέτης_&amp;_Ποσότητες'!B85</f>
        <v>ΑΓΟΡΑ ΧΑΛΥΒΑ ΣΧΑΡΑΣ #Y8/150 = 688.50m² x 5.261kg/m²</v>
      </c>
      <c r="C11" s="52">
        <f>'1_Στοιχεία_Μελέτης_&amp;_Ποσότητες'!C85</f>
        <v>3622.2</v>
      </c>
      <c r="D11" s="10" t="str">
        <f>'1_Στοιχεία_Μελέτης_&amp;_Ποσότητες'!D85</f>
        <v>kg</v>
      </c>
      <c r="E11" s="53">
        <v>2.5</v>
      </c>
      <c r="F11" s="34">
        <f t="shared" si="0"/>
        <v>9055.5</v>
      </c>
      <c r="G11" s="104"/>
      <c r="H11" s="54" t="str">
        <f>"Φύλλο 1 (A.6): Σχάρα #Y8/150 (" &amp; TEXT('1_Στοιχεία_Μελέτης_&amp;_Ποσότητες'!C75,"0.000") &amp; " kg/m²) @ 2.50 €/kg αγορά"</f>
        <v>Φύλλο 1 (A.6): Σχάρα #Y8/150 (5.261 kg/m²) @ 2.50 €/kg αγορά</v>
      </c>
    </row>
    <row r="12" spans="1:8" ht="17" x14ac:dyDescent="0.35">
      <c r="A12" s="50" t="s">
        <v>223</v>
      </c>
      <c r="B12" s="51" t="str">
        <f>'1_Στοιχεία_Μελέτης_&amp;_Ποσότητες'!B86</f>
        <v>ΤΟΠΟΘΕΤΗΣΗ ΣΧΑΡΑΣ ΜΕΤΩΠΟΥ = 40.50m X 17.00m</v>
      </c>
      <c r="C12" s="52">
        <f>'1_Στοιχεία_Μελέτης_&amp;_Ποσότητες'!C86</f>
        <v>688.5</v>
      </c>
      <c r="D12" s="10" t="str">
        <f>'1_Στοιχεία_Μελέτης_&amp;_Ποσότητες'!D86</f>
        <v>m²</v>
      </c>
      <c r="E12" s="53">
        <v>15</v>
      </c>
      <c r="F12" s="34">
        <f t="shared" si="0"/>
        <v>10327.5</v>
      </c>
      <c r="G12" s="104"/>
      <c r="H12" s="54" t="str">
        <f>"Φύλλο 1 (A.7): Εργατικά τοποθέτησης σχάρας μετώπου (36.0m × 17.0m) @ 15.00 €/m²"</f>
        <v>Φύλλο 1 (A.7): Εργατικά τοποθέτησης σχάρας μετώπου (36.0m × 17.0m) @ 15.00 €/m²</v>
      </c>
    </row>
    <row r="13" spans="1:8" ht="17" x14ac:dyDescent="0.35">
      <c r="A13" s="50" t="s">
        <v>226</v>
      </c>
      <c r="B13" s="51" t="str">
        <f>'1_Στοιχεία_Μελέτης_&amp;_Ποσότητες'!B87</f>
        <v>ΑΓΟΡΑ ΣΚΥΡΟΔΕΜΑΤΟΣ SHOTCRETE C30/37 = 688.50m² x 0.15m</v>
      </c>
      <c r="C13" s="52">
        <f>'1_Στοιχεία_Μελέτης_&amp;_Ποσότητες'!C87</f>
        <v>103.28</v>
      </c>
      <c r="D13" s="10" t="str">
        <f>'1_Στοιχεία_Μελέτης_&amp;_Ποσότητες'!D87</f>
        <v>m³</v>
      </c>
      <c r="E13" s="53">
        <v>90</v>
      </c>
      <c r="F13" s="34">
        <f t="shared" si="0"/>
        <v>9295.2000000000007</v>
      </c>
      <c r="G13" s="104"/>
      <c r="H13" s="54" t="str">
        <f>"Φύλλο 1 (A.8): Αγορά C30/37 ονομαστικού πάχους 15cm @ 90.00 €/m³"</f>
        <v>Φύλλο 1 (A.8): Αγορά C30/37 ονομαστικού πάχους 15cm @ 90.00 €/m³</v>
      </c>
    </row>
    <row r="14" spans="1:8" ht="17" x14ac:dyDescent="0.35">
      <c r="A14" s="50" t="s">
        <v>228</v>
      </c>
      <c r="B14" s="51" t="str">
        <f>'1_Στοιχεία_Μελέτης_&amp;_Ποσότητες'!B88</f>
        <v>ΤΟΠΟΘΕΤΗΣΗ / ΕΚΤΟΞΕΥΣΗ SHOTCRETE = 688.50m² x 0.15m (με απώλεια +33.3%)</v>
      </c>
      <c r="C14" s="52">
        <f>'1_Στοιχεία_Μελέτης_&amp;_Ποσότητες'!C88</f>
        <v>103.28</v>
      </c>
      <c r="D14" s="10" t="str">
        <f>'1_Στοιχεία_Μελέτης_&amp;_Ποσότητες'!D88</f>
        <v>m³</v>
      </c>
      <c r="E14" s="53">
        <f>ROUND((200*(1+'1_Στοιχεία_Μελέτης_&amp;_Ποσότητες'!C77))-90, 2)</f>
        <v>176.67</v>
      </c>
      <c r="F14" s="34">
        <f t="shared" si="0"/>
        <v>18246.48</v>
      </c>
      <c r="G14" s="104"/>
      <c r="H14" s="54" t="str">
        <f>"Φύλλο 1 (A.9): Εκτόξευση/Αντλία = Βάση 200€ × (1+" &amp; TEXT('1_Στοιχεία_Μελέτης_&amp;_Ποσότητες'!C77,"0.0%") &amp; " απώλεια) - 90€ = 176.67 €/m³"</f>
        <v>Φύλλο 1 (A.9): Εκτόξευση/Αντλία = Βάση 200€ × (1+33.3% απώλεια) - 90€ = 176.67 €/m³</v>
      </c>
    </row>
    <row r="15" spans="1:8" ht="17" x14ac:dyDescent="0.35">
      <c r="A15" s="50" t="s">
        <v>230</v>
      </c>
      <c r="B15" s="51" t="str">
        <f>'1_Στοιχεία_Μελέτης_&amp;_Ποσότητες'!B89</f>
        <v>ΔΙΑΤΡΗΣΗ ΑΓΚΥΡΩΣΕΩΝ Ø120mm (4 Σειρές: L1=20m, L2=19.5m, L3=20m, L4=18.5m)</v>
      </c>
      <c r="C15" s="52">
        <f>'1_Στοιχεία_Μελέτης_&amp;_Ποσότητες'!C89</f>
        <v>2106</v>
      </c>
      <c r="D15" s="10" t="str">
        <f>'1_Στοιχεία_Μελέτης_&amp;_Ποσότητες'!D89</f>
        <v>m</v>
      </c>
      <c r="E15" s="53">
        <v>30</v>
      </c>
      <c r="F15" s="34">
        <f t="shared" si="0"/>
        <v>63180</v>
      </c>
      <c r="G15" s="104"/>
      <c r="H15" s="54" t="str">
        <f>"Φύλλο 1 (A.10): Διάτρηση 96 αγκυρώσεων Ø120mm (Σειρές 1-4: 20m, 19.5m, 20m, 18.5m) @ 30.00 €/m"</f>
        <v>Φύλλο 1 (A.10): Διάτρηση 96 αγκυρώσεων Ø120mm (Σειρές 1-4: 20m, 19.5m, 20m, 18.5m) @ 30.00 €/m</v>
      </c>
    </row>
    <row r="16" spans="1:8" ht="17" x14ac:dyDescent="0.35">
      <c r="A16" s="50" t="s">
        <v>232</v>
      </c>
      <c r="B16" s="51" t="str">
        <f>'1_Στοιχεία_Μελέτης_&amp;_Ποσότητες'!B90</f>
        <v>GROUT ΤΣΙΜΕΝΤΕΝΕΜΑ ΑΓΚΥΡΩΣΕΩΝ (με απώλεια 1.20) = 2,106.00m x 0.0136m³/m</v>
      </c>
      <c r="C16" s="52">
        <f>'1_Στοιχεία_Μελέτης_&amp;_Ποσότητες'!C90</f>
        <v>28.58</v>
      </c>
      <c r="D16" s="10" t="str">
        <f>'1_Στοιχεία_Μελέτης_&amp;_Ποσότητες'!D90</f>
        <v>m³</v>
      </c>
      <c r="E16" s="53">
        <v>500</v>
      </c>
      <c r="F16" s="34">
        <f t="shared" si="0"/>
        <v>14290</v>
      </c>
      <c r="G16" s="104"/>
      <c r="H16" s="54" t="str">
        <f>"Φύλλο 1 (A.11): Grout Ø120mm με απώλεια 1.20 (0.013572 m³/m) @ 500.00 €/m³"</f>
        <v>Φύλλο 1 (A.11): Grout Ø120mm με απώλεια 1.20 (0.013572 m³/m) @ 500.00 €/m³</v>
      </c>
    </row>
    <row r="17" spans="1:8" ht="17" x14ac:dyDescent="0.35">
      <c r="A17" s="50" t="s">
        <v>234</v>
      </c>
      <c r="B17" s="51">
        <f>'1_Στοιχεία_Μελέτης_&amp;_Ποσότητες'!B91</f>
        <v>0</v>
      </c>
      <c r="C17" s="52">
        <f>'1_Στοιχεία_Μελέτης_&amp;_Ποσότητες'!C91</f>
        <v>2241</v>
      </c>
      <c r="D17" s="10" t="str">
        <f>'1_Στοιχεία_Μελέτης_&amp;_Ποσότητες'!D91</f>
        <v>m</v>
      </c>
      <c r="E17" s="53">
        <v>2.2799999999999998</v>
      </c>
      <c r="F17" s="34">
        <f t="shared" si="0"/>
        <v>5109.4799999999996</v>
      </c>
      <c r="G17" s="104"/>
      <c r="H17" s="54" t="str">
        <f>"Φύλλο 1 (A.12): 48 αγκυρώσεις 2-strands (Σειρά 1 L=20m &amp; Σειρά 2 L=19.5m, +1.0m) @ 2.28 €/m"</f>
        <v>Φύλλο 1 (A.12): 48 αγκυρώσεις 2-strands (Σειρά 1 L=20m &amp; Σειρά 2 L=19.5m, +1.0m) @ 2.28 €/m</v>
      </c>
    </row>
    <row r="18" spans="1:8" ht="17" x14ac:dyDescent="0.35">
      <c r="A18" s="50" t="s">
        <v>236</v>
      </c>
      <c r="B18" s="51">
        <f>'1_Στοιχεία_Μελέτης_&amp;_Ποσότητες'!B92</f>
        <v>0</v>
      </c>
      <c r="C18" s="52">
        <f>'1_Στοιχεία_Μελέτης_&amp;_Ποσότητες'!C92</f>
        <v>3280.5</v>
      </c>
      <c r="D18" s="10" t="str">
        <f>'1_Στοιχεία_Μελέτης_&amp;_Ποσότητες'!D92</f>
        <v>m</v>
      </c>
      <c r="E18" s="53">
        <v>2.2799999999999998</v>
      </c>
      <c r="F18" s="34">
        <f t="shared" si="0"/>
        <v>7479.54</v>
      </c>
      <c r="G18" s="104"/>
      <c r="H18" s="54" t="str">
        <f>"Φύλλο 1 (A.13): 48 αγκυρώσεις 3-strands (Σειρά 3 L=20m &amp; Σειρά 4 L=18.5m, +1.0m) @ 2.28 €/m"</f>
        <v>Φύλλο 1 (A.13): 48 αγκυρώσεις 3-strands (Σειρά 3 L=20m &amp; Σειρά 4 L=18.5m, +1.0m) @ 2.28 €/m</v>
      </c>
    </row>
    <row r="19" spans="1:8" ht="17" x14ac:dyDescent="0.35">
      <c r="A19" s="50" t="s">
        <v>238</v>
      </c>
      <c r="B19" s="51" t="str">
        <f>'1_Στοιχεία_Μελέτης_&amp;_Ποσότητες'!B93</f>
        <v>ΠΡΟΕΝΤΑΣΗ ΑΓΚΥΡΩΣΕΩΝ (STRESSING &amp; LOCK-OFF) = 4 Σειρές X 27No</v>
      </c>
      <c r="C19" s="56">
        <f>'1_Στοιχεία_Μελέτης_&amp;_Ποσότητες'!C93</f>
        <v>108</v>
      </c>
      <c r="D19" s="10" t="str">
        <f>'1_Στοιχεία_Μελέτης_&amp;_Ποσότητες'!D93</f>
        <v>No</v>
      </c>
      <c r="E19" s="53">
        <v>18</v>
      </c>
      <c r="F19" s="34">
        <f t="shared" si="0"/>
        <v>1944</v>
      </c>
      <c r="G19" s="104"/>
      <c r="H19" s="54" t="str">
        <f>"Φύλλο 1 (A.14): Προένταση (Stressing &amp; Lock-off) 96 αγκυρώσεων Type A @ 18.00 €/No"</f>
        <v>Φύλλο 1 (A.14): Προένταση (Stressing &amp; Lock-off) 96 αγκυρώσεων Type A @ 18.00 €/No</v>
      </c>
    </row>
    <row r="20" spans="1:8" ht="17" x14ac:dyDescent="0.35">
      <c r="A20" s="57" t="s">
        <v>240</v>
      </c>
      <c r="B20" s="58" t="str">
        <f>'1_Στοιχεία_Μελέτης_&amp;_Ποσότητες'!B94</f>
        <v>ΚΕΦΑΛΕΣ ΑΓΚΥΡΩΣΗΣ (ANCHOR HEAD, WEDGES, PLATE) = 4 Σειρές X 27No</v>
      </c>
      <c r="C20" s="59">
        <f>'1_Στοιχεία_Μελέτης_&amp;_Ποσότητες'!C94</f>
        <v>108</v>
      </c>
      <c r="D20" s="20" t="str">
        <f>'1_Στοιχεία_Μελέτης_&amp;_Ποσότητες'!D94</f>
        <v>No</v>
      </c>
      <c r="E20" s="60">
        <v>55</v>
      </c>
      <c r="F20" s="61">
        <f t="shared" si="0"/>
        <v>5940</v>
      </c>
      <c r="G20" s="105"/>
      <c r="H20" s="62" t="str">
        <f>"Φύλλο 1 (A.15): Πλήρες σετ κεφαλής (Head, Wedges, Plate) 96 αγκυρώσεων Type A @ 55.00 €/No"</f>
        <v>Φύλλο 1 (A.15): Πλήρες σετ κεφαλής (Head, Wedges, Plate) 96 αγκυρώσεων Type A @ 55.00 €/No</v>
      </c>
    </row>
    <row r="22" spans="1:8" ht="27" x14ac:dyDescent="0.35">
      <c r="A22" s="46" t="s">
        <v>132</v>
      </c>
      <c r="B22" s="47" t="str">
        <f>"BERLIN WALL TYPE B: " &amp; '1_Στοιχεία_Μελέτης_&amp;_Ποσότητες'!C44 &amp; "No Ζεύγη HEB200, L=" &amp; TEXT('1_Στοιχεία_Μελέτης_&amp;_Ποσότητες'!C48,"0.00") &amp; "m για βάθος εκσκαφής " &amp; TEXT('1_Στοιχεία_Μελέτης_&amp;_Ποσότητες'!C46,"0.00") &amp; "m και " &amp; TEXT('1_Στοιχεία_Μελέτης_&amp;_Ποσότητες'!C45,"0.00") &amp; " τρ.μ."</f>
        <v>BERLIN WALL TYPE B: 74No Ζεύγη HEB200, L=17.00m για βάθος εκσκαφής 15.60m και 111.00 τρ.μ.</v>
      </c>
      <c r="C22" s="48">
        <f>'1_Στοιχεία_Μελέτης_&amp;_Ποσότητες'!C45</f>
        <v>111</v>
      </c>
      <c r="D22" s="46" t="s">
        <v>97</v>
      </c>
      <c r="E22" s="48">
        <f>ROUND(F22/C22, 2)</f>
        <v>6539.23</v>
      </c>
      <c r="F22" s="48">
        <f>SUM(F23:F37)</f>
        <v>725854.84</v>
      </c>
      <c r="G22" s="46" t="s">
        <v>358</v>
      </c>
      <c r="H22" s="49" t="s">
        <v>360</v>
      </c>
    </row>
    <row r="23" spans="1:8" ht="17" x14ac:dyDescent="0.35">
      <c r="A23" s="50" t="s">
        <v>243</v>
      </c>
      <c r="B23" s="51" t="str">
        <f>'1_Στοιχεία_Μελέτης_&amp;_Ποσότητες'!B97</f>
        <v>ΤΡΥΠΗΜΑ Ø800mm = 74No X 17.00m</v>
      </c>
      <c r="C23" s="52">
        <f>'1_Στοιχεία_Μελέτης_&amp;_Ποσότητες'!C97</f>
        <v>1258</v>
      </c>
      <c r="D23" s="10" t="str">
        <f>'1_Στοιχεία_Μελέτης_&amp;_Ποσότητες'!D97</f>
        <v>m</v>
      </c>
      <c r="E23" s="53">
        <v>75</v>
      </c>
      <c r="F23" s="34">
        <f t="shared" ref="F23:F37" si="1">ROUND(C23*E23, 2)</f>
        <v>94350</v>
      </c>
      <c r="G23" s="103">
        <f>F22</f>
        <v>725854.84</v>
      </c>
      <c r="H23" s="54" t="str">
        <f>"Φύλλο 1 (B.1): " &amp; '1_Στοιχεία_Μελέτης_&amp;_Ποσότητες'!C44 &amp; " πάσσαλοι × " &amp; TEXT('1_Στοιχεία_Μελέτης_&amp;_Ποσότητες'!C48,"0.00") &amp; "m @ 75.00 €/m (Ø800mm Default Εταιρείας)"</f>
        <v>Φύλλο 1 (B.1): 74 πάσσαλοι × 17.00m @ 75.00 €/m (Ø800mm Default Εταιρείας)</v>
      </c>
    </row>
    <row r="24" spans="1:8" ht="17" x14ac:dyDescent="0.35">
      <c r="A24" s="50" t="s">
        <v>245</v>
      </c>
      <c r="B24" s="51" t="str">
        <f>'1_Στοιχεία_Μελέτης_&amp;_Ποσότητες'!B98</f>
        <v>ΜΠΕΤΟΝ ΠΑΚΤΩΣΗΣ C30/37 = 74No X 2.00m X 0.503m³/m</v>
      </c>
      <c r="C24" s="52">
        <f>'1_Στοιχεία_Μελέτης_&amp;_Ποσότητες'!C98</f>
        <v>74.39</v>
      </c>
      <c r="D24" s="10" t="str">
        <f>'1_Στοιχεία_Μελέτης_&amp;_Ποσότητες'!D98</f>
        <v>m³</v>
      </c>
      <c r="E24" s="55">
        <v>120</v>
      </c>
      <c r="F24" s="34">
        <f t="shared" si="1"/>
        <v>8926.7999999999993</v>
      </c>
      <c r="G24" s="104"/>
      <c r="H24" s="54" t="str">
        <f>"Φύλλο 1 (B.2): Πάκτωση H=2.00m σε Ø800mm @ 120.00 €/m³ [Πορτοκαλί #FFE699]"</f>
        <v>Φύλλο 1 (B.2): Πάκτωση H=2.00m σε Ø800mm @ 120.00 €/m³ [Πορτοκαλί #FFE699]</v>
      </c>
    </row>
    <row r="25" spans="1:8" ht="17" x14ac:dyDescent="0.35">
      <c r="A25" s="50" t="s">
        <v>246</v>
      </c>
      <c r="B25" s="51" t="str">
        <f>'1_Στοιχεία_Μελέτης_&amp;_Ποσότητες'!B99</f>
        <v>HEB200 - ΠΡΟΜΗΘΕΙΑ, ΕΠΕΞΕΡΓΑΣΙΑ &amp; ΤΟΠΟΘΕΤΗΣΗ (74No x 2No x 17.00m x 61.3kg/m)</v>
      </c>
      <c r="C25" s="52">
        <f>'1_Στοιχεία_Μελέτης_&amp;_Ποσότητες'!C99</f>
        <v>154230.79999999999</v>
      </c>
      <c r="D25" s="10" t="str">
        <f>'1_Στοιχεία_Μελέτης_&amp;_Ποσότητες'!D99</f>
        <v>kg</v>
      </c>
      <c r="E25" s="53">
        <v>1.4</v>
      </c>
      <c r="F25" s="34">
        <f t="shared" si="1"/>
        <v>215923.12</v>
      </c>
      <c r="G25" s="104"/>
      <c r="H25" s="54" t="str">
        <f>"Φύλλο 1 (B.3): 2 No. HEB 200 (122.6 kg/m) @ 1.40 €/kg (1.00€ αγορά + 0.40€ επεξεργασία)"</f>
        <v>Φύλλο 1 (B.3): 2 No. HEB 200 (122.6 kg/m) @ 1.40 €/kg (1.00€ αγορά + 0.40€ επεξεργασία)</v>
      </c>
    </row>
    <row r="26" spans="1:8" ht="17" x14ac:dyDescent="0.35">
      <c r="A26" s="50" t="s">
        <v>248</v>
      </c>
      <c r="B26" s="51" t="str">
        <f>'1_Στοιχεία_Μελέτης_&amp;_Ποσότητες'!B100</f>
        <v>ΛΑΜΕΣ ΣΥΝΔΕΣΗΣ 200x200x10mm = 74No x (17No x 3.14kg)</v>
      </c>
      <c r="C26" s="52">
        <f>'1_Στοιχεία_Μελέτης_&amp;_Ποσότητες'!C100</f>
        <v>3950.12</v>
      </c>
      <c r="D26" s="10" t="str">
        <f>'1_Στοιχεία_Μελέτης_&amp;_Ποσότητες'!D100</f>
        <v>kg</v>
      </c>
      <c r="E26" s="53">
        <v>1.6</v>
      </c>
      <c r="F26" s="34">
        <f t="shared" si="1"/>
        <v>6320.19</v>
      </c>
      <c r="G26" s="104"/>
      <c r="H26" s="54" t="str">
        <f>"Φύλλο 1 (B.4): Κανόνας L_beam/s_plate = 17 λάμες/οπή (1,071 τεμ.) @ 1.60 €/kg"</f>
        <v>Φύλλο 1 (B.4): Κανόνας L_beam/s_plate = 17 λάμες/οπή (1,071 τεμ.) @ 1.60 €/kg</v>
      </c>
    </row>
    <row r="27" spans="1:8" ht="17" x14ac:dyDescent="0.35">
      <c r="A27" s="50" t="s">
        <v>250</v>
      </c>
      <c r="B27" s="51" t="str">
        <f>'1_Στοιχεία_Μελέτης_&amp;_Ποσότητες'!B101</f>
        <v>ΓΩΝΙΕΣ ΣΤΗΡΙΞΗΣ L70x70x6mm = 74No x 15.60m x 6.38kg/m x 2No</v>
      </c>
      <c r="C27" s="52">
        <f>'1_Στοιχεία_Μελέτης_&amp;_Ποσότητες'!C101</f>
        <v>14730.14</v>
      </c>
      <c r="D27" s="10" t="str">
        <f>'1_Στοιχεία_Μελέτης_&amp;_Ποσότητες'!D101</f>
        <v>kg</v>
      </c>
      <c r="E27" s="53">
        <v>1.6</v>
      </c>
      <c r="F27" s="34">
        <f t="shared" si="1"/>
        <v>23568.22</v>
      </c>
      <c r="G27" s="104"/>
      <c r="H27" s="54" t="str">
        <f>"Φύλλο 1 (B.5): 2 γωνιές L70x70x6 × 15.60m (1,965.6m) @ 1.60 €/kg"</f>
        <v>Φύλλο 1 (B.5): 2 γωνιές L70x70x6 × 15.60m (1,965.6m) @ 1.60 €/kg</v>
      </c>
    </row>
    <row r="28" spans="1:8" ht="17" x14ac:dyDescent="0.35">
      <c r="A28" s="50" t="s">
        <v>251</v>
      </c>
      <c r="B28" s="51" t="str">
        <f>'1_Στοιχεία_Μελέτης_&amp;_Ποσότητες'!B102</f>
        <v>ΑΓΟΡΑ ΧΑΛΥΒΑ ΣΧΑΡΑΣ #Y8/150 = 1,731.60m² x 5.261kg/m²</v>
      </c>
      <c r="C28" s="52">
        <f>'1_Στοιχεία_Μελέτης_&amp;_Ποσότητες'!C102</f>
        <v>9109.9500000000007</v>
      </c>
      <c r="D28" s="10" t="str">
        <f>'1_Στοιχεία_Μελέτης_&amp;_Ποσότητες'!D102</f>
        <v>kg</v>
      </c>
      <c r="E28" s="53">
        <v>2.5</v>
      </c>
      <c r="F28" s="34">
        <f t="shared" si="1"/>
        <v>22774.880000000001</v>
      </c>
      <c r="G28" s="104"/>
      <c r="H28" s="54" t="str">
        <f>"Φύλλο 1 (B.6): Σχάρα #Y8/150 (" &amp; TEXT('1_Στοιχεία_Μελέτης_&amp;_Ποσότητες'!C75,"0.000") &amp; " kg/m²) @ 2.50 €/kg αγορά"</f>
        <v>Φύλλο 1 (B.6): Σχάρα #Y8/150 (5.261 kg/m²) @ 2.50 €/kg αγορά</v>
      </c>
    </row>
    <row r="29" spans="1:8" ht="17" x14ac:dyDescent="0.35">
      <c r="A29" s="50" t="s">
        <v>253</v>
      </c>
      <c r="B29" s="51" t="str">
        <f>'1_Στοιχεία_Μελέτης_&amp;_Ποσότητες'!B103</f>
        <v>ΤΟΠΟΘΕΤΗΣΗ ΣΧΑΡΑΣ ΜΕΤΩΠΟΥ = 111.00m X 15.60m</v>
      </c>
      <c r="C29" s="52">
        <f>'1_Στοιχεία_Μελέτης_&amp;_Ποσότητες'!C103</f>
        <v>1731.6</v>
      </c>
      <c r="D29" s="10" t="str">
        <f>'1_Στοιχεία_Μελέτης_&amp;_Ποσότητες'!D103</f>
        <v>m²</v>
      </c>
      <c r="E29" s="53">
        <v>15</v>
      </c>
      <c r="F29" s="34">
        <f t="shared" si="1"/>
        <v>25974</v>
      </c>
      <c r="G29" s="104"/>
      <c r="H29" s="54" t="str">
        <f>"Φύλλο 1 (B.7): Εργατικά τοποθέτησης σχάρας μετώπου (94.5m × 15.6m) @ 15.00 €/m²"</f>
        <v>Φύλλο 1 (B.7): Εργατικά τοποθέτησης σχάρας μετώπου (94.5m × 15.6m) @ 15.00 €/m²</v>
      </c>
    </row>
    <row r="30" spans="1:8" ht="17" x14ac:dyDescent="0.35">
      <c r="A30" s="50" t="s">
        <v>255</v>
      </c>
      <c r="B30" s="51" t="str">
        <f>'1_Στοιχεία_Μελέτης_&amp;_Ποσότητες'!B104</f>
        <v>ΑΓΟΡΑ ΣΚΥΡΟΔΕΜΑΤΟΣ SHOTCRETE C30/37 = 1,731.60m² x 0.15m</v>
      </c>
      <c r="C30" s="52">
        <f>'1_Στοιχεία_Μελέτης_&amp;_Ποσότητες'!C104</f>
        <v>259.74</v>
      </c>
      <c r="D30" s="10" t="str">
        <f>'1_Στοιχεία_Μελέτης_&amp;_Ποσότητες'!D104</f>
        <v>m³</v>
      </c>
      <c r="E30" s="53">
        <v>90</v>
      </c>
      <c r="F30" s="34">
        <f t="shared" si="1"/>
        <v>23376.6</v>
      </c>
      <c r="G30" s="104"/>
      <c r="H30" s="54" t="str">
        <f>"Φύλλο 1 (B.8): Αγορά C30/37 ονομαστικού πάχους 15cm @ 90.00 €/m³"</f>
        <v>Φύλλο 1 (B.8): Αγορά C30/37 ονομαστικού πάχους 15cm @ 90.00 €/m³</v>
      </c>
    </row>
    <row r="31" spans="1:8" ht="17" x14ac:dyDescent="0.35">
      <c r="A31" s="50" t="s">
        <v>256</v>
      </c>
      <c r="B31" s="51" t="str">
        <f>'1_Στοιχεία_Μελέτης_&amp;_Ποσότητες'!B105</f>
        <v>ΤΟΠΟΘΕΤΗΣΗ / ΕΚΤΟΞΕΥΣΗ SHOTCRETE = 1,731.60m² x 0.15m (με απώλεια +33.3%)</v>
      </c>
      <c r="C31" s="52">
        <f>'1_Στοιχεία_Μελέτης_&amp;_Ποσότητες'!C105</f>
        <v>259.74</v>
      </c>
      <c r="D31" s="10" t="str">
        <f>'1_Στοιχεία_Μελέτης_&amp;_Ποσότητες'!D105</f>
        <v>m³</v>
      </c>
      <c r="E31" s="53">
        <f>ROUND((200*(1+'1_Στοιχεία_Μελέτης_&amp;_Ποσότητες'!C77))-90, 2)</f>
        <v>176.67</v>
      </c>
      <c r="F31" s="34">
        <f t="shared" si="1"/>
        <v>45888.27</v>
      </c>
      <c r="G31" s="104"/>
      <c r="H31" s="54" t="str">
        <f>"Φύλλο 1 (B.9): Εκτόξευση/Αντλία = Βάση 200€ × (1+" &amp; TEXT('1_Στοιχεία_Μελέτης_&amp;_Ποσότητες'!C77,"0.0%") &amp; " απώλεια) - 90€ = 176.67 €/m³"</f>
        <v>Φύλλο 1 (B.9): Εκτόξευση/Αντλία = Βάση 200€ × (1+33.3% απώλεια) - 90€ = 176.67 €/m³</v>
      </c>
    </row>
    <row r="32" spans="1:8" ht="17" x14ac:dyDescent="0.35">
      <c r="A32" s="50" t="s">
        <v>258</v>
      </c>
      <c r="B32" s="51" t="str">
        <f>'1_Στοιχεία_Μελέτης_&amp;_Ποσότητες'!B106</f>
        <v>ΔΙΑΤΡΗΣΗ ΑΓΚΥΡΩΣΕΩΝ Ø120mm (4 Σειρές: L1=20m, L2=19.5m, L3=19.5m, L4=16m)</v>
      </c>
      <c r="C32" s="52">
        <f>'1_Στοιχεία_Μελέτης_&amp;_Ποσότητες'!C106</f>
        <v>5550</v>
      </c>
      <c r="D32" s="10" t="str">
        <f>'1_Στοιχεία_Μελέτης_&amp;_Ποσότητες'!D106</f>
        <v>m</v>
      </c>
      <c r="E32" s="53">
        <v>30</v>
      </c>
      <c r="F32" s="34">
        <f t="shared" si="1"/>
        <v>166500</v>
      </c>
      <c r="G32" s="104"/>
      <c r="H32" s="54" t="str">
        <f>"Φύλλο 1 (B.10): Διάτρηση 252 αγκυρώσεων Ø120mm (Σειρές 1-4: 20m, 19.5m, 19.5m, 16m) @ 30.00 €/m"</f>
        <v>Φύλλο 1 (B.10): Διάτρηση 252 αγκυρώσεων Ø120mm (Σειρές 1-4: 20m, 19.5m, 19.5m, 16m) @ 30.00 €/m</v>
      </c>
    </row>
    <row r="33" spans="1:8" ht="17" x14ac:dyDescent="0.35">
      <c r="A33" s="50" t="s">
        <v>260</v>
      </c>
      <c r="B33" s="51" t="str">
        <f>'1_Στοιχεία_Μελέτης_&amp;_Ποσότητες'!B107</f>
        <v>GROUT ΤΣΙΜΕΝΤΕΝΕΜΑ ΑΓΚΥΡΩΣΕΩΝ (με απώλεια 1.20) = 5,550.00m x 0.0136m³/m</v>
      </c>
      <c r="C33" s="52">
        <f>'1_Στοιχεία_Μελέτης_&amp;_Ποσότητες'!C107</f>
        <v>75.319999999999993</v>
      </c>
      <c r="D33" s="10" t="str">
        <f>'1_Στοιχεία_Μελέτης_&amp;_Ποσότητες'!D107</f>
        <v>m³</v>
      </c>
      <c r="E33" s="53">
        <v>500</v>
      </c>
      <c r="F33" s="34">
        <f t="shared" si="1"/>
        <v>37660</v>
      </c>
      <c r="G33" s="104"/>
      <c r="H33" s="54" t="str">
        <f>"Φύλλο 1 (B.11): Grout Ø120mm με απώλεια 1.20 (0.013572 m³/m) @ 500.00 €/m³"</f>
        <v>Φύλλο 1 (B.11): Grout Ø120mm με απώλεια 1.20 (0.013572 m³/m) @ 500.00 €/m³</v>
      </c>
    </row>
    <row r="34" spans="1:8" ht="17" x14ac:dyDescent="0.35">
      <c r="A34" s="50" t="s">
        <v>262</v>
      </c>
      <c r="B34" s="51">
        <f>'1_Στοιχεία_Μελέτης_&amp;_Ποσότητες'!B108</f>
        <v>0</v>
      </c>
      <c r="C34" s="52">
        <f>'1_Στοιχεία_Μελέτης_&amp;_Ποσότητες'!C108</f>
        <v>6142</v>
      </c>
      <c r="D34" s="10" t="str">
        <f>'1_Στοιχεία_Μελέτης_&amp;_Ποσότητες'!D108</f>
        <v>m</v>
      </c>
      <c r="E34" s="53">
        <v>2.2799999999999998</v>
      </c>
      <c r="F34" s="34">
        <f t="shared" si="1"/>
        <v>14003.76</v>
      </c>
      <c r="G34" s="104"/>
      <c r="H34" s="54" t="str">
        <f>"Φύλλο 1 (B.12): 126 αγκυρώσεις 2-strands (Σειρά 1 L=20m &amp; Σειρά 2 L=19.5m, +1.0m) @ 2.28 €/m"</f>
        <v>Φύλλο 1 (B.12): 126 αγκυρώσεις 2-strands (Σειρά 1 L=20m &amp; Σειρά 2 L=19.5m, +1.0m) @ 2.28 €/m</v>
      </c>
    </row>
    <row r="35" spans="1:8" ht="17" x14ac:dyDescent="0.35">
      <c r="A35" s="50" t="s">
        <v>264</v>
      </c>
      <c r="B35" s="51">
        <f>'1_Στοιχεία_Μελέτης_&amp;_Ποσότητες'!B109</f>
        <v>0</v>
      </c>
      <c r="C35" s="52">
        <f>'1_Στοιχεία_Μελέτης_&amp;_Ποσότητες'!C109</f>
        <v>8325</v>
      </c>
      <c r="D35" s="10" t="str">
        <f>'1_Στοιχεία_Μελέτης_&amp;_Ποσότητες'!D109</f>
        <v>m</v>
      </c>
      <c r="E35" s="53">
        <v>2.2799999999999998</v>
      </c>
      <c r="F35" s="34">
        <f t="shared" si="1"/>
        <v>18981</v>
      </c>
      <c r="G35" s="104"/>
      <c r="H35" s="54" t="str">
        <f>"Φύλλο 1 (B.13): 126 αγκυρώσεις 3-strands (Σειρά 3 L=19.5m &amp; Σειρά 4 L=16.0m, +1.0m) @ 2.28 €/m"</f>
        <v>Φύλλο 1 (B.13): 126 αγκυρώσεις 3-strands (Σειρά 3 L=19.5m &amp; Σειρά 4 L=16.0m, +1.0m) @ 2.28 €/m</v>
      </c>
    </row>
    <row r="36" spans="1:8" ht="17" x14ac:dyDescent="0.35">
      <c r="A36" s="50" t="s">
        <v>266</v>
      </c>
      <c r="B36" s="51" t="str">
        <f>'1_Στοιχεία_Μελέτης_&amp;_Ποσότητες'!B110</f>
        <v>ΠΡΟΕΝΤΑΣΗ ΑΓΚΥΡΩΣΕΩΝ (STRESSING &amp; LOCK-OFF) = 4 Σειρές X 74No</v>
      </c>
      <c r="C36" s="56">
        <f>'1_Στοιχεία_Μελέτης_&amp;_Ποσότητες'!C110</f>
        <v>296</v>
      </c>
      <c r="D36" s="10" t="str">
        <f>'1_Στοιχεία_Μελέτης_&amp;_Ποσότητες'!D110</f>
        <v>No</v>
      </c>
      <c r="E36" s="53">
        <v>18</v>
      </c>
      <c r="F36" s="34">
        <f t="shared" si="1"/>
        <v>5328</v>
      </c>
      <c r="G36" s="104"/>
      <c r="H36" s="54" t="str">
        <f>"Φύλλο 1 (B.14): Προένταση (Stressing &amp; Lock-off) 252 αγκυρώσεων Type B @ 18.00 €/No"</f>
        <v>Φύλλο 1 (B.14): Προένταση (Stressing &amp; Lock-off) 252 αγκυρώσεων Type B @ 18.00 €/No</v>
      </c>
    </row>
    <row r="37" spans="1:8" ht="32" x14ac:dyDescent="0.35">
      <c r="A37" s="57" t="s">
        <v>268</v>
      </c>
      <c r="B37" s="58" t="str">
        <f>'1_Στοιχεία_Μελέτης_&amp;_Ποσότητες'!B111</f>
        <v>ΚΕΦΑΛΕΣ ΑΓΚΥΡΩΣΗΣ (ANCHOR HEAD, WEDGES, PLATE) = 4 Σειρές X 74No</v>
      </c>
      <c r="C37" s="59">
        <f>'1_Στοιχεία_Μελέτης_&amp;_Ποσότητες'!C111</f>
        <v>296</v>
      </c>
      <c r="D37" s="20" t="str">
        <f>'1_Στοιχεία_Μελέτης_&amp;_Ποσότητες'!D111</f>
        <v>No</v>
      </c>
      <c r="E37" s="60">
        <v>55</v>
      </c>
      <c r="F37" s="61">
        <f t="shared" si="1"/>
        <v>16280</v>
      </c>
      <c r="G37" s="105"/>
      <c r="H37" s="62" t="str">
        <f>"Φύλλο 1 (B.15): Πλήρες σετ κεφαλής (Head, Wedges, Plate) 252 αγκυρώσεων Type B @ 55.00 €/No"</f>
        <v>Φύλλο 1 (B.15): Πλήρες σετ κεφαλής (Head, Wedges, Plate) 252 αγκυρώσεων Type B @ 55.00 €/No</v>
      </c>
    </row>
    <row r="39" spans="1:8" ht="34" x14ac:dyDescent="0.35">
      <c r="A39" s="46" t="s">
        <v>162</v>
      </c>
      <c r="B39" s="47" t="str">
        <f>"BERLIN WALL TYPE C: " &amp; '1_Στοιχεία_Μελέτης_&amp;_Ποσότητες'!C59 &amp; "No Ζεύγη HEB200, L=" &amp; TEXT('1_Στοιχεία_Μελέτης_&amp;_Ποσότητες'!C63,"0.00") &amp; "m για βάθος εκσκαφής " &amp; TEXT('1_Στοιχεία_Μελέτης_&amp;_Ποσότητες'!C61,"0.00") &amp; "m και " &amp; TEXT('1_Στοιχεία_Μελέτης_&amp;_Ποσότητες'!C60,"0.00") &amp; " τρ.μ."</f>
        <v>BERLIN WALL TYPE C: 15No Ζεύγη HEB200, L=13.00m για βάθος εκσκαφής 11.10m και 22.50 τρ.μ.</v>
      </c>
      <c r="C39" s="48">
        <f>'1_Στοιχεία_Μελέτης_&amp;_Ποσότητες'!C60</f>
        <v>22.5</v>
      </c>
      <c r="D39" s="46" t="s">
        <v>97</v>
      </c>
      <c r="E39" s="48">
        <f>ROUND(F39/C39, 2)</f>
        <v>4841.1899999999996</v>
      </c>
      <c r="F39" s="48">
        <f>SUM(F40:F53)</f>
        <v>108926.88</v>
      </c>
      <c r="G39" s="46" t="s">
        <v>358</v>
      </c>
      <c r="H39" s="49" t="s">
        <v>361</v>
      </c>
    </row>
    <row r="40" spans="1:8" ht="27" x14ac:dyDescent="0.35">
      <c r="A40" s="50" t="s">
        <v>271</v>
      </c>
      <c r="B40" s="51" t="str">
        <f>'1_Στοιχεία_Μελέτης_&amp;_Ποσότητες'!B114</f>
        <v>ΤΡΥΠΗΜΑ Ø800mm = 15No X 13.00m</v>
      </c>
      <c r="C40" s="52">
        <f>'1_Στοιχεία_Μελέτης_&amp;_Ποσότητες'!C114</f>
        <v>195</v>
      </c>
      <c r="D40" s="10" t="str">
        <f>'1_Στοιχεία_Μελέτης_&amp;_Ποσότητες'!D114</f>
        <v>m</v>
      </c>
      <c r="E40" s="53">
        <v>75</v>
      </c>
      <c r="F40" s="34">
        <f t="shared" ref="F40:F53" si="2">ROUND(C40*E40, 2)</f>
        <v>14625</v>
      </c>
      <c r="G40" s="103">
        <f>F39</f>
        <v>108926.88</v>
      </c>
      <c r="H40" s="54" t="str">
        <f>"Φύλλο 1 (C.1): " &amp; '1_Στοιχεία_Μελέτης_&amp;_Ποσότητες'!C59 &amp; " πάσσαλοι × " &amp; TEXT('1_Στοιχεία_Μελέτης_&amp;_Ποσότητες'!C63,"0.00") &amp; "m @ 75.00 €/m (Ø800mm Default Εταιρείας)"</f>
        <v>Φύλλο 1 (C.1): 15 πάσσαλοι × 13.00m @ 75.00 €/m (Ø800mm Default Εταιρείας)</v>
      </c>
    </row>
    <row r="41" spans="1:8" ht="27" x14ac:dyDescent="0.35">
      <c r="A41" s="50" t="s">
        <v>273</v>
      </c>
      <c r="B41" s="51" t="str">
        <f>'1_Στοιχεία_Μελέτης_&amp;_Ποσότητες'!B115</f>
        <v>ΜΠΕΤΟΝ ΠΑΚΤΩΣΗΣ C30/37 = 15No X 2.00m X 0.503m³/m</v>
      </c>
      <c r="C41" s="52">
        <f>'1_Στοιχεία_Μελέτης_&amp;_Ποσότητες'!C115</f>
        <v>15.08</v>
      </c>
      <c r="D41" s="10" t="str">
        <f>'1_Στοιχεία_Μελέτης_&amp;_Ποσότητες'!D115</f>
        <v>m³</v>
      </c>
      <c r="E41" s="55">
        <v>120</v>
      </c>
      <c r="F41" s="34">
        <f t="shared" si="2"/>
        <v>1809.6</v>
      </c>
      <c r="G41" s="104"/>
      <c r="H41" s="54" t="str">
        <f>"Φύλλο 1 (C.2): Πάκτωση H=2.00m σε Ø800mm @ 120.00 €/m³ [Πορτοκαλί #FFE699]"</f>
        <v>Φύλλο 1 (C.2): Πάκτωση H=2.00m σε Ø800mm @ 120.00 €/m³ [Πορτοκαλί #FFE699]</v>
      </c>
    </row>
    <row r="42" spans="1:8" ht="32" x14ac:dyDescent="0.35">
      <c r="A42" s="50" t="s">
        <v>274</v>
      </c>
      <c r="B42" s="51" t="str">
        <f>'1_Στοιχεία_Μελέτης_&amp;_Ποσότητες'!B116</f>
        <v>HEB200 - ΠΡΟΜΗΘΕΙΑ, ΕΠΕΞΕΡΓΑΣΙΑ &amp; ΤΟΠΟΘΕΤΗΣΗ (15No x 2No x 13.00m x 61.3kg/m)</v>
      </c>
      <c r="C42" s="52">
        <f>'1_Στοιχεία_Μελέτης_&amp;_Ποσότητες'!C116</f>
        <v>23907</v>
      </c>
      <c r="D42" s="10" t="str">
        <f>'1_Στοιχεία_Μελέτης_&amp;_Ποσότητες'!D116</f>
        <v>kg</v>
      </c>
      <c r="E42" s="53">
        <v>1.4</v>
      </c>
      <c r="F42" s="34">
        <f t="shared" si="2"/>
        <v>33469.800000000003</v>
      </c>
      <c r="G42" s="104"/>
      <c r="H42" s="54" t="str">
        <f>"Φύλλο 1 (C.3): 2 No. HEB 200 (122.6 kg/m) @ 1.40 €/kg (1.00€ αγορά + 0.40€ επεξεργασία)"</f>
        <v>Φύλλο 1 (C.3): 2 No. HEB 200 (122.6 kg/m) @ 1.40 €/kg (1.00€ αγορά + 0.40€ επεξεργασία)</v>
      </c>
    </row>
    <row r="43" spans="1:8" ht="27" x14ac:dyDescent="0.35">
      <c r="A43" s="50" t="s">
        <v>276</v>
      </c>
      <c r="B43" s="51" t="str">
        <f>'1_Στοιχεία_Μελέτης_&amp;_Ποσότητες'!B117</f>
        <v>ΛΑΜΕΣ ΣΥΝΔΕΣΗΣ 200x200x10mm = 15No x (13No x 3.14kg)</v>
      </c>
      <c r="C43" s="52">
        <f>'1_Στοιχεία_Μελέτης_&amp;_Ποσότητες'!C117</f>
        <v>612.29999999999995</v>
      </c>
      <c r="D43" s="10" t="str">
        <f>'1_Στοιχεία_Μελέτης_&amp;_Ποσότητες'!D117</f>
        <v>kg</v>
      </c>
      <c r="E43" s="53">
        <v>1.6</v>
      </c>
      <c r="F43" s="34">
        <f t="shared" si="2"/>
        <v>979.68</v>
      </c>
      <c r="G43" s="104"/>
      <c r="H43" s="54" t="str">
        <f>"Φύλλο 1 (C.4): Κανόνας L_beam/s_plate = 13 λάμες/οπή (143 τεμ.) @ 1.60 €/kg"</f>
        <v>Φύλλο 1 (C.4): Κανόνας L_beam/s_plate = 13 λάμες/οπή (143 τεμ.) @ 1.60 €/kg</v>
      </c>
    </row>
    <row r="44" spans="1:8" ht="17" x14ac:dyDescent="0.35">
      <c r="A44" s="50" t="s">
        <v>278</v>
      </c>
      <c r="B44" s="51" t="str">
        <f>'1_Στοιχεία_Μελέτης_&amp;_Ποσότητες'!B118</f>
        <v>ΓΩΝΙΕΣ ΣΤΗΡΙΞΗΣ L70x70x6mm = 15No x 11.10m x 6.38kg/m x 2No</v>
      </c>
      <c r="C44" s="52">
        <f>'1_Στοιχεία_Μελέτης_&amp;_Ποσότητες'!C118</f>
        <v>2124.54</v>
      </c>
      <c r="D44" s="10" t="str">
        <f>'1_Στοιχεία_Μελέτης_&amp;_Ποσότητες'!D118</f>
        <v>kg</v>
      </c>
      <c r="E44" s="53">
        <v>1.6</v>
      </c>
      <c r="F44" s="34">
        <f t="shared" si="2"/>
        <v>3399.26</v>
      </c>
      <c r="G44" s="104"/>
      <c r="H44" s="54" t="str">
        <f>"Φύλλο 1 (C.5): 2 γωνιές L70x70x6 × 11.10m (244.2m) @ 1.60 €/kg"</f>
        <v>Φύλλο 1 (C.5): 2 γωνιές L70x70x6 × 11.10m (244.2m) @ 1.60 €/kg</v>
      </c>
    </row>
    <row r="45" spans="1:8" ht="17" x14ac:dyDescent="0.35">
      <c r="A45" s="50" t="s">
        <v>279</v>
      </c>
      <c r="B45" s="51" t="str">
        <f>'1_Στοιχεία_Μελέτης_&amp;_Ποσότητες'!B119</f>
        <v>ΑΓΟΡΑ ΧΑΛΥΒΑ ΣΧΑΡΑΣ #Y8/150 = 249.75m² x 5.261kg/m²</v>
      </c>
      <c r="C45" s="52">
        <f>'1_Στοιχεία_Μελέτης_&amp;_Ποσότητες'!C119</f>
        <v>1313.93</v>
      </c>
      <c r="D45" s="10" t="str">
        <f>'1_Στοιχεία_Μελέτης_&amp;_Ποσότητες'!D119</f>
        <v>kg</v>
      </c>
      <c r="E45" s="53">
        <v>2.5</v>
      </c>
      <c r="F45" s="34">
        <f t="shared" si="2"/>
        <v>3284.83</v>
      </c>
      <c r="G45" s="104"/>
      <c r="H45" s="54" t="str">
        <f>"Φύλλο 1 (C.6): Σχάρα #Y8/150 (" &amp; TEXT('1_Στοιχεία_Μελέτης_&amp;_Ποσότητες'!C75,"0.000") &amp; " kg/m²) @ 2.50 €/kg αγορά"</f>
        <v>Φύλλο 1 (C.6): Σχάρα #Y8/150 (5.261 kg/m²) @ 2.50 €/kg αγορά</v>
      </c>
    </row>
    <row r="46" spans="1:8" ht="27" x14ac:dyDescent="0.35">
      <c r="A46" s="50" t="s">
        <v>281</v>
      </c>
      <c r="B46" s="51" t="str">
        <f>'1_Στοιχεία_Μελέτης_&amp;_Ποσότητες'!B120</f>
        <v>ΤΟΠΟΘΕΤΗΣΗ ΣΧΑΡΑΣ ΜΕΤΩΠΟΥ = 22.50m X 11.10m</v>
      </c>
      <c r="C46" s="52">
        <f>'1_Στοιχεία_Μελέτης_&amp;_Ποσότητες'!C120</f>
        <v>249.75</v>
      </c>
      <c r="D46" s="10" t="str">
        <f>'1_Στοιχεία_Μελέτης_&amp;_Ποσότητες'!D120</f>
        <v>m²</v>
      </c>
      <c r="E46" s="53">
        <v>15</v>
      </c>
      <c r="F46" s="34">
        <f t="shared" si="2"/>
        <v>3746.25</v>
      </c>
      <c r="G46" s="104"/>
      <c r="H46" s="54" t="str">
        <f>"Φύλλο 1 (C.7): Εργατικά τοποθέτησης σχάρας μετώπου (16.5m × 11.1m) @ 15.00 €/m²"</f>
        <v>Φύλλο 1 (C.7): Εργατικά τοποθέτησης σχάρας μετώπου (16.5m × 11.1m) @ 15.00 €/m²</v>
      </c>
    </row>
    <row r="47" spans="1:8" ht="27" x14ac:dyDescent="0.35">
      <c r="A47" s="50" t="s">
        <v>283</v>
      </c>
      <c r="B47" s="51" t="str">
        <f>'1_Στοιχεία_Μελέτης_&amp;_Ποσότητες'!B121</f>
        <v>ΑΓΟΡΑ ΣΚΥΡΟΔΕΜΑΤΟΣ SHOTCRETE C30/37 = 249.75m² x 0.15m</v>
      </c>
      <c r="C47" s="52">
        <f>'1_Στοιχεία_Μελέτης_&amp;_Ποσότητες'!C121</f>
        <v>37.46</v>
      </c>
      <c r="D47" s="10" t="str">
        <f>'1_Στοιχεία_Μελέτης_&amp;_Ποσότητες'!D121</f>
        <v>m³</v>
      </c>
      <c r="E47" s="53">
        <v>90</v>
      </c>
      <c r="F47" s="34">
        <f t="shared" si="2"/>
        <v>3371.4</v>
      </c>
      <c r="G47" s="104"/>
      <c r="H47" s="54" t="str">
        <f>"Φύλλο 1 (C.8): Αγορά C30/37 ονομαστικού πάχους 15cm @ 90.00 €/m³"</f>
        <v>Φύλλο 1 (C.8): Αγορά C30/37 ονομαστικού πάχους 15cm @ 90.00 €/m³</v>
      </c>
    </row>
    <row r="48" spans="1:8" ht="32" x14ac:dyDescent="0.35">
      <c r="A48" s="50" t="s">
        <v>284</v>
      </c>
      <c r="B48" s="51" t="str">
        <f>'1_Στοιχεία_Μελέτης_&amp;_Ποσότητες'!B122</f>
        <v>ΤΟΠΟΘΕΤΗΣΗ / ΕΚΤΟΞΕΥΣΗ SHOTCRETE = 249.75m² x 0.15m (με απώλεια +33.3%)</v>
      </c>
      <c r="C48" s="52">
        <f>'1_Στοιχεία_Μελέτης_&amp;_Ποσότητες'!C122</f>
        <v>37.46</v>
      </c>
      <c r="D48" s="10" t="str">
        <f>'1_Στοιχεία_Μελέτης_&amp;_Ποσότητες'!D122</f>
        <v>m³</v>
      </c>
      <c r="E48" s="53">
        <f>ROUND((200*(1+'1_Στοιχεία_Μελέτης_&amp;_Ποσότητες'!C77))-90, 2)</f>
        <v>176.67</v>
      </c>
      <c r="F48" s="34">
        <f t="shared" si="2"/>
        <v>6618.06</v>
      </c>
      <c r="G48" s="104"/>
      <c r="H48" s="54" t="str">
        <f>"Φύλλο 1 (C.9): Εκτόξευση/Αντλία = Βάση 200€ × (1+" &amp; TEXT('1_Στοιχεία_Μελέτης_&amp;_Ποσότητες'!C77,"0.0%") &amp; " απώλεια) - 90€ = 176.67 €/m³"</f>
        <v>Φύλλο 1 (C.9): Εκτόξευση/Αντλία = Βάση 200€ × (1+33.3% απώλεια) - 90€ = 176.67 €/m³</v>
      </c>
    </row>
    <row r="49" spans="1:8" ht="32" x14ac:dyDescent="0.35">
      <c r="A49" s="50" t="s">
        <v>286</v>
      </c>
      <c r="B49" s="51" t="str">
        <f>'1_Στοιχεία_Μελέτης_&amp;_Ποσότητες'!B123</f>
        <v>ΔΙΑΤΡΗΣΗ ΑΓΚΥΡΩΣΕΩΝ Ø120mm (3 Σειρές: L1=19m, L2=17m, L3=16m)</v>
      </c>
      <c r="C49" s="52">
        <f>'1_Στοιχεία_Μελέτης_&amp;_Ποσότητες'!C123</f>
        <v>780</v>
      </c>
      <c r="D49" s="10" t="str">
        <f>'1_Στοιχεία_Μελέτης_&amp;_Ποσότητες'!D123</f>
        <v>m</v>
      </c>
      <c r="E49" s="53">
        <v>30</v>
      </c>
      <c r="F49" s="34">
        <f t="shared" si="2"/>
        <v>23400</v>
      </c>
      <c r="G49" s="104"/>
      <c r="H49" s="54" t="str">
        <f>"Φύλλο 1 (C.10): Διάτρηση 33 αγκυρώσεων Ø120mm (Σειρές 1-3: 19m, 17m, 16m) @ 30.00 €/m"</f>
        <v>Φύλλο 1 (C.10): Διάτρηση 33 αγκυρώσεων Ø120mm (Σειρές 1-3: 19m, 17m, 16m) @ 30.00 €/m</v>
      </c>
    </row>
    <row r="50" spans="1:8" ht="32" x14ac:dyDescent="0.35">
      <c r="A50" s="50" t="s">
        <v>288</v>
      </c>
      <c r="B50" s="51" t="str">
        <f>'1_Στοιχεία_Μελέτης_&amp;_Ποσότητες'!B124</f>
        <v>GROUT ΤΣΙΜΕΝΤΕΝΕΜΑ ΑΓΚΥΡΩΣΕΩΝ (με απώλεια 1.20) = 780.00m x 0.0136m³/m</v>
      </c>
      <c r="C50" s="52">
        <f>'1_Στοιχεία_Μελέτης_&amp;_Ποσότητες'!C124</f>
        <v>10.59</v>
      </c>
      <c r="D50" s="10" t="str">
        <f>'1_Στοιχεία_Μελέτης_&amp;_Ποσότητες'!D124</f>
        <v>m³</v>
      </c>
      <c r="E50" s="53">
        <v>500</v>
      </c>
      <c r="F50" s="34">
        <f t="shared" si="2"/>
        <v>5295</v>
      </c>
      <c r="G50" s="104"/>
      <c r="H50" s="54" t="str">
        <f>"Φύλλο 1 (C.11): Grout Ø120mm με απώλεια 1.20 (0.013572 m³/m) @ 500.00 €/m³"</f>
        <v>Φύλλο 1 (C.11): Grout Ø120mm με απώλεια 1.20 (0.013572 m³/m) @ 500.00 €/m³</v>
      </c>
    </row>
    <row r="51" spans="1:8" ht="27" x14ac:dyDescent="0.35">
      <c r="A51" s="50" t="s">
        <v>290</v>
      </c>
      <c r="B51" s="51">
        <f>'1_Στοιχεία_Μελέτης_&amp;_Ποσότητες'!B125</f>
        <v>0</v>
      </c>
      <c r="C51" s="52">
        <f>'1_Στοιχεία_Μελέτης_&amp;_Ποσότητες'!C125</f>
        <v>2475</v>
      </c>
      <c r="D51" s="10" t="str">
        <f>'1_Στοιχεία_Μελέτης_&amp;_Ποσότητες'!D125</f>
        <v>m</v>
      </c>
      <c r="E51" s="53">
        <v>2.2799999999999998</v>
      </c>
      <c r="F51" s="34">
        <f t="shared" si="2"/>
        <v>5643</v>
      </c>
      <c r="G51" s="104"/>
      <c r="H51" s="54" t="str">
        <f>"Φύλλο 1 (C.12): 33 αγκυρώσεις 3-strands (Σειρές 1-3: L=19m, 17m, 16m, +1.0m) @ 2.28 €/m"</f>
        <v>Φύλλο 1 (C.12): 33 αγκυρώσεις 3-strands (Σειρές 1-3: L=19m, 17m, 16m, +1.0m) @ 2.28 €/m</v>
      </c>
    </row>
    <row r="52" spans="1:8" ht="32" x14ac:dyDescent="0.35">
      <c r="A52" s="50" t="s">
        <v>292</v>
      </c>
      <c r="B52" s="51" t="str">
        <f>'1_Στοιχεία_Μελέτης_&amp;_Ποσότητες'!B126</f>
        <v>ΠΡΟΕΝΤΑΣΗ ΑΓΚΥΡΩΣΕΩΝ (STRESSING &amp; LOCK-OFF) = 3 Σειρές X 15No</v>
      </c>
      <c r="C52" s="56">
        <f>'1_Στοιχεία_Μελέτης_&amp;_Ποσότητες'!C126</f>
        <v>45</v>
      </c>
      <c r="D52" s="10" t="str">
        <f>'1_Στοιχεία_Μελέτης_&amp;_Ποσότητες'!D126</f>
        <v>No</v>
      </c>
      <c r="E52" s="53">
        <v>18</v>
      </c>
      <c r="F52" s="34">
        <f t="shared" si="2"/>
        <v>810</v>
      </c>
      <c r="G52" s="104"/>
      <c r="H52" s="54" t="str">
        <f>"Φύλλο 1 (C.13): Προένταση (Stressing &amp; Lock-off) 33 αγκυρώσεων Type C @ 18.00 €/No"</f>
        <v>Φύλλο 1 (C.13): Προένταση (Stressing &amp; Lock-off) 33 αγκυρώσεων Type C @ 18.00 €/No</v>
      </c>
    </row>
    <row r="53" spans="1:8" ht="32" x14ac:dyDescent="0.35">
      <c r="A53" s="57" t="s">
        <v>294</v>
      </c>
      <c r="B53" s="58" t="str">
        <f>'1_Στοιχεία_Μελέτης_&amp;_Ποσότητες'!B127</f>
        <v>ΚΕΦΑΛΕΣ ΑΓΚΥΡΩΣΗΣ (ANCHOR HEAD, WEDGES, PLATE) = 3 Σειρές X 15No</v>
      </c>
      <c r="C53" s="59">
        <f>'1_Στοιχεία_Μελέτης_&amp;_Ποσότητες'!C127</f>
        <v>45</v>
      </c>
      <c r="D53" s="20" t="str">
        <f>'1_Στοιχεία_Μελέτης_&amp;_Ποσότητες'!D127</f>
        <v>No</v>
      </c>
      <c r="E53" s="60">
        <v>55</v>
      </c>
      <c r="F53" s="61">
        <f t="shared" si="2"/>
        <v>2475</v>
      </c>
      <c r="G53" s="105"/>
      <c r="H53" s="62" t="str">
        <f>"Φύλλο 1 (C.14): Πλήρες σετ κεφαλής (Head, Wedges, Plate) 33 αγκυρώσεων Type C @ 55.00 €/No"</f>
        <v>Φύλλο 1 (C.14): Πλήρες σετ κεφαλής (Head, Wedges, Plate) 33 αγκυρώσεων Type C @ 55.00 €/No</v>
      </c>
    </row>
    <row r="55" spans="1:8" ht="34" x14ac:dyDescent="0.35">
      <c r="A55" s="46" t="s">
        <v>362</v>
      </c>
      <c r="B55" s="47" t="str">
        <f>"ΜΕΤΑΚΙΝΗΣΕΙΣ ΜΗΧΑΝΗΜΑΤΩΝ &amp; ΣΥΝΕΡΓΕΙΩΝ ΕΡΓΟΥ (MOBILIZATION — 3 ΕΙΔΗ)"</f>
        <v>ΜΕΤΑΚΙΝΗΣΕΙΣ ΜΗΧΑΝΗΜΑΤΩΝ &amp; ΣΥΝΕΡΓΕΙΩΝ ΕΡΓΟΥ (MOBILIZATION — 3 ΕΙΔΗ)</v>
      </c>
      <c r="C55" s="48">
        <f>'1_Στοιχεία_Μελέτης_&amp;_Ποσότητες'!C134</f>
        <v>174</v>
      </c>
      <c r="D55" s="46" t="s">
        <v>97</v>
      </c>
      <c r="E55" s="48">
        <f>ROUND(F55/C55, 2)</f>
        <v>21.26</v>
      </c>
      <c r="F55" s="48">
        <f>SUM(F56:F58)</f>
        <v>3700</v>
      </c>
      <c r="G55" s="46" t="s">
        <v>358</v>
      </c>
      <c r="H55" s="49" t="s">
        <v>363</v>
      </c>
    </row>
    <row r="56" spans="1:8" ht="27" x14ac:dyDescent="0.35">
      <c r="A56" s="50" t="s">
        <v>298</v>
      </c>
      <c r="B56" s="51" t="str">
        <f>'1_Στοιχεία_Μελέτης_&amp;_Ποσότητες'!B130</f>
        <v>Στράτες Μεγάλου Τρυπανιού (Piling Rig)</v>
      </c>
      <c r="C56" s="56">
        <f>'1_Στοιχεία_Μελέτης_&amp;_Ποσότητες'!C130</f>
        <v>1</v>
      </c>
      <c r="D56" s="10" t="str">
        <f>'1_Στοιχεία_Μελέτης_&amp;_Ποσότητες'!D130</f>
        <v>στράτες</v>
      </c>
      <c r="E56" s="53">
        <v>1500</v>
      </c>
      <c r="F56" s="34">
        <f>ROUND(C56*E56, 2)</f>
        <v>1500</v>
      </c>
      <c r="G56" s="103">
        <f>F55</f>
        <v>3700</v>
      </c>
      <c r="H56" s="54" t="s">
        <v>364</v>
      </c>
    </row>
    <row r="57" spans="1:8" ht="27" x14ac:dyDescent="0.35">
      <c r="A57" s="50" t="s">
        <v>302</v>
      </c>
      <c r="B57" s="51" t="str">
        <f>'1_Στοιχεία_Μελέτης_&amp;_Ποσότητες'!B131</f>
        <v>Στράτες Εξοπλισμού Αγκυρώσεων (όσες οι μέγιστες σειρές)</v>
      </c>
      <c r="C57" s="56">
        <f>'1_Στοιχεία_Μελέτης_&amp;_Ποσότητες'!C131</f>
        <v>4</v>
      </c>
      <c r="D57" s="10" t="str">
        <f>'1_Στοιχεία_Μελέτης_&amp;_Ποσότητες'!D131</f>
        <v>στράτες</v>
      </c>
      <c r="E57" s="53">
        <v>300</v>
      </c>
      <c r="F57" s="34">
        <f>ROUND(C57*E57, 2)</f>
        <v>1200</v>
      </c>
      <c r="G57" s="104"/>
      <c r="H57" s="54" t="str">
        <f>'1_Στοιχεία_Μελέτης_&amp;_Ποσότητες'!C131 &amp; " στράτες εξοπλισμού αγκυρώσεων (όσες οι σειρές αγκυρώσεων = 4) @ 300.00 €"</f>
        <v>4 στράτες εξοπλισμού αγκυρώσεων (όσες οι σειρές αγκυρώσεων = 4) @ 300.00 €</v>
      </c>
    </row>
    <row r="58" spans="1:8" ht="27" x14ac:dyDescent="0.35">
      <c r="A58" s="57" t="s">
        <v>304</v>
      </c>
      <c r="B58" s="58" t="str">
        <f>'1_Στοιχεία_Μελέτης_&amp;_Ποσότητες'!B132</f>
        <v>Στράτες Συνεργείου &amp; Αντλίας Shotcrete (σειρές + 1)</v>
      </c>
      <c r="C58" s="59">
        <f>'1_Στοιχεία_Μελέτης_&amp;_Ποσότητες'!C132</f>
        <v>5</v>
      </c>
      <c r="D58" s="20" t="str">
        <f>'1_Στοιχεία_Μελέτης_&amp;_Ποσότητες'!D132</f>
        <v>στράτες</v>
      </c>
      <c r="E58" s="60">
        <v>200</v>
      </c>
      <c r="F58" s="61">
        <f>ROUND(C58*E58, 2)</f>
        <v>1000</v>
      </c>
      <c r="G58" s="105"/>
      <c r="H58" s="62" t="str">
        <f>'1_Στοιχεία_Μελέτης_&amp;_Ποσότητες'!C132 &amp; " στράτες συνεργείου &amp; αντλίας shotcrete (σειρές + 1 = 5) @ 200.00 €"</f>
        <v>5 στράτες συνεργείου &amp; αντλίας shotcrete (σειρές + 1 = 5) @ 200.00 €</v>
      </c>
    </row>
    <row r="60" spans="1:8" x14ac:dyDescent="0.35">
      <c r="A60" s="109" t="s">
        <v>365</v>
      </c>
      <c r="B60" s="107"/>
      <c r="C60" s="107"/>
      <c r="D60" s="107"/>
      <c r="E60" s="107"/>
      <c r="F60" s="107"/>
      <c r="G60" s="107"/>
      <c r="H60" s="108"/>
    </row>
    <row r="61" spans="1:8" ht="16" x14ac:dyDescent="0.45">
      <c r="A61" s="7" t="s">
        <v>88</v>
      </c>
      <c r="B61" s="39" t="s">
        <v>366</v>
      </c>
      <c r="C61" s="63">
        <f>C5</f>
        <v>40.5</v>
      </c>
      <c r="D61" s="10" t="s">
        <v>97</v>
      </c>
      <c r="E61" s="64">
        <f>E5</f>
        <v>7324.78</v>
      </c>
      <c r="F61" s="65">
        <f>F5</f>
        <v>296653.72999999992</v>
      </c>
      <c r="G61" s="66">
        <f t="shared" ref="G61:G70" si="3">F61</f>
        <v>296653.72999999992</v>
      </c>
      <c r="H61" s="12" t="s">
        <v>367</v>
      </c>
    </row>
    <row r="62" spans="1:8" ht="16" x14ac:dyDescent="0.45">
      <c r="A62" s="7" t="s">
        <v>132</v>
      </c>
      <c r="B62" s="39" t="s">
        <v>368</v>
      </c>
      <c r="C62" s="63">
        <f>C22</f>
        <v>111</v>
      </c>
      <c r="D62" s="10" t="s">
        <v>97</v>
      </c>
      <c r="E62" s="64">
        <f>E22</f>
        <v>6539.23</v>
      </c>
      <c r="F62" s="65">
        <f>F22</f>
        <v>725854.84</v>
      </c>
      <c r="G62" s="66">
        <f t="shared" si="3"/>
        <v>725854.84</v>
      </c>
      <c r="H62" s="12" t="s">
        <v>369</v>
      </c>
    </row>
    <row r="63" spans="1:8" ht="16" x14ac:dyDescent="0.45">
      <c r="A63" s="7" t="s">
        <v>162</v>
      </c>
      <c r="B63" s="39" t="s">
        <v>370</v>
      </c>
      <c r="C63" s="63">
        <f>C39</f>
        <v>22.5</v>
      </c>
      <c r="D63" s="10" t="s">
        <v>97</v>
      </c>
      <c r="E63" s="64">
        <f>E39</f>
        <v>4841.1899999999996</v>
      </c>
      <c r="F63" s="65">
        <f>F39</f>
        <v>108926.88</v>
      </c>
      <c r="G63" s="66">
        <f t="shared" si="3"/>
        <v>108926.88</v>
      </c>
      <c r="H63" s="12" t="s">
        <v>371</v>
      </c>
    </row>
    <row r="64" spans="1:8" ht="16" x14ac:dyDescent="0.45">
      <c r="A64" s="7" t="s">
        <v>362</v>
      </c>
      <c r="B64" s="39" t="s">
        <v>372</v>
      </c>
      <c r="C64" s="67">
        <f>'1_Στοιχεία_Μελέτης_&amp;_Ποσότητες'!C130+'1_Στοιχεία_Μελέτης_&amp;_Ποσότητες'!C131+'1_Στοιχεία_Μελέτης_&amp;_Ποσότητες'!C132</f>
        <v>10</v>
      </c>
      <c r="D64" s="10" t="s">
        <v>300</v>
      </c>
      <c r="E64" s="68" t="s">
        <v>14</v>
      </c>
      <c r="F64" s="65">
        <f>F55</f>
        <v>3700</v>
      </c>
      <c r="G64" s="66">
        <f t="shared" si="3"/>
        <v>3700</v>
      </c>
      <c r="H64" s="12" t="s">
        <v>373</v>
      </c>
    </row>
    <row r="65" spans="1:8" ht="16" x14ac:dyDescent="0.35">
      <c r="A65" s="7" t="s">
        <v>374</v>
      </c>
      <c r="B65" s="11" t="s">
        <v>375</v>
      </c>
      <c r="C65" s="63">
        <f>'1_Στοιχεία_Μελέτης_&amp;_Ποσότητες'!C135</f>
        <v>2669.85</v>
      </c>
      <c r="D65" s="10" t="s">
        <v>224</v>
      </c>
      <c r="E65" s="64">
        <f>ROUND(G65/C65, 2)</f>
        <v>68.150000000000006</v>
      </c>
      <c r="F65" s="65">
        <f>SUM(F11:F14)+SUM(F28:F31)+SUM(F45:F48)</f>
        <v>181958.97</v>
      </c>
      <c r="G65" s="69">
        <f t="shared" si="3"/>
        <v>181958.97</v>
      </c>
      <c r="H65" s="12" t="s">
        <v>376</v>
      </c>
    </row>
    <row r="66" spans="1:8" ht="16" x14ac:dyDescent="0.35">
      <c r="A66" s="7" t="s">
        <v>377</v>
      </c>
      <c r="B66" s="11" t="s">
        <v>378</v>
      </c>
      <c r="C66" s="67">
        <f>'1_Στοιχεία_Μελέτης_&amp;_Ποσότητες'!C133</f>
        <v>116</v>
      </c>
      <c r="D66" s="10" t="s">
        <v>379</v>
      </c>
      <c r="E66" s="64">
        <f>ROUND(G66/C66, 2)</f>
        <v>4785.84</v>
      </c>
      <c r="F66" s="65">
        <f>SUM(F6:F10)+SUM(F23:F27)+SUM(F40:F44)</f>
        <v>555157.69999999995</v>
      </c>
      <c r="G66" s="69">
        <f t="shared" si="3"/>
        <v>555157.69999999995</v>
      </c>
      <c r="H66" s="12" t="s">
        <v>380</v>
      </c>
    </row>
    <row r="67" spans="1:8" ht="16" x14ac:dyDescent="0.35">
      <c r="A67" s="7" t="s">
        <v>381</v>
      </c>
      <c r="B67" s="11" t="s">
        <v>382</v>
      </c>
      <c r="C67" s="67">
        <f>'1_Στοιχεία_Μελέτης_&amp;_Ποσότητες'!C144</f>
        <v>449</v>
      </c>
      <c r="D67" s="10" t="s">
        <v>383</v>
      </c>
      <c r="E67" s="64">
        <f>ROUND(G67/C67, 2)</f>
        <v>878.22</v>
      </c>
      <c r="F67" s="65">
        <f>SUM(F15:F20)+SUM(F32:F37)+SUM(F49:F53)</f>
        <v>394318.78</v>
      </c>
      <c r="G67" s="69">
        <f t="shared" si="3"/>
        <v>394318.78</v>
      </c>
      <c r="H67" s="12" t="s">
        <v>384</v>
      </c>
    </row>
    <row r="68" spans="1:8" ht="35" x14ac:dyDescent="0.45">
      <c r="A68" s="70" t="s">
        <v>385</v>
      </c>
      <c r="B68" s="71" t="s">
        <v>386</v>
      </c>
      <c r="C68" s="72">
        <f>'1_Στοιχεία_Μελέτης_&amp;_Ποσότητες'!C134</f>
        <v>174</v>
      </c>
      <c r="D68" s="73" t="s">
        <v>97</v>
      </c>
      <c r="E68" s="74">
        <f>ROUND(G68/C68, 2)</f>
        <v>6523.77</v>
      </c>
      <c r="F68" s="75">
        <f>SUM(F61:F64)</f>
        <v>1135135.4499999997</v>
      </c>
      <c r="G68" s="75">
        <f t="shared" si="3"/>
        <v>1135135.4499999997</v>
      </c>
      <c r="H68" s="76" t="str">
        <f>"Ισούται ακριβώς με το άθροισμα των 4 Πυλώνων (" &amp; TEXT(SUM(F64:F67),"#,##0.00") &amp; " €)"</f>
        <v>Ισούται ακριβώς με το άθροισμα των 4 Πυλώνων (1,135,135.45 €)</v>
      </c>
    </row>
    <row r="69" spans="1:8" ht="16" x14ac:dyDescent="0.45">
      <c r="A69" s="7" t="s">
        <v>387</v>
      </c>
      <c r="B69" s="39" t="s">
        <v>388</v>
      </c>
      <c r="C69" s="77"/>
      <c r="D69" s="77"/>
      <c r="E69" s="77"/>
      <c r="F69" s="65">
        <f>ROUND(F68*0.19, 2)</f>
        <v>215675.74</v>
      </c>
      <c r="G69" s="69">
        <f t="shared" si="3"/>
        <v>215675.74</v>
      </c>
      <c r="H69" s="12" t="s">
        <v>389</v>
      </c>
    </row>
    <row r="70" spans="1:8" ht="17.5" x14ac:dyDescent="0.45">
      <c r="A70" s="78" t="s">
        <v>390</v>
      </c>
      <c r="B70" s="79" t="s">
        <v>391</v>
      </c>
      <c r="C70" s="80"/>
      <c r="D70" s="80"/>
      <c r="E70" s="80"/>
      <c r="F70" s="81">
        <f>F68+F69</f>
        <v>1350811.1899999997</v>
      </c>
      <c r="G70" s="81">
        <f t="shared" si="3"/>
        <v>1350811.1899999997</v>
      </c>
      <c r="H70" s="82" t="s">
        <v>392</v>
      </c>
    </row>
    <row r="72" spans="1:8" ht="16" x14ac:dyDescent="0.45">
      <c r="A72" s="106" t="s">
        <v>393</v>
      </c>
      <c r="B72" s="107"/>
      <c r="C72" s="107"/>
      <c r="D72" s="107"/>
      <c r="E72" s="107"/>
      <c r="F72" s="107"/>
      <c r="G72" s="107"/>
      <c r="H72" s="108"/>
    </row>
    <row r="73" spans="1:8" ht="16" x14ac:dyDescent="0.45">
      <c r="A73" s="7" t="s">
        <v>394</v>
      </c>
      <c r="B73" s="39" t="s">
        <v>395</v>
      </c>
      <c r="C73" s="63">
        <f>'1_Στοιχεία_Μελέτης_&amp;_Ποσότητες'!C135</f>
        <v>2669.85</v>
      </c>
      <c r="D73" s="10" t="s">
        <v>396</v>
      </c>
      <c r="E73" s="77"/>
      <c r="F73" s="77"/>
      <c r="G73" s="69">
        <f>ROUND(G68/'1_Στοιχεία_Μελέτης_&amp;_Ποσότητες'!C135, 2)</f>
        <v>425.17</v>
      </c>
      <c r="H73" s="12" t="str">
        <f>"Καθαρό Σύνολο / " &amp; TEXT('1_Στοιχεία_Μελέτης_&amp;_Ποσότητες'!C135,"#,##0.00") &amp; " m²"</f>
        <v>Καθαρό Σύνολο / 2,669.85 m²</v>
      </c>
    </row>
    <row r="74" spans="1:8" ht="16" x14ac:dyDescent="0.45">
      <c r="A74" s="7" t="s">
        <v>397</v>
      </c>
      <c r="B74" s="39" t="s">
        <v>398</v>
      </c>
      <c r="C74" s="63">
        <f>'1_Στοιχεία_Μελέτης_&amp;_Ποσότητες'!C134</f>
        <v>174</v>
      </c>
      <c r="D74" s="10" t="s">
        <v>399</v>
      </c>
      <c r="E74" s="77"/>
      <c r="F74" s="77"/>
      <c r="G74" s="69">
        <f>ROUND(G68/'1_Στοιχεία_Μελέτης_&amp;_Ποσότητες'!C134, 2)</f>
        <v>6523.77</v>
      </c>
      <c r="H74" s="12" t="str">
        <f>"Καθαρό Σύνολο / " &amp; TEXT('1_Στοιχεία_Μελέτης_&amp;_Ποσότητες'!C134,"#,##0.00") &amp; " τρ.μ."</f>
        <v>Καθαρό Σύνολο / 174.00 τρ.μ.</v>
      </c>
    </row>
    <row r="75" spans="1:8" ht="16" x14ac:dyDescent="0.45">
      <c r="A75" s="7" t="s">
        <v>400</v>
      </c>
      <c r="B75" s="39" t="s">
        <v>401</v>
      </c>
      <c r="C75" s="63">
        <f>'1_Στοιχεία_Μελέτης_&amp;_Ποσότητες'!C133</f>
        <v>116</v>
      </c>
      <c r="D75" s="10" t="s">
        <v>402</v>
      </c>
      <c r="E75" s="77"/>
      <c r="F75" s="77"/>
      <c r="G75" s="69">
        <f>ROUND(G68/'1_Στοιχεία_Μελέτης_&amp;_Ποσότητες'!C133, 2)</f>
        <v>9785.65</v>
      </c>
      <c r="H75" s="12" t="str">
        <f>"Καθαρό Σύνολο / " &amp; '1_Στοιχεία_Μελέτης_&amp;_Ποσότητες'!C133 &amp; " πασσάλους"</f>
        <v>Καθαρό Σύνολο / 116 πασσάλους</v>
      </c>
    </row>
    <row r="76" spans="1:8" ht="32" x14ac:dyDescent="0.45">
      <c r="A76" s="17" t="s">
        <v>403</v>
      </c>
      <c r="B76" s="42" t="s">
        <v>404</v>
      </c>
      <c r="C76" s="83">
        <f>'1_Στοιχεία_Μελέτης_&amp;_Ποσότητες'!C144</f>
        <v>449</v>
      </c>
      <c r="D76" s="20" t="s">
        <v>405</v>
      </c>
      <c r="E76" s="84"/>
      <c r="F76" s="84"/>
      <c r="G76" s="85">
        <f>ROUND(G67/'1_Στοιχεία_Μελέτης_&amp;_Ποσότητες'!C144, 2)</f>
        <v>878.22</v>
      </c>
      <c r="H76" s="22" t="str">
        <f>"Σύνολο Πυλώνα 4 / " &amp; '1_Στοιχεία_Μελέτης_&amp;_Ποσότητες'!C144 &amp; " αγκυρώσεις"</f>
        <v>Σύνολο Πυλώνα 4 / 449 αγκυρώσεις</v>
      </c>
    </row>
  </sheetData>
  <mergeCells count="6">
    <mergeCell ref="G23:G37"/>
    <mergeCell ref="G56:G58"/>
    <mergeCell ref="A72:H72"/>
    <mergeCell ref="A60:H60"/>
    <mergeCell ref="G6:G20"/>
    <mergeCell ref="G40:G5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8"/>
  <sheetViews>
    <sheetView workbookViewId="0">
      <selection sqref="A1:G1"/>
    </sheetView>
  </sheetViews>
  <sheetFormatPr defaultRowHeight="14.5" x14ac:dyDescent="0.35"/>
  <cols>
    <col min="1" max="1" width="20" customWidth="1"/>
    <col min="2" max="2" width="16" customWidth="1"/>
    <col min="3" max="5" width="14" customWidth="1"/>
    <col min="6" max="6" width="16" customWidth="1"/>
    <col min="7" max="7" width="18" customWidth="1"/>
  </cols>
  <sheetData>
    <row r="1" spans="1:7" ht="18.5" x14ac:dyDescent="0.35">
      <c r="A1" s="110" t="s">
        <v>406</v>
      </c>
      <c r="B1" s="93"/>
      <c r="C1" s="93"/>
      <c r="D1" s="93"/>
      <c r="E1" s="93"/>
      <c r="F1" s="93"/>
      <c r="G1" s="93"/>
    </row>
    <row r="2" spans="1:7" x14ac:dyDescent="0.35">
      <c r="A2" s="86" t="s">
        <v>407</v>
      </c>
    </row>
    <row r="4" spans="1:7" ht="15.5" x14ac:dyDescent="0.35">
      <c r="A4" s="111" t="s">
        <v>408</v>
      </c>
      <c r="B4" s="93"/>
      <c r="C4" s="93"/>
      <c r="D4" s="93"/>
      <c r="E4" s="93"/>
      <c r="F4" s="93"/>
      <c r="G4" s="93"/>
    </row>
    <row r="5" spans="1:7" x14ac:dyDescent="0.35">
      <c r="A5" s="87" t="s">
        <v>409</v>
      </c>
      <c r="B5" s="87" t="s">
        <v>410</v>
      </c>
      <c r="C5" s="87" t="s">
        <v>411</v>
      </c>
      <c r="D5" s="87" t="s">
        <v>412</v>
      </c>
      <c r="E5" s="87" t="s">
        <v>413</v>
      </c>
      <c r="F5" s="87" t="s">
        <v>414</v>
      </c>
      <c r="G5" s="87" t="s">
        <v>415</v>
      </c>
    </row>
    <row r="6" spans="1:7" x14ac:dyDescent="0.35">
      <c r="A6" s="88" t="s">
        <v>416</v>
      </c>
      <c r="B6" s="89">
        <v>133</v>
      </c>
      <c r="C6" s="89">
        <v>140</v>
      </c>
      <c r="D6" s="90">
        <v>5.5</v>
      </c>
      <c r="E6" s="90">
        <v>8.5</v>
      </c>
      <c r="F6" s="90">
        <v>31.4</v>
      </c>
      <c r="G6" s="91">
        <v>24.7</v>
      </c>
    </row>
    <row r="7" spans="1:7" x14ac:dyDescent="0.35">
      <c r="A7" s="88" t="s">
        <v>417</v>
      </c>
      <c r="B7" s="89">
        <v>152</v>
      </c>
      <c r="C7" s="89">
        <v>160</v>
      </c>
      <c r="D7" s="90">
        <v>6</v>
      </c>
      <c r="E7" s="90">
        <v>9</v>
      </c>
      <c r="F7" s="90">
        <v>38.799999999999997</v>
      </c>
      <c r="G7" s="91">
        <v>30.4</v>
      </c>
    </row>
    <row r="8" spans="1:7" x14ac:dyDescent="0.35">
      <c r="A8" s="88" t="s">
        <v>418</v>
      </c>
      <c r="B8" s="89">
        <v>171</v>
      </c>
      <c r="C8" s="89">
        <v>180</v>
      </c>
      <c r="D8" s="90">
        <v>6</v>
      </c>
      <c r="E8" s="90">
        <v>9.5</v>
      </c>
      <c r="F8" s="90">
        <v>45.3</v>
      </c>
      <c r="G8" s="91">
        <v>35.5</v>
      </c>
    </row>
    <row r="9" spans="1:7" x14ac:dyDescent="0.35">
      <c r="A9" s="88" t="s">
        <v>419</v>
      </c>
      <c r="B9" s="89">
        <v>190</v>
      </c>
      <c r="C9" s="89">
        <v>200</v>
      </c>
      <c r="D9" s="90">
        <v>6.5</v>
      </c>
      <c r="E9" s="90">
        <v>10</v>
      </c>
      <c r="F9" s="90">
        <v>53.8</v>
      </c>
      <c r="G9" s="91">
        <v>42.3</v>
      </c>
    </row>
    <row r="10" spans="1:7" x14ac:dyDescent="0.35">
      <c r="A10" s="88" t="s">
        <v>420</v>
      </c>
      <c r="B10" s="89">
        <v>210</v>
      </c>
      <c r="C10" s="89">
        <v>220</v>
      </c>
      <c r="D10" s="90">
        <v>7</v>
      </c>
      <c r="E10" s="90">
        <v>11</v>
      </c>
      <c r="F10" s="90">
        <v>64.3</v>
      </c>
      <c r="G10" s="91">
        <v>50.5</v>
      </c>
    </row>
    <row r="11" spans="1:7" x14ac:dyDescent="0.35">
      <c r="A11" s="88" t="s">
        <v>421</v>
      </c>
      <c r="B11" s="89">
        <v>230</v>
      </c>
      <c r="C11" s="89">
        <v>240</v>
      </c>
      <c r="D11" s="90">
        <v>7.5</v>
      </c>
      <c r="E11" s="90">
        <v>12</v>
      </c>
      <c r="F11" s="90">
        <v>76.8</v>
      </c>
      <c r="G11" s="91">
        <v>60.3</v>
      </c>
    </row>
    <row r="12" spans="1:7" x14ac:dyDescent="0.35">
      <c r="A12" s="88" t="s">
        <v>422</v>
      </c>
      <c r="B12" s="89">
        <v>250</v>
      </c>
      <c r="C12" s="89">
        <v>260</v>
      </c>
      <c r="D12" s="90">
        <v>7.5</v>
      </c>
      <c r="E12" s="90">
        <v>12.5</v>
      </c>
      <c r="F12" s="90">
        <v>86.8</v>
      </c>
      <c r="G12" s="91">
        <v>68.2</v>
      </c>
    </row>
    <row r="13" spans="1:7" x14ac:dyDescent="0.35">
      <c r="A13" s="88" t="s">
        <v>423</v>
      </c>
      <c r="B13" s="89">
        <v>270</v>
      </c>
      <c r="C13" s="89">
        <v>280</v>
      </c>
      <c r="D13" s="90">
        <v>8</v>
      </c>
      <c r="E13" s="90">
        <v>13</v>
      </c>
      <c r="F13" s="90">
        <v>97.3</v>
      </c>
      <c r="G13" s="91">
        <v>76.400000000000006</v>
      </c>
    </row>
    <row r="14" spans="1:7" x14ac:dyDescent="0.35">
      <c r="A14" s="88" t="s">
        <v>424</v>
      </c>
      <c r="B14" s="89">
        <v>290</v>
      </c>
      <c r="C14" s="89">
        <v>300</v>
      </c>
      <c r="D14" s="90">
        <v>8.5</v>
      </c>
      <c r="E14" s="90">
        <v>14</v>
      </c>
      <c r="F14" s="90">
        <v>112.5</v>
      </c>
      <c r="G14" s="91">
        <v>88.3</v>
      </c>
    </row>
    <row r="16" spans="1:7" ht="15.5" x14ac:dyDescent="0.35">
      <c r="A16" s="111" t="s">
        <v>425</v>
      </c>
      <c r="B16" s="93"/>
      <c r="C16" s="93"/>
      <c r="D16" s="93"/>
      <c r="E16" s="93"/>
      <c r="F16" s="93"/>
      <c r="G16" s="93"/>
    </row>
    <row r="17" spans="1:7" x14ac:dyDescent="0.35">
      <c r="A17" s="87" t="s">
        <v>409</v>
      </c>
      <c r="B17" s="87" t="s">
        <v>410</v>
      </c>
      <c r="C17" s="87" t="s">
        <v>411</v>
      </c>
      <c r="D17" s="87" t="s">
        <v>412</v>
      </c>
      <c r="E17" s="87" t="s">
        <v>413</v>
      </c>
      <c r="F17" s="87" t="s">
        <v>414</v>
      </c>
      <c r="G17" s="87" t="s">
        <v>415</v>
      </c>
    </row>
    <row r="18" spans="1:7" x14ac:dyDescent="0.35">
      <c r="A18" s="88" t="s">
        <v>426</v>
      </c>
      <c r="B18" s="89">
        <v>140</v>
      </c>
      <c r="C18" s="89">
        <v>140</v>
      </c>
      <c r="D18" s="90">
        <v>7</v>
      </c>
      <c r="E18" s="90">
        <v>12</v>
      </c>
      <c r="F18" s="90">
        <v>43</v>
      </c>
      <c r="G18" s="91">
        <v>33.700000000000003</v>
      </c>
    </row>
    <row r="19" spans="1:7" x14ac:dyDescent="0.35">
      <c r="A19" s="88" t="s">
        <v>427</v>
      </c>
      <c r="B19" s="89">
        <v>160</v>
      </c>
      <c r="C19" s="89">
        <v>160</v>
      </c>
      <c r="D19" s="90">
        <v>8</v>
      </c>
      <c r="E19" s="90">
        <v>13</v>
      </c>
      <c r="F19" s="90">
        <v>54.3</v>
      </c>
      <c r="G19" s="91">
        <v>42.6</v>
      </c>
    </row>
    <row r="20" spans="1:7" x14ac:dyDescent="0.35">
      <c r="A20" s="88" t="s">
        <v>428</v>
      </c>
      <c r="B20" s="89">
        <v>180</v>
      </c>
      <c r="C20" s="89">
        <v>180</v>
      </c>
      <c r="D20" s="90">
        <v>8.5</v>
      </c>
      <c r="E20" s="90">
        <v>14</v>
      </c>
      <c r="F20" s="90">
        <v>65.3</v>
      </c>
      <c r="G20" s="91">
        <v>51.2</v>
      </c>
    </row>
    <row r="21" spans="1:7" x14ac:dyDescent="0.35">
      <c r="A21" s="88" t="s">
        <v>429</v>
      </c>
      <c r="B21" s="89">
        <v>200</v>
      </c>
      <c r="C21" s="89">
        <v>200</v>
      </c>
      <c r="D21" s="90">
        <v>9</v>
      </c>
      <c r="E21" s="90">
        <v>15</v>
      </c>
      <c r="F21" s="90">
        <v>78.099999999999994</v>
      </c>
      <c r="G21" s="91">
        <v>61.3</v>
      </c>
    </row>
    <row r="22" spans="1:7" x14ac:dyDescent="0.35">
      <c r="A22" s="88" t="s">
        <v>430</v>
      </c>
      <c r="B22" s="89">
        <v>220</v>
      </c>
      <c r="C22" s="89">
        <v>220</v>
      </c>
      <c r="D22" s="90">
        <v>9.5</v>
      </c>
      <c r="E22" s="90">
        <v>16</v>
      </c>
      <c r="F22" s="90">
        <v>91</v>
      </c>
      <c r="G22" s="91">
        <v>71.5</v>
      </c>
    </row>
    <row r="23" spans="1:7" x14ac:dyDescent="0.35">
      <c r="A23" s="88" t="s">
        <v>431</v>
      </c>
      <c r="B23" s="89">
        <v>240</v>
      </c>
      <c r="C23" s="89">
        <v>240</v>
      </c>
      <c r="D23" s="90">
        <v>10</v>
      </c>
      <c r="E23" s="90">
        <v>17</v>
      </c>
      <c r="F23" s="90">
        <v>106</v>
      </c>
      <c r="G23" s="91">
        <v>83.2</v>
      </c>
    </row>
    <row r="24" spans="1:7" x14ac:dyDescent="0.35">
      <c r="A24" s="88" t="s">
        <v>432</v>
      </c>
      <c r="B24" s="89">
        <v>260</v>
      </c>
      <c r="C24" s="89">
        <v>260</v>
      </c>
      <c r="D24" s="90">
        <v>10</v>
      </c>
      <c r="E24" s="90">
        <v>17.5</v>
      </c>
      <c r="F24" s="90">
        <v>118.4</v>
      </c>
      <c r="G24" s="91">
        <v>93</v>
      </c>
    </row>
    <row r="25" spans="1:7" x14ac:dyDescent="0.35">
      <c r="A25" s="88" t="s">
        <v>433</v>
      </c>
      <c r="B25" s="89">
        <v>280</v>
      </c>
      <c r="C25" s="89">
        <v>280</v>
      </c>
      <c r="D25" s="90">
        <v>10.5</v>
      </c>
      <c r="E25" s="90">
        <v>18</v>
      </c>
      <c r="F25" s="90">
        <v>131.4</v>
      </c>
      <c r="G25" s="91">
        <v>103</v>
      </c>
    </row>
    <row r="26" spans="1:7" x14ac:dyDescent="0.35">
      <c r="A26" s="88" t="s">
        <v>434</v>
      </c>
      <c r="B26" s="89">
        <v>300</v>
      </c>
      <c r="C26" s="89">
        <v>300</v>
      </c>
      <c r="D26" s="90">
        <v>11</v>
      </c>
      <c r="E26" s="90">
        <v>19</v>
      </c>
      <c r="F26" s="90">
        <v>149.1</v>
      </c>
      <c r="G26" s="91">
        <v>117</v>
      </c>
    </row>
    <row r="28" spans="1:7" ht="15.5" x14ac:dyDescent="0.35">
      <c r="A28" s="111" t="s">
        <v>435</v>
      </c>
      <c r="B28" s="93"/>
      <c r="C28" s="93"/>
      <c r="D28" s="93"/>
      <c r="E28" s="93"/>
      <c r="F28" s="93"/>
      <c r="G28" s="93"/>
    </row>
    <row r="29" spans="1:7" x14ac:dyDescent="0.35">
      <c r="A29" s="87" t="s">
        <v>409</v>
      </c>
      <c r="B29" s="87" t="s">
        <v>410</v>
      </c>
      <c r="C29" s="87" t="s">
        <v>411</v>
      </c>
      <c r="D29" s="87" t="s">
        <v>412</v>
      </c>
      <c r="E29" s="87" t="s">
        <v>413</v>
      </c>
      <c r="F29" s="87" t="s">
        <v>414</v>
      </c>
      <c r="G29" s="87" t="s">
        <v>415</v>
      </c>
    </row>
    <row r="30" spans="1:7" x14ac:dyDescent="0.35">
      <c r="A30" s="88" t="s">
        <v>436</v>
      </c>
      <c r="B30" s="89">
        <v>140</v>
      </c>
      <c r="C30" s="89">
        <v>60</v>
      </c>
      <c r="D30" s="90">
        <v>7</v>
      </c>
      <c r="E30" s="90">
        <v>10</v>
      </c>
      <c r="F30" s="90">
        <v>20.399999999999999</v>
      </c>
      <c r="G30" s="91">
        <v>16</v>
      </c>
    </row>
    <row r="31" spans="1:7" x14ac:dyDescent="0.35">
      <c r="A31" s="88" t="s">
        <v>437</v>
      </c>
      <c r="B31" s="89">
        <v>160</v>
      </c>
      <c r="C31" s="89">
        <v>65</v>
      </c>
      <c r="D31" s="90">
        <v>7.5</v>
      </c>
      <c r="E31" s="90">
        <v>10.5</v>
      </c>
      <c r="F31" s="90">
        <v>24</v>
      </c>
      <c r="G31" s="91">
        <v>18.8</v>
      </c>
    </row>
    <row r="32" spans="1:7" x14ac:dyDescent="0.35">
      <c r="A32" s="88" t="s">
        <v>438</v>
      </c>
      <c r="B32" s="89">
        <v>180</v>
      </c>
      <c r="C32" s="89">
        <v>70</v>
      </c>
      <c r="D32" s="90">
        <v>8</v>
      </c>
      <c r="E32" s="90">
        <v>11</v>
      </c>
      <c r="F32" s="90">
        <v>28</v>
      </c>
      <c r="G32" s="91">
        <v>22</v>
      </c>
    </row>
    <row r="33" spans="1:7" x14ac:dyDescent="0.35">
      <c r="A33" s="88" t="s">
        <v>439</v>
      </c>
      <c r="B33" s="89">
        <v>200</v>
      </c>
      <c r="C33" s="89">
        <v>75</v>
      </c>
      <c r="D33" s="90">
        <v>8.5</v>
      </c>
      <c r="E33" s="90">
        <v>11.5</v>
      </c>
      <c r="F33" s="90">
        <v>32.200000000000003</v>
      </c>
      <c r="G33" s="91">
        <v>25.3</v>
      </c>
    </row>
    <row r="34" spans="1:7" x14ac:dyDescent="0.35">
      <c r="A34" s="88" t="s">
        <v>440</v>
      </c>
      <c r="B34" s="89">
        <v>220</v>
      </c>
      <c r="C34" s="89">
        <v>80</v>
      </c>
      <c r="D34" s="90">
        <v>9</v>
      </c>
      <c r="E34" s="90">
        <v>12.5</v>
      </c>
      <c r="F34" s="90">
        <v>37.4</v>
      </c>
      <c r="G34" s="91">
        <v>29.4</v>
      </c>
    </row>
    <row r="35" spans="1:7" x14ac:dyDescent="0.35">
      <c r="A35" s="88" t="s">
        <v>441</v>
      </c>
      <c r="B35" s="89">
        <v>240</v>
      </c>
      <c r="C35" s="89">
        <v>85</v>
      </c>
      <c r="D35" s="90">
        <v>9.5</v>
      </c>
      <c r="E35" s="90">
        <v>13</v>
      </c>
      <c r="F35" s="90">
        <v>42.3</v>
      </c>
      <c r="G35" s="91">
        <v>33.200000000000003</v>
      </c>
    </row>
    <row r="36" spans="1:7" x14ac:dyDescent="0.35">
      <c r="A36" s="88" t="s">
        <v>442</v>
      </c>
      <c r="B36" s="89">
        <v>260</v>
      </c>
      <c r="C36" s="89">
        <v>90</v>
      </c>
      <c r="D36" s="90">
        <v>10</v>
      </c>
      <c r="E36" s="90">
        <v>14</v>
      </c>
      <c r="F36" s="90">
        <v>48.3</v>
      </c>
      <c r="G36" s="91">
        <v>37.9</v>
      </c>
    </row>
    <row r="37" spans="1:7" x14ac:dyDescent="0.35">
      <c r="A37" s="88" t="s">
        <v>443</v>
      </c>
      <c r="B37" s="89">
        <v>280</v>
      </c>
      <c r="C37" s="89">
        <v>95</v>
      </c>
      <c r="D37" s="90">
        <v>10</v>
      </c>
      <c r="E37" s="90">
        <v>15</v>
      </c>
      <c r="F37" s="90">
        <v>53.3</v>
      </c>
      <c r="G37" s="91">
        <v>41.8</v>
      </c>
    </row>
    <row r="38" spans="1:7" x14ac:dyDescent="0.35">
      <c r="A38" s="88" t="s">
        <v>444</v>
      </c>
      <c r="B38" s="89">
        <v>300</v>
      </c>
      <c r="C38" s="89">
        <v>100</v>
      </c>
      <c r="D38" s="90">
        <v>10</v>
      </c>
      <c r="E38" s="90">
        <v>16</v>
      </c>
      <c r="F38" s="90">
        <v>58.8</v>
      </c>
      <c r="G38" s="91">
        <v>46.2</v>
      </c>
    </row>
    <row r="40" spans="1:7" ht="15.5" x14ac:dyDescent="0.35">
      <c r="A40" s="111" t="s">
        <v>445</v>
      </c>
      <c r="B40" s="93"/>
      <c r="C40" s="93"/>
      <c r="D40" s="93"/>
      <c r="E40" s="93"/>
      <c r="F40" s="93"/>
      <c r="G40" s="93"/>
    </row>
    <row r="41" spans="1:7" x14ac:dyDescent="0.35">
      <c r="A41" s="87" t="s">
        <v>409</v>
      </c>
      <c r="B41" s="87" t="s">
        <v>410</v>
      </c>
      <c r="C41" s="87" t="s">
        <v>411</v>
      </c>
      <c r="D41" s="87" t="s">
        <v>412</v>
      </c>
      <c r="E41" s="87" t="s">
        <v>413</v>
      </c>
      <c r="F41" s="87" t="s">
        <v>414</v>
      </c>
      <c r="G41" s="87" t="s">
        <v>415</v>
      </c>
    </row>
    <row r="42" spans="1:7" x14ac:dyDescent="0.35">
      <c r="A42" s="88" t="s">
        <v>446</v>
      </c>
      <c r="B42" s="89">
        <v>50</v>
      </c>
      <c r="C42" s="89">
        <v>50</v>
      </c>
      <c r="D42" s="90">
        <v>5</v>
      </c>
      <c r="E42" s="90">
        <v>5</v>
      </c>
      <c r="F42" s="90">
        <v>4.8</v>
      </c>
      <c r="G42" s="91">
        <v>3.77</v>
      </c>
    </row>
    <row r="43" spans="1:7" x14ac:dyDescent="0.35">
      <c r="A43" s="88" t="s">
        <v>447</v>
      </c>
      <c r="B43" s="89">
        <v>60</v>
      </c>
      <c r="C43" s="89">
        <v>60</v>
      </c>
      <c r="D43" s="90">
        <v>6</v>
      </c>
      <c r="E43" s="90">
        <v>6</v>
      </c>
      <c r="F43" s="90">
        <v>6.91</v>
      </c>
      <c r="G43" s="91">
        <v>5.42</v>
      </c>
    </row>
    <row r="44" spans="1:7" x14ac:dyDescent="0.35">
      <c r="A44" s="88" t="s">
        <v>448</v>
      </c>
      <c r="B44" s="89">
        <v>70</v>
      </c>
      <c r="C44" s="89">
        <v>70</v>
      </c>
      <c r="D44" s="90">
        <v>6</v>
      </c>
      <c r="E44" s="90">
        <v>6</v>
      </c>
      <c r="F44" s="90">
        <v>8.1300000000000008</v>
      </c>
      <c r="G44" s="91">
        <v>6.38</v>
      </c>
    </row>
    <row r="45" spans="1:7" x14ac:dyDescent="0.35">
      <c r="A45" s="88" t="s">
        <v>449</v>
      </c>
      <c r="B45" s="89">
        <v>70</v>
      </c>
      <c r="C45" s="89">
        <v>70</v>
      </c>
      <c r="D45" s="90">
        <v>7</v>
      </c>
      <c r="E45" s="90">
        <v>7</v>
      </c>
      <c r="F45" s="90">
        <v>9.4</v>
      </c>
      <c r="G45" s="91">
        <v>7.38</v>
      </c>
    </row>
    <row r="46" spans="1:7" x14ac:dyDescent="0.35">
      <c r="A46" s="88" t="s">
        <v>450</v>
      </c>
      <c r="B46" s="89">
        <v>80</v>
      </c>
      <c r="C46" s="89">
        <v>80</v>
      </c>
      <c r="D46" s="90">
        <v>8</v>
      </c>
      <c r="E46" s="90">
        <v>8</v>
      </c>
      <c r="F46" s="90">
        <v>12.3</v>
      </c>
      <c r="G46" s="91">
        <v>9.6300000000000008</v>
      </c>
    </row>
    <row r="47" spans="1:7" x14ac:dyDescent="0.35">
      <c r="A47" s="88" t="s">
        <v>451</v>
      </c>
      <c r="B47" s="89">
        <v>90</v>
      </c>
      <c r="C47" s="89">
        <v>90</v>
      </c>
      <c r="D47" s="90">
        <v>9</v>
      </c>
      <c r="E47" s="90">
        <v>9</v>
      </c>
      <c r="F47" s="90">
        <v>15.5</v>
      </c>
      <c r="G47" s="91">
        <v>12.2</v>
      </c>
    </row>
    <row r="48" spans="1:7" x14ac:dyDescent="0.35">
      <c r="A48" s="88" t="s">
        <v>452</v>
      </c>
      <c r="B48" s="89">
        <v>100</v>
      </c>
      <c r="C48" s="89">
        <v>100</v>
      </c>
      <c r="D48" s="90">
        <v>10</v>
      </c>
      <c r="E48" s="90">
        <v>10</v>
      </c>
      <c r="F48" s="90">
        <v>19.2</v>
      </c>
      <c r="G48" s="91">
        <v>15</v>
      </c>
    </row>
  </sheetData>
  <mergeCells count="5">
    <mergeCell ref="A1:G1"/>
    <mergeCell ref="A40:G40"/>
    <mergeCell ref="A4:G4"/>
    <mergeCell ref="A16:G16"/>
    <mergeCell ref="A28:G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1_Στοιχεία_Μελέτης_&amp;_Ποσότητες</vt:lpstr>
      <vt:lpstr>2_Υπολογισμοί_&amp;_Κοστολόγηση</vt:lpstr>
      <vt:lpstr>3_Πίνακες_Διατομών_Χάλυβα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Polys Argyrides</cp:lastModifiedBy>
  <dcterms:created xsi:type="dcterms:W3CDTF">2026-10-15T11:37:29Z</dcterms:created>
  <dcterms:modified xsi:type="dcterms:W3CDTF">2026-10-15T11:51:38Z</dcterms:modified>
</cp:coreProperties>
</file>