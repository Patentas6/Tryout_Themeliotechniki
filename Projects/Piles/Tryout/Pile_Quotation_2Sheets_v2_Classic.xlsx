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Οικονομική Προσφορά" sheetId="1" state="visible" r:id="rId1"/>
    <sheet xmlns:r="http://schemas.openxmlformats.org/officeDocument/2006/relationships" name="Τεχνικοί Υπολογισμο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 &quot;€&quot;"/>
    <numFmt numFmtId="165" formatCode="0.0%"/>
    <numFmt numFmtId="166" formatCode="0.00000"/>
    <numFmt numFmtId="167" formatCode="0.000"/>
    <numFmt numFmtId="168" formatCode="0.0"/>
  </numFmts>
  <fonts count="12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i val="1"/>
      <color rgb="004B5563"/>
      <sz val="9"/>
    </font>
    <font>
      <name val="Segoe UI"/>
      <b val="1"/>
      <color rgb="00FFFFFF"/>
      <sz val="9.5"/>
    </font>
    <font>
      <name val="Segoe UI"/>
      <b val="1"/>
      <color rgb="001E3A8A"/>
      <sz val="9"/>
    </font>
    <font>
      <name val="Segoe UI"/>
      <b val="1"/>
      <color rgb="001F2937"/>
      <sz val="9.5"/>
    </font>
    <font>
      <name val="Segoe UI"/>
      <b val="1"/>
      <color rgb="0092400E"/>
      <sz val="9.5"/>
    </font>
    <font>
      <name val="Segoe UI"/>
      <b val="1"/>
      <color rgb="0092400E"/>
      <sz val="10"/>
    </font>
    <font>
      <name val="Segoe UI"/>
      <b val="1"/>
      <color rgb="0092400E"/>
      <sz val="9"/>
    </font>
    <font>
      <name val="Segoe UI"/>
      <color rgb="004B5563"/>
      <sz val="8.5"/>
    </font>
    <font>
      <name val="Segoe UI"/>
      <color rgb="001F2937"/>
      <sz val="9"/>
    </font>
    <font>
      <name val="Segoe UI"/>
      <b val="1"/>
      <color rgb="00065F46"/>
      <sz val="9.5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EF9C3"/>
        <bgColor rgb="00FEF9C3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D1D5DB"/>
      </left>
      <right style="thin">
        <color rgb="00D1D5DB"/>
      </right>
      <top style="thin">
        <color rgb="001E3A8A"/>
      </top>
      <bottom style="double">
        <color rgb="001E3A8A"/>
      </bottom>
    </border>
    <border>
      <left style="thin">
        <color rgb="0010B981"/>
      </left>
      <right style="thin">
        <color rgb="0010B981"/>
      </right>
      <top style="thin">
        <color rgb="0010B981"/>
      </top>
      <bottom style="thin">
        <color rgb="0010B981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  <xf numFmtId="0" fontId="7" fillId="5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left" vertical="center"/>
    </xf>
    <xf numFmtId="164" fontId="7" fillId="5" borderId="3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pivotButton="0" quotePrefix="0" xfId="0"/>
    <xf numFmtId="4" fontId="6" fillId="4" borderId="2" applyAlignment="1" pivotButton="0" quotePrefix="0" xfId="0">
      <alignment horizontal="right" vertical="center"/>
    </xf>
    <xf numFmtId="0" fontId="10" fillId="0" borderId="1" pivotButton="0" quotePrefix="0" xfId="0"/>
    <xf numFmtId="3" fontId="6" fillId="4" borderId="2" applyAlignment="1" pivotButton="0" quotePrefix="0" xfId="0">
      <alignment horizontal="right" vertical="center"/>
    </xf>
    <xf numFmtId="0" fontId="9" fillId="0" borderId="1" pivotButton="0" quotePrefix="0" xfId="0"/>
    <xf numFmtId="0" fontId="9" fillId="0" borderId="1" applyAlignment="1" pivotButton="0" quotePrefix="0" xfId="0">
      <alignment horizontal="left" vertical="center"/>
    </xf>
    <xf numFmtId="4" fontId="5" fillId="3" borderId="1" applyAlignment="1" pivotButton="0" quotePrefix="0" xfId="0">
      <alignment horizontal="right" vertical="center"/>
    </xf>
    <xf numFmtId="2" fontId="6" fillId="4" borderId="2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/>
    </xf>
    <xf numFmtId="4" fontId="11" fillId="6" borderId="4" applyAlignment="1" pivotButton="0" quotePrefix="0" xfId="0">
      <alignment horizontal="right" vertical="center"/>
    </xf>
    <xf numFmtId="0" fontId="0" fillId="0" borderId="4" pivotButton="0" quotePrefix="0" xfId="0"/>
    <xf numFmtId="165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left" vertical="center"/>
    </xf>
    <xf numFmtId="0" fontId="10" fillId="7" borderId="1" pivotButton="0" quotePrefix="0" xfId="0"/>
    <xf numFmtId="0" fontId="10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4" fontId="11" fillId="6" borderId="1" applyAlignment="1" pivotButton="0" quotePrefix="0" xfId="0">
      <alignment horizontal="right" vertical="center"/>
    </xf>
    <xf numFmtId="0" fontId="11" fillId="6" borderId="1" pivotButton="0" quotePrefix="0" xfId="0"/>
    <xf numFmtId="167" fontId="5" fillId="0" borderId="1" applyAlignment="1" pivotButton="0" quotePrefix="0" xfId="0">
      <alignment horizontal="right" vertical="center"/>
    </xf>
    <xf numFmtId="167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right" vertical="center"/>
    </xf>
    <xf numFmtId="168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6" customWidth="1" min="3" max="3"/>
    <col width="22" customWidth="1" min="4" max="4"/>
    <col width="16" customWidth="1" min="5" max="5"/>
    <col width="18" customWidth="1" min="6" max="6"/>
    <col width="22" customWidth="1" min="7" max="7"/>
    <col width="26" customWidth="1" min="8" max="8"/>
  </cols>
  <sheetData>
    <row r="2">
      <c r="B2" s="1" t="inlineStr">
        <is>
          <t>ΟΙΚΟΝΟΜΙΚΗ ΠΡΟΣΦΟΡΑ ΠΑΣΣΑΛΩΝ ΘΕΜΕΛΙΩΣΗΣ (CLASSIC)</t>
        </is>
      </c>
    </row>
    <row r="3">
      <c r="B3" s="2" t="inlineStr">
        <is>
          <t>Προϋπολογισμός Έργου για τον Πελάτη (Τιμολόγιο) — Επιμερισμός Μετακινήσεων, Τρύπημα, Κουγκρί &amp; Χάλυβας</t>
        </is>
      </c>
    </row>
    <row r="5">
      <c r="B5" s="3" t="inlineStr">
        <is>
          <t>ΠΙΝΑΚΑΣ ΟΙΚΟΝΟΜΙΚΗΣ ΠΡΟΣΦΟΡΑΣ (ΤΙΜΟΛΟΓΙΟ)</t>
        </is>
      </c>
    </row>
    <row r="6">
      <c r="B6" s="4" t="inlineStr">
        <is>
          <t>A/A</t>
        </is>
      </c>
      <c r="C6" s="5" t="inlineStr">
        <is>
          <t>Περιγραφή Εργασίας / Υλικού</t>
        </is>
      </c>
      <c r="D6" s="6" t="inlineStr">
        <is>
          <t>Ποσότητα ανά Πάσσαλο</t>
        </is>
      </c>
      <c r="E6" s="4" t="inlineStr">
        <is>
          <t>Μονάδα</t>
        </is>
      </c>
      <c r="F6" s="6" t="inlineStr">
        <is>
          <t>Τιμή Μονάδας (€)</t>
        </is>
      </c>
      <c r="G6" s="6" t="inlineStr">
        <is>
          <t>Κόστος ανά Πάσσαλο (€)</t>
        </is>
      </c>
      <c r="H6" s="6" t="inlineStr">
        <is>
          <t>Σύνολο Όλων των Πασσάλων (€)</t>
        </is>
      </c>
    </row>
    <row r="7">
      <c r="B7" s="7" t="inlineStr">
        <is>
          <t>1</t>
        </is>
      </c>
      <c r="C7" s="8" t="inlineStr">
        <is>
          <t>Μετακινήσεις &amp; Εγκατάσταση Εξοπλισμού Γεωτρύπανου (Mobilization)</t>
        </is>
      </c>
      <c r="D7" s="9" t="n">
        <v>1</v>
      </c>
      <c r="E7" s="7" t="inlineStr">
        <is>
          <t>πάσσαλος</t>
        </is>
      </c>
      <c r="F7" s="10">
        <f>'Τεχνικοί Υπολογισμοί'!C9</f>
        <v/>
      </c>
      <c r="G7" s="11">
        <f>D7*F7</f>
        <v/>
      </c>
      <c r="H7" s="11">
        <f>G7*'Τεχνικοί Υπολογισμοί'!C14</f>
        <v/>
      </c>
    </row>
    <row r="8">
      <c r="B8" s="7" t="inlineStr">
        <is>
          <t>2</t>
        </is>
      </c>
      <c r="C8" s="8" t="inlineStr">
        <is>
          <t>Τρύπημα / Διάτρηση Πασσάλων Ø600mm</t>
        </is>
      </c>
      <c r="D8" s="12">
        <f>'Τεχνικοί Υπολογισμοί'!D20</f>
        <v/>
      </c>
      <c r="E8" s="7" t="inlineStr">
        <is>
          <t>m</t>
        </is>
      </c>
      <c r="F8" s="13" t="n">
        <v>90</v>
      </c>
      <c r="G8" s="11">
        <f>D8*F8</f>
        <v/>
      </c>
      <c r="H8" s="11">
        <f>G8*'Τεχνικοί Υπολογισμοί'!C14</f>
        <v/>
      </c>
    </row>
    <row r="9">
      <c r="B9" s="7" t="inlineStr">
        <is>
          <t>3</t>
        </is>
      </c>
      <c r="C9" s="8" t="inlineStr">
        <is>
          <t>Σκυροδέτηση Πασσάλων (Κουγκρί με 10% απώλεια)</t>
        </is>
      </c>
      <c r="D9" s="12">
        <f>'Τεχνικοί Υπολογισμοί'!D21</f>
        <v/>
      </c>
      <c r="E9" s="7" t="inlineStr">
        <is>
          <t>m³</t>
        </is>
      </c>
      <c r="F9" s="13" t="n">
        <v>115</v>
      </c>
      <c r="G9" s="11">
        <f>D9*F9</f>
        <v/>
      </c>
      <c r="H9" s="11">
        <f>G9*'Τεχνικοί Υπολογισμοί'!C14</f>
        <v/>
      </c>
    </row>
    <row r="10">
      <c r="B10" s="7" t="inlineStr">
        <is>
          <t>4</t>
        </is>
      </c>
      <c r="C10" s="8" t="inlineStr">
        <is>
          <t>Χάλυβας Οπλισμού (Σούστα &amp; Κάθετες Ράβδοι B500C)</t>
        </is>
      </c>
      <c r="D10" s="12">
        <f>'Τεχνικοί Υπολογισμοί'!D22</f>
        <v/>
      </c>
      <c r="E10" s="7" t="inlineStr">
        <is>
          <t>kg</t>
        </is>
      </c>
      <c r="F10" s="13" t="n">
        <v>1.1</v>
      </c>
      <c r="G10" s="11">
        <f>D10*F10</f>
        <v/>
      </c>
      <c r="H10" s="11">
        <f>G10*'Τεχνικοί Υπολογισμοί'!C14</f>
        <v/>
      </c>
    </row>
    <row r="11">
      <c r="B11" s="14" t="inlineStr">
        <is>
          <t>ΣΥΝΟΛΟ</t>
        </is>
      </c>
      <c r="C11" s="15" t="inlineStr">
        <is>
          <t>ΓΕΝΙΚΟ ΣΥΝΟΛΟ ΠΡΟΣΦΟΡΑΣ (GRAND TOTAL)</t>
        </is>
      </c>
      <c r="D11" s="14" t="inlineStr">
        <is>
          <t>-</t>
        </is>
      </c>
      <c r="E11" s="14" t="inlineStr">
        <is>
          <t>-</t>
        </is>
      </c>
      <c r="F11" s="14" t="inlineStr">
        <is>
          <t>-</t>
        </is>
      </c>
      <c r="G11" s="16">
        <f>SUM(G7:G10)</f>
        <v/>
      </c>
      <c r="H11" s="16">
        <f>SUM(H7:H10)</f>
        <v/>
      </c>
    </row>
    <row r="13">
      <c r="B13" s="17" t="inlineStr">
        <is>
          <t>ΟΡΟΙ &amp; ΠΑΡΑΤΗΡΗΣΕΙΣ ΠΡΟΣΦΟΡΑΣ:</t>
        </is>
      </c>
    </row>
    <row r="14">
      <c r="B14" s="18" t="inlineStr">
        <is>
          <t>1. Στις τιμές περιλαμβάνονται όλα τα απαιτούμενα υλικά, εργασία και εξοπλισμός για την πλήρη κατασκευή των πασσάλων.
2. Η τιμή μετακίνησης επιμερίζεται ισόποσα στο κόστος ανά πάσσαλο (500 € / 8 = 62.50 €/πάσσαλο).
3. Το τρύπημα τιμολογείται σε τρέχοντα μέτρα (m) διάτρησης.
4. Στο σκυρόδεμα υπολογίζεται συντελεστής απώλειας 10% (loss factor) επί του γεωμετρικού όγκου.
5. Ο χάλυβας οπλισμού (B500C) τιμολογείται με ενιαία τιμή 1.10 €/kg τόσο για τις κάθετες ράβδους όσο και για τη σούστα.
6. Στη σούστα συμπεριλαμβάνεται +1 σπείρα για διπλή σπείρα ασφαλείας στον πυθμένα (κόλος κολώνας).
------------------------------------------------------------------------------------------------------------------------
📋 ΒΑΣΙΚΕΣ ΠΑΡΑΔΟΧΕΣ &amp; ΣΤΟΙΧΕΙΑ ΠΟΥ ΔΕΝ ΑΝΑΓΡΑΦΟΝΤΑΝ ΣΤΟ ΣΧΕΔΙΟ:
• Σκυρόδεμα: Δεν αναφερόταν κατηγορία στο σχέδιο -&gt; Τέθηκε Προεπιλογή C30/37 στα 115,00 €/m³.
• Επικάλυψη Οπλισμού (Cover): Δεν αναγραφόταν στο σχέδιο -&gt; Τέθηκε Standard Default 7.5 cm (75 mm) ανά πλευρά.
• Γωνία Πυθμένα Κλωβού: Δεν ζητείται στο σχέδιο -&gt; Τέθηκε 0.00 m (Δεν απαιτείται).
• Αναλυτική τεχνική τεκμηρίωση και δυναμικοί μαθηματικοί τύποι παρατίθενται στη σελίδα 'Τεχνικοί Υπολογισμοί'.</t>
        </is>
      </c>
    </row>
    <row r="15"/>
    <row r="16"/>
    <row r="17"/>
    <row r="18"/>
    <row r="19"/>
    <row r="20"/>
    <row r="21"/>
    <row r="22"/>
    <row r="23"/>
  </sheetData>
  <mergeCells count="5">
    <mergeCell ref="B13:H13"/>
    <mergeCell ref="B2:H2"/>
    <mergeCell ref="B3:H3"/>
    <mergeCell ref="B5:H5"/>
    <mergeCell ref="B14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4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4" customWidth="1" min="5" max="5"/>
    <col width="22" customWidth="1" min="6" max="6"/>
    <col width="14" customWidth="1" min="7" max="7"/>
    <col width="28" customWidth="1" min="8" max="8"/>
    <col width="28" customWidth="1" min="9" max="9"/>
  </cols>
  <sheetData>
    <row r="2">
      <c r="B2" s="1" t="inlineStr">
        <is>
          <t>ΤΕΧΝΙΚΗ ΤΕΚΜΗΡΙΩΣΗ &amp; ΜΑΘΗΜΑΤΙΚΟΙ ΥΠΟΛΟΓΙΣΜΟΙ ΠΑΣΣΑΛΩΝ</t>
        </is>
      </c>
    </row>
    <row r="3">
      <c r="B3" s="2" t="inlineStr">
        <is>
          <t>Δεδομένα Σχεδίου, Τελικές Ποσότητες Προσφοράς, Σταθερές Παραδοχές &amp; Δυναμικά Αναλυτικά Μαθηματικά</t>
        </is>
      </c>
    </row>
    <row r="5">
      <c r="B5" s="3" t="inlineStr">
        <is>
          <t>1. ΔΕΔΟΜΕΝΑ ΠΟΥ ΔΙΑΒΑΣΤΗΚΑΝ ΑΠΟ ΤΟ ΣΧΕΔΙΟ (ΚΑΘΕΤΟΣ ΔΙΑΧΩΡΙΣΜΟΣ)</t>
        </is>
      </c>
    </row>
    <row r="6">
      <c r="B6" s="5" t="inlineStr">
        <is>
          <t>ΤΟΜΕΑΣ 1: ΜΕΤΑΚΙΝΗΣΕΙΣ (MOBILIZATION)</t>
        </is>
      </c>
      <c r="C6" s="19" t="n"/>
      <c r="D6" s="19" t="n"/>
      <c r="F6" s="5" t="inlineStr">
        <is>
          <t>ΤΟΜΕΑΣ 3: ΚΛΩΒΟΣ ΟΠΛΙΣΜΟΥ &amp; ΠΡΟΔΙΑΓΡΑΦΕΣ</t>
        </is>
      </c>
      <c r="G6" s="19" t="n"/>
      <c r="H6" s="19" t="n"/>
      <c r="I6" s="19" t="n"/>
    </row>
    <row r="7">
      <c r="B7" s="20" t="inlineStr">
        <is>
          <t>Συνολικό Ποσό Μετακινήσεων Γεωτρύπανου</t>
        </is>
      </c>
      <c r="C7" s="21" t="n">
        <v>500</v>
      </c>
      <c r="D7" s="19" t="inlineStr">
        <is>
          <t>€</t>
        </is>
      </c>
      <c r="F7" s="22" t="inlineStr">
        <is>
          <t>Κάθετες Ράβδοι - Πλήθος (Nvert)</t>
        </is>
      </c>
      <c r="G7" s="23" t="n">
        <v>12</v>
      </c>
      <c r="H7" s="7" t="inlineStr">
        <is>
          <t>τεμ.</t>
        </is>
      </c>
      <c r="I7" s="24" t="inlineStr">
        <is>
          <t>12 ράβδοι στην περίμετρο</t>
        </is>
      </c>
    </row>
    <row r="8">
      <c r="B8" s="25" t="inlineStr">
        <is>
          <t>Εφάπαξ κατ' αποκοπή ποσό για το εργοτάξιο (θέστε 0 αν δεν χρεώνεται)</t>
        </is>
      </c>
      <c r="C8" s="19" t="n"/>
      <c r="D8" s="19" t="n"/>
      <c r="F8" s="22" t="inlineStr">
        <is>
          <t>Κάθετες Ράβδοι - Διάμετρος (Yvert)</t>
        </is>
      </c>
      <c r="G8" s="23" t="n">
        <v>20</v>
      </c>
      <c r="H8" s="7" t="inlineStr">
        <is>
          <t>mm</t>
        </is>
      </c>
      <c r="I8" s="24" t="inlineStr">
        <is>
          <t>Y20 (Ø20 mm)</t>
        </is>
      </c>
    </row>
    <row r="9">
      <c r="B9" s="20" t="inlineStr">
        <is>
          <t>Τιμή Μετακίνησης ανά Πάσσαλο (Επιμερισμός)</t>
        </is>
      </c>
      <c r="C9" s="26">
        <f>C7/C14</f>
        <v/>
      </c>
      <c r="D9" s="19" t="inlineStr">
        <is>
          <t>€ / πάσσαλο</t>
        </is>
      </c>
      <c r="F9" s="22" t="inlineStr">
        <is>
          <t>Starter / Αναμονή στο Πέδιλο</t>
        </is>
      </c>
      <c r="G9" s="27" t="n">
        <v>0.5</v>
      </c>
      <c r="H9" s="7" t="inlineStr">
        <is>
          <t>m</t>
        </is>
      </c>
      <c r="I9" s="24" t="inlineStr">
        <is>
          <t>50 cm (Foundation height 0.50m)</t>
        </is>
      </c>
    </row>
    <row r="10">
      <c r="F10" s="20" t="inlineStr">
        <is>
          <t>Γωνία Πάνω (Top Bend / Hook)</t>
        </is>
      </c>
      <c r="G10" s="27" t="n">
        <v>0.5</v>
      </c>
      <c r="H10" s="7" t="inlineStr">
        <is>
          <t>m</t>
        </is>
      </c>
      <c r="I10" s="24" t="inlineStr">
        <is>
          <t>50 cm (Οριζόντιο άγκιστρο στο σχέδιο)</t>
        </is>
      </c>
    </row>
    <row r="11">
      <c r="B11" s="5" t="inlineStr">
        <is>
          <t>ΤΟΜΕΑΣ 2: ΣΚΥΡΟΔΕΜΑ &amp; ΤΡΥΠΗΜΑ</t>
        </is>
      </c>
      <c r="C11" s="19" t="n"/>
      <c r="D11" s="19" t="n"/>
      <c r="F11" s="20" t="inlineStr">
        <is>
          <t>Γωνία στον Πυθμένα (Bottom Bend)</t>
        </is>
      </c>
      <c r="G11" s="27" t="n">
        <v>0</v>
      </c>
      <c r="H11" s="7" t="inlineStr">
        <is>
          <t>m</t>
        </is>
      </c>
      <c r="I11" s="24" t="inlineStr">
        <is>
          <t>Δεν δίνεται στο σχέδιο (0.00 m) / Δεν απαιτείται</t>
        </is>
      </c>
    </row>
    <row r="12">
      <c r="B12" s="20" t="inlineStr">
        <is>
          <t>Διάμετρος Τρύπας Πασσάλου (D)</t>
        </is>
      </c>
      <c r="C12" s="23" t="n">
        <v>600</v>
      </c>
      <c r="D12" s="19" t="inlineStr">
        <is>
          <t>mm</t>
        </is>
      </c>
      <c r="F12" s="22" t="inlineStr">
        <is>
          <t>Επικάλυψη Οπλισμού (Cover)</t>
        </is>
      </c>
      <c r="G12" s="23" t="n">
        <v>75</v>
      </c>
      <c r="H12" s="7" t="inlineStr">
        <is>
          <t>mm</t>
        </is>
      </c>
      <c r="I12" s="24" t="inlineStr">
        <is>
          <t>7.5 cm ανά πλευρά (Προεπιλογή αν δεν δίνεται)</t>
        </is>
      </c>
    </row>
    <row r="13">
      <c r="B13" s="20" t="inlineStr">
        <is>
          <t>Βάθος Διάτρησης στο Έδαφος (L)</t>
        </is>
      </c>
      <c r="C13" s="27" t="n">
        <v>4</v>
      </c>
      <c r="D13" s="19" t="inlineStr">
        <is>
          <t>m</t>
        </is>
      </c>
      <c r="F13" s="22" t="inlineStr">
        <is>
          <t>Σούστα - Διάμετρος (Yspiral)</t>
        </is>
      </c>
      <c r="G13" s="23" t="n">
        <v>10</v>
      </c>
      <c r="H13" s="7" t="inlineStr">
        <is>
          <t>mm</t>
        </is>
      </c>
      <c r="I13" s="24" t="inlineStr">
        <is>
          <t>Y10 (Ø10 mm)</t>
        </is>
      </c>
    </row>
    <row r="14">
      <c r="B14" s="20" t="inlineStr">
        <is>
          <t>Αριθμός Πασσάλων Έργου (Τρύπες)</t>
        </is>
      </c>
      <c r="C14" s="23" t="n">
        <v>8</v>
      </c>
      <c r="D14" s="19" t="inlineStr">
        <is>
          <t>τεμ.</t>
        </is>
      </c>
      <c r="F14" s="22" t="inlineStr">
        <is>
          <t>Σούστα - Βήμα / Απόσταση (s)</t>
        </is>
      </c>
      <c r="G14" s="23" t="n">
        <v>150</v>
      </c>
      <c r="H14" s="7" t="inlineStr">
        <is>
          <t>mm</t>
        </is>
      </c>
      <c r="I14" s="24" t="inlineStr">
        <is>
          <t>Βήμα σπείρας ανά 15 cm</t>
        </is>
      </c>
    </row>
    <row r="15">
      <c r="F15" s="22" t="inlineStr">
        <is>
          <t>Αριθμός Ματίσεων ανά Ράβδο</t>
        </is>
      </c>
      <c r="G15" s="28">
        <f>IF((C13+G9+G10+G11)&gt;D28, INT(((C13+G9+G10+G11)-0.001)/D28), 0)</f>
        <v/>
      </c>
      <c r="H15" s="7" t="inlineStr">
        <is>
          <t>ματίσεις</t>
        </is>
      </c>
      <c r="I15" s="24" t="inlineStr">
        <is>
          <t>Αυτόματος υπολογισμός αν L_bar &gt; 12m</t>
        </is>
      </c>
    </row>
    <row r="16">
      <c r="F16" s="20" t="inlineStr">
        <is>
          <t>Μήκος Μάτισης (Κανόνας 50×Φ)</t>
        </is>
      </c>
      <c r="G16" s="29">
        <f>D29*(G8/1000)</f>
        <v/>
      </c>
      <c r="H16" s="7" t="inlineStr">
        <is>
          <t>m</t>
        </is>
      </c>
      <c r="I16" s="24" t="inlineStr">
        <is>
          <t>50 φορές το πάχος: 50×20mm = 1.00m</t>
        </is>
      </c>
    </row>
    <row r="18">
      <c r="B18" s="3" t="inlineStr">
        <is>
          <t>2. ΤΕΛΙΚΕΣ ΠΟΣΟΤΗΤΕΣ ΓΙΑ ΤΗΝ ΟΙΚΟΝΟΜΙΚΗ ΠΡΟΣΦΟΡΑ (ΣΥΝΟΨΗ ΑΠΟΤΕΛΕΣΜΑΤΩΝ)</t>
        </is>
      </c>
    </row>
    <row r="19">
      <c r="B19" s="4" t="inlineStr">
        <is>
          <t>A/A</t>
        </is>
      </c>
      <c r="C19" s="5" t="inlineStr">
        <is>
          <t>Μέγεθος / Τελικός Υπολογισμός</t>
        </is>
      </c>
      <c r="D19" s="6" t="inlineStr">
        <is>
          <t>Ποσότητα ανά Πάσσαλο</t>
        </is>
      </c>
      <c r="E19" s="4" t="inlineStr">
        <is>
          <t>Μονάδα</t>
        </is>
      </c>
      <c r="F19" s="6" t="inlineStr">
        <is>
          <t>Σύνολο Έργου (όλοι οι πάσσαλοι)</t>
        </is>
      </c>
      <c r="G19" s="4" t="inlineStr">
        <is>
          <t>Μονάδα</t>
        </is>
      </c>
      <c r="H19" s="5" t="inlineStr">
        <is>
          <t>Μαθηματικός Τύπος &amp; Δυναμική Σημείωση</t>
        </is>
      </c>
      <c r="I19" s="19" t="n"/>
    </row>
    <row r="20">
      <c r="B20" s="30" t="inlineStr">
        <is>
          <t>1</t>
        </is>
      </c>
      <c r="C20" s="31" t="inlineStr">
        <is>
          <t>Τρέχοντα Μέτρα Τρυπήματος (Διάτρηση)</t>
        </is>
      </c>
      <c r="D20" s="32">
        <f>D35</f>
        <v/>
      </c>
      <c r="E20" s="30" t="inlineStr">
        <is>
          <t>m</t>
        </is>
      </c>
      <c r="F20" s="32">
        <f>D20*C14</f>
        <v/>
      </c>
      <c r="G20" s="30" t="inlineStr">
        <is>
          <t>m</t>
        </is>
      </c>
      <c r="H20" s="31">
        <f>"L_drill = L = " &amp; ROUND(C13, 2) &amp; " m ανά πάσσαλο (Σύνολο " &amp; ROUND(F20, 2) &amp; " m)"</f>
        <v/>
      </c>
      <c r="I20" s="33" t="n"/>
    </row>
    <row r="21">
      <c r="B21" s="30" t="inlineStr">
        <is>
          <t>2</t>
        </is>
      </c>
      <c r="C21" s="31" t="inlineStr">
        <is>
          <t>Όγκος Σκυροδέματος (Κουγκρί με 10% απώλεια)</t>
        </is>
      </c>
      <c r="D21" s="32">
        <f>D37</f>
        <v/>
      </c>
      <c r="E21" s="30" t="inlineStr">
        <is>
          <t>m³</t>
        </is>
      </c>
      <c r="F21" s="32">
        <f>D21*C14</f>
        <v/>
      </c>
      <c r="G21" s="30" t="inlineStr">
        <is>
          <t>m³</t>
        </is>
      </c>
      <c r="H21" s="31">
        <f>"V_conc = V_exc × (1 + " &amp; ROUND(D27*100, 0) &amp; "%) = " &amp; ROUND(D36, 3) &amp; " × " &amp; ROUND(1+D27, 2) &amp; " = " &amp; ROUND(D21, 3) &amp; " m³ ανά πάσσαλο (Σύνολο " &amp; ROUND(F21, 2) &amp; " m³)"</f>
        <v/>
      </c>
      <c r="I21" s="33" t="n"/>
    </row>
    <row r="22">
      <c r="B22" s="30" t="inlineStr">
        <is>
          <t>3</t>
        </is>
      </c>
      <c r="C22" s="31" t="inlineStr">
        <is>
          <t>Συνολικό Βάρος Χάλυβα Οπλισμού (B500C)</t>
        </is>
      </c>
      <c r="D22" s="32">
        <f>D46</f>
        <v/>
      </c>
      <c r="E22" s="30" t="inlineStr">
        <is>
          <t>kg</t>
        </is>
      </c>
      <c r="F22" s="32">
        <f>D22*C14</f>
        <v/>
      </c>
      <c r="G22" s="30" t="inlineStr">
        <is>
          <t>kg</t>
        </is>
      </c>
      <c r="H22" s="31">
        <f>"W_steel = Κάθετες (" &amp; ROUND(D42, 2) &amp; " kg) + Σούστα (" &amp; ROUND(D45, 2) &amp; " kg) = " &amp; ROUND(D22, 2) &amp; " kg ανά πάσσαλο (Σύνολο " &amp; ROUND(F22, 2) &amp; " kg)"</f>
        <v/>
      </c>
      <c r="I22" s="33" t="n"/>
    </row>
    <row r="25">
      <c r="B25" s="3" t="inlineStr">
        <is>
          <t>3. ΣΤΑΘΕΡΕΣ ΤΕΧΝΙΚΕΣ ΠΑΡΑΔΟΧΕΣ &amp; ΚΑΝΟΝΕΣ (ΔΕΝ ΑΛΛΑΖΟΥΝ - ΔΕΝ ΠΕΡΙΛΑΜΒΑΝΟΝΤΑΙ ΣΤΑ ΔΕΔΟΜΕΝΑ ΣΧΕΔΙΟΥ)</t>
        </is>
      </c>
    </row>
    <row r="26">
      <c r="B26" s="4" t="inlineStr">
        <is>
          <t>A/A</t>
        </is>
      </c>
      <c r="C26" s="5" t="inlineStr">
        <is>
          <t>Σταθερά / Παραδοχή</t>
        </is>
      </c>
      <c r="D26" s="6" t="inlineStr">
        <is>
          <t>Τιμή</t>
        </is>
      </c>
      <c r="E26" s="4" t="inlineStr">
        <is>
          <t>Μονάδα</t>
        </is>
      </c>
      <c r="F26" s="5" t="inlineStr">
        <is>
          <t>Κανόνας &amp; Τεχνική Επεξήγηση</t>
        </is>
      </c>
      <c r="G26" s="19" t="n"/>
      <c r="H26" s="19" t="n"/>
      <c r="I26" s="19" t="n"/>
    </row>
    <row r="27">
      <c r="B27" s="7" t="inlineStr">
        <is>
          <t>1</t>
        </is>
      </c>
      <c r="C27" s="20" t="inlineStr">
        <is>
          <t>Συντελεστής Απώλειας Σκυροδέματος</t>
        </is>
      </c>
      <c r="D27" s="34" t="n">
        <v>0.1</v>
      </c>
      <c r="E27" s="7" t="inlineStr">
        <is>
          <t>%</t>
        </is>
      </c>
      <c r="F27" s="25" t="inlineStr">
        <is>
          <t>Πάγια υπερκατανάλωση κουγκριού 10% (loss factor) για πλήρωση κοιλοτήτων</t>
        </is>
      </c>
      <c r="G27" s="19" t="n"/>
      <c r="H27" s="19" t="n"/>
      <c r="I27" s="19" t="n"/>
    </row>
    <row r="28">
      <c r="B28" s="7" t="inlineStr">
        <is>
          <t>2</t>
        </is>
      </c>
      <c r="C28" s="20" t="inlineStr">
        <is>
          <t>Ειδικό Βάρος / Πυκνότητα Χάλυβα (ρ)</t>
        </is>
      </c>
      <c r="D28" s="35" t="n">
        <v>7850</v>
      </c>
      <c r="E28" s="7" t="inlineStr">
        <is>
          <t>kg/m³</t>
        </is>
      </c>
      <c r="F28" s="25" t="inlineStr">
        <is>
          <t>Φυσική πυκνότητα δομικού χάλυβα B500C για υπολογισμό βαρών</t>
        </is>
      </c>
      <c r="G28" s="19" t="n"/>
      <c r="H28" s="19" t="n"/>
      <c r="I28" s="19" t="n"/>
    </row>
    <row r="29">
      <c r="B29" s="7" t="inlineStr">
        <is>
          <t>3</t>
        </is>
      </c>
      <c r="C29" s="20" t="inlineStr">
        <is>
          <t>Μέγιστο Εμπορικό Μήκος Βέργας</t>
        </is>
      </c>
      <c r="D29" s="36" t="n">
        <v>12</v>
      </c>
      <c r="E29" s="7" t="inlineStr">
        <is>
          <t>m</t>
        </is>
      </c>
      <c r="F29" s="25" t="inlineStr">
        <is>
          <t>Βέργες εμπορίου 12 μέτρων (όριο για απαίτηση μάτισης ράβδων)</t>
        </is>
      </c>
      <c r="G29" s="19" t="n"/>
      <c r="H29" s="19" t="n"/>
      <c r="I29" s="19" t="n"/>
    </row>
    <row r="30">
      <c r="B30" s="7" t="inlineStr">
        <is>
          <t>4</t>
        </is>
      </c>
      <c r="C30" s="20" t="inlineStr">
        <is>
          <t>Συντελεστής Μήκους Μάτισης (Lapping)</t>
        </is>
      </c>
      <c r="D30" s="35" t="n">
        <v>50</v>
      </c>
      <c r="E30" s="7" t="inlineStr">
        <is>
          <t>× Φ</t>
        </is>
      </c>
      <c r="F30" s="25" t="inlineStr">
        <is>
          <t>Κανόνας επικάλυψης 50 φορές τη διάμετρο της ράβδου (50Φ)</t>
        </is>
      </c>
      <c r="G30" s="19" t="n"/>
      <c r="H30" s="19" t="n"/>
      <c r="I30" s="19" t="n"/>
    </row>
    <row r="31">
      <c r="B31" s="7" t="inlineStr">
        <is>
          <t>5</t>
        </is>
      </c>
      <c r="C31" s="20" t="inlineStr">
        <is>
          <t>Μαθηματική Σταθερά π</t>
        </is>
      </c>
      <c r="D31" s="37">
        <f>PI()</f>
        <v/>
      </c>
      <c r="E31" s="7" t="inlineStr">
        <is>
          <t>-</t>
        </is>
      </c>
      <c r="F31" s="25" t="inlineStr">
        <is>
          <t>Ακριβής σταθερά κύκλου (3.14159...) για εμβαδά και περιμέτρους</t>
        </is>
      </c>
      <c r="G31" s="19" t="n"/>
      <c r="H31" s="19" t="n"/>
      <c r="I31" s="19" t="n"/>
    </row>
    <row r="33">
      <c r="B33" s="3" t="inlineStr">
        <is>
          <t>4. ΑΝΑΛΥΤΙΚΑ ΜΑΘΗΜΑΤΙΚΑ &amp; ΒΗΜΑ-ΒΗΜΑ ΥΠΟΛΟΓΙΣΜΟΙ (ΜΕ ΔΥΝΑΜΙΚΟΥΣ ΤΥΠΟΥΣ ΣΤΙΣ ΣΗΜΕΙΩΣΕΙΣ)</t>
        </is>
      </c>
    </row>
    <row r="34">
      <c r="B34" s="4" t="inlineStr">
        <is>
          <t>A/A</t>
        </is>
      </c>
      <c r="C34" s="5" t="inlineStr">
        <is>
          <t>Μέγεθος / Υπολογισμός</t>
        </is>
      </c>
      <c r="D34" s="6" t="inlineStr">
        <is>
          <t>Ποσότητα ανά Πάσσαλο</t>
        </is>
      </c>
      <c r="E34" s="4" t="inlineStr">
        <is>
          <t>Μονάδα</t>
        </is>
      </c>
      <c r="F34" s="6" t="inlineStr">
        <is>
          <t>Σύνολο Έργου (8 Πάσσαλοι)</t>
        </is>
      </c>
      <c r="G34" s="4" t="inlineStr">
        <is>
          <t>Μονάδα</t>
        </is>
      </c>
      <c r="H34" s="5" t="inlineStr">
        <is>
          <t>Δυναμικός Μαθηματικός Τύπος &amp; Αναλυτικές Σημειώσεις</t>
        </is>
      </c>
      <c r="I34" s="19" t="n"/>
    </row>
    <row r="35">
      <c r="B35" s="38" t="inlineStr">
        <is>
          <t>1</t>
        </is>
      </c>
      <c r="C35" s="39" t="inlineStr">
        <is>
          <t>Τρύπημα / Διάτρηση Πασσάλου (L_drill)</t>
        </is>
      </c>
      <c r="D35" s="40">
        <f>C13</f>
        <v/>
      </c>
      <c r="E35" s="38" t="inlineStr">
        <is>
          <t>m</t>
        </is>
      </c>
      <c r="F35" s="40">
        <f>D35*C14</f>
        <v/>
      </c>
      <c r="G35" s="38" t="inlineStr">
        <is>
          <t>m</t>
        </is>
      </c>
      <c r="H35" s="41">
        <f>"L_drill = L = " &amp; ROUND(C13, 2) &amp; " m ανά πάσσαλο (Σύνολο " &amp; ROUND(F35, 2) &amp; " m)"</f>
        <v/>
      </c>
      <c r="I35" s="42" t="n"/>
    </row>
    <row r="36">
      <c r="B36" s="43" t="inlineStr">
        <is>
          <t>2</t>
        </is>
      </c>
      <c r="C36" s="8" t="inlineStr">
        <is>
          <t>Γεωμετρικός Όγκος Εκσκαφής</t>
        </is>
      </c>
      <c r="D36" s="44">
        <f>PI()*(C12/1000)^2/4 * C13</f>
        <v/>
      </c>
      <c r="E36" s="43" t="inlineStr">
        <is>
          <t>m³</t>
        </is>
      </c>
      <c r="F36" s="44">
        <f>D36*C14</f>
        <v/>
      </c>
      <c r="G36" s="43" t="inlineStr">
        <is>
          <t>m³</t>
        </is>
      </c>
      <c r="H36" s="45">
        <f>"V_exc = (π × D² / 4) × L = π × " &amp; ROUND(C12/1000, 2) &amp; "² / 4 × " &amp; ROUND(C13, 2) &amp; " m = " &amp; ROUND(D36, 3) &amp; " m³"</f>
        <v/>
      </c>
      <c r="I36" s="22" t="n"/>
    </row>
    <row r="37">
      <c r="B37" s="46" t="inlineStr">
        <is>
          <t>3</t>
        </is>
      </c>
      <c r="C37" s="47" t="inlineStr">
        <is>
          <t>Όγκος Σκυροδέματος (Κουγκρί με 10% απώλεια)</t>
        </is>
      </c>
      <c r="D37" s="48">
        <f>D36*(1+D27)</f>
        <v/>
      </c>
      <c r="E37" s="46" t="inlineStr">
        <is>
          <t>m³</t>
        </is>
      </c>
      <c r="F37" s="48">
        <f>D37*C14</f>
        <v/>
      </c>
      <c r="G37" s="46" t="inlineStr">
        <is>
          <t>m³</t>
        </is>
      </c>
      <c r="H37" s="47">
        <f>"V_conc = V_exc × (1 + " &amp; ROUND(D27*100, 0) &amp; "%) = " &amp; ROUND(D36, 3) &amp; " × " &amp; ROUND(1+D27, 2) &amp; " = " &amp; ROUND(D37, 3) &amp; " m³"</f>
        <v/>
      </c>
      <c r="I37" s="49" t="n"/>
    </row>
    <row r="38">
      <c r="B38" s="43" t="inlineStr">
        <is>
          <t>4</t>
        </is>
      </c>
      <c r="C38" s="8" t="inlineStr">
        <is>
          <t>Διάμετρος Κλωβού Οπλισμού (Dcage)</t>
        </is>
      </c>
      <c r="D38" s="50">
        <f>(C12-2*G12)/1000</f>
        <v/>
      </c>
      <c r="E38" s="43" t="inlineStr">
        <is>
          <t>m</t>
        </is>
      </c>
      <c r="F38" s="50">
        <f>(D38*1000)</f>
        <v/>
      </c>
      <c r="G38" s="43" t="inlineStr">
        <is>
          <t>mm</t>
        </is>
      </c>
      <c r="H38" s="45">
        <f>"Dcage = D - 2×Cover = " &amp; ROUND(C12/1000, 2) &amp; "m - 2×" &amp; ROUND(G12/1000, 3) &amp; "m = " &amp; ROUND(D38, 3) &amp; " m (" &amp; ROUND(D38*1000, 0) &amp; " mm)"</f>
        <v/>
      </c>
      <c r="I38" s="22" t="n"/>
    </row>
    <row r="39">
      <c r="B39" s="38" t="inlineStr">
        <is>
          <t>5</t>
        </is>
      </c>
      <c r="C39" s="39" t="inlineStr">
        <is>
          <t>Περίμετρος Σπείρας Κλωβού (Πcage)</t>
        </is>
      </c>
      <c r="D39" s="51">
        <f>PI()*D38</f>
        <v/>
      </c>
      <c r="E39" s="38" t="inlineStr">
        <is>
          <t>m</t>
        </is>
      </c>
      <c r="F39" s="52" t="inlineStr">
        <is>
          <t>-</t>
        </is>
      </c>
      <c r="G39" s="38" t="inlineStr">
        <is>
          <t>-</t>
        </is>
      </c>
      <c r="H39" s="41">
        <f>"Πcage = π × Dcage = π × " &amp; ROUND(D38, 3) &amp; " m = " &amp; ROUND(D39, 3) &amp; " m"</f>
        <v/>
      </c>
      <c r="I39" s="42" t="n"/>
    </row>
    <row r="40">
      <c r="B40" s="43" t="inlineStr">
        <is>
          <t>6</t>
        </is>
      </c>
      <c r="C40" s="8" t="inlineStr">
        <is>
          <t>Ανεπτυγμένο Μήκος Κάθετης Ράβδου (L_bar)</t>
        </is>
      </c>
      <c r="D40" s="36">
        <f>C13+G9+G10+G11+(G15*G16)</f>
        <v/>
      </c>
      <c r="E40" s="43" t="inlineStr">
        <is>
          <t>m</t>
        </is>
      </c>
      <c r="F40" s="53" t="inlineStr">
        <is>
          <t>-</t>
        </is>
      </c>
      <c r="G40" s="43" t="inlineStr">
        <is>
          <t>-</t>
        </is>
      </c>
      <c r="H40" s="45">
        <f>"L_bar = L(" &amp; ROUND(C13, 2) &amp; "m) + Starter(" &amp; ROUND(G9, 2) &amp; "m) + Γωνία_πάνω(" &amp; ROUND(G10, 2) &amp; "m) + Γωνία_πυθμ(" &amp; ROUND(G11, 2) &amp; "m) + Lapping(" &amp; ROUND(G15*G16, 2) &amp; "m) = " &amp; ROUND(D40, 2) &amp; " m"</f>
        <v/>
      </c>
      <c r="I40" s="22" t="n"/>
    </row>
    <row r="41">
      <c r="B41" s="38" t="inlineStr">
        <is>
          <t>7</t>
        </is>
      </c>
      <c r="C41" s="39" t="inlineStr">
        <is>
          <t>Μοναδιαίο Βάρος Κάθετων Ράβδων (Y20)</t>
        </is>
      </c>
      <c r="D41" s="51">
        <f>PI()*(G8/1000)^2/4 * D28</f>
        <v/>
      </c>
      <c r="E41" s="38" t="inlineStr">
        <is>
          <t>kg/m</t>
        </is>
      </c>
      <c r="F41" s="52" t="inlineStr">
        <is>
          <t>-</t>
        </is>
      </c>
      <c r="G41" s="38" t="inlineStr">
        <is>
          <t>-</t>
        </is>
      </c>
      <c r="H41" s="41">
        <f>"w_vert = (π × " &amp; ROUND(G8/1000, 3) &amp; "² / 4) × " &amp; ROUND(D28, 0) &amp; " = " &amp; ROUND(D41, 3) &amp; " kg/m"</f>
        <v/>
      </c>
      <c r="I41" s="42" t="n"/>
    </row>
    <row r="42">
      <c r="B42" s="43" t="inlineStr">
        <is>
          <t>8</t>
        </is>
      </c>
      <c r="C42" s="8" t="inlineStr">
        <is>
          <t>Βάρος Κάθετου Οπλισμού (12Y20)</t>
        </is>
      </c>
      <c r="D42" s="44">
        <f>G7*D40*D41</f>
        <v/>
      </c>
      <c r="E42" s="43" t="inlineStr">
        <is>
          <t>kg</t>
        </is>
      </c>
      <c r="F42" s="44">
        <f>D42*C14</f>
        <v/>
      </c>
      <c r="G42" s="43" t="inlineStr">
        <is>
          <t>kg</t>
        </is>
      </c>
      <c r="H42" s="45">
        <f>"W_vert = N_vert(" &amp; G7 &amp; ") × L_bar(" &amp; ROUND(D40, 2) &amp; "m) × w_vert(" &amp; ROUND(D41, 3) &amp; " kg/m) = " &amp; ROUND(D42, 2) &amp; " kg"</f>
        <v/>
      </c>
      <c r="I42" s="22" t="n"/>
    </row>
    <row r="43">
      <c r="B43" s="38" t="inlineStr">
        <is>
          <t>9</t>
        </is>
      </c>
      <c r="C43" s="39" t="inlineStr">
        <is>
          <t>Αριθμός Σπειρών Σούστας (Y10/150)</t>
        </is>
      </c>
      <c r="D43" s="54">
        <f>ROUNDUP(C13/(G14/1000), 0) + 1</f>
        <v/>
      </c>
      <c r="E43" s="38" t="inlineStr">
        <is>
          <t>σπείρες</t>
        </is>
      </c>
      <c r="F43" s="54">
        <f>D43*C14</f>
        <v/>
      </c>
      <c r="G43" s="38" t="inlineStr">
        <is>
          <t>σπείρες</t>
        </is>
      </c>
      <c r="H43" s="41">
        <f>"N_turns = ROUNDUP(L / pitch, 0) + 1 = ROUNDUP(" &amp; ROUND(C13, 2) &amp; "m / " &amp; ROUND(G14/1000, 2) &amp; "m, 0) + 1 = " &amp; D43 &amp; " σπείρες (περιλαμβάνει +1 διπλή σπείρα στον πυθμένα)"</f>
        <v/>
      </c>
      <c r="I43" s="42" t="n"/>
    </row>
    <row r="44">
      <c r="B44" s="43" t="inlineStr">
        <is>
          <t>10</t>
        </is>
      </c>
      <c r="C44" s="8" t="inlineStr">
        <is>
          <t>Μοναδιαίο Βάρος Σούστας (Y10)</t>
        </is>
      </c>
      <c r="D44" s="50">
        <f>PI()*(G13/1000)^2/4 * D28</f>
        <v/>
      </c>
      <c r="E44" s="43" t="inlineStr">
        <is>
          <t>kg/m</t>
        </is>
      </c>
      <c r="F44" s="53" t="inlineStr">
        <is>
          <t>-</t>
        </is>
      </c>
      <c r="G44" s="43" t="inlineStr">
        <is>
          <t>-</t>
        </is>
      </c>
      <c r="H44" s="45">
        <f>"w_spiral = (π × " &amp; ROUND(G13/1000, 3) &amp; "² / 4) × " &amp; ROUND(D28, 0) &amp; " = " &amp; ROUND(D44, 3) &amp; " kg/m"</f>
        <v/>
      </c>
      <c r="I44" s="22" t="n"/>
    </row>
    <row r="45">
      <c r="B45" s="38" t="inlineStr">
        <is>
          <t>11</t>
        </is>
      </c>
      <c r="C45" s="39" t="inlineStr">
        <is>
          <t>Βάρος Σιδήρου Σούστας (Y10/150)</t>
        </is>
      </c>
      <c r="D45" s="40">
        <f>D43*D39*D44</f>
        <v/>
      </c>
      <c r="E45" s="38" t="inlineStr">
        <is>
          <t>kg</t>
        </is>
      </c>
      <c r="F45" s="40">
        <f>D45*C14</f>
        <v/>
      </c>
      <c r="G45" s="38" t="inlineStr">
        <is>
          <t>kg</t>
        </is>
      </c>
      <c r="H45" s="41">
        <f>"W_spiral = " &amp; D43 &amp; " σπείρες × " &amp; ROUND(D39, 3) &amp; " m × " &amp; ROUND(D44, 3) &amp; " kg/m = " &amp; ROUND(D45, 2) &amp; " kg"</f>
        <v/>
      </c>
      <c r="I45" s="42" t="n"/>
    </row>
    <row r="46">
      <c r="B46" s="46" t="inlineStr">
        <is>
          <t>12</t>
        </is>
      </c>
      <c r="C46" s="47" t="inlineStr">
        <is>
          <t>ΣΥΝΟΛΙΚΟ ΒΑΡΟΣ ΧΑΛΥΒΑ (TOTAL STEEL)</t>
        </is>
      </c>
      <c r="D46" s="48">
        <f>D42+D45</f>
        <v/>
      </c>
      <c r="E46" s="46" t="inlineStr">
        <is>
          <t>kg</t>
        </is>
      </c>
      <c r="F46" s="48">
        <f>D46*C14</f>
        <v/>
      </c>
      <c r="G46" s="46" t="inlineStr">
        <is>
          <t>kg</t>
        </is>
      </c>
      <c r="H46" s="47">
        <f>"W_total = Κάθετες (" &amp; ROUND(D42, 2) &amp; " kg) + Σούστα (" &amp; ROUND(D45, 2) &amp; " kg) = " &amp; ROUND(D46, 2) &amp; " kg (" &amp; ROUND(F46/1000, 3) &amp; " tn σύνολο)"</f>
        <v/>
      </c>
      <c r="I46" s="49" t="n"/>
    </row>
    <row r="47">
      <c r="B47" s="38" t="inlineStr">
        <is>
          <t>13</t>
        </is>
      </c>
      <c r="C47" s="39" t="inlineStr">
        <is>
          <t>Αναλογία Οπλισμού ανά m³ Σκυροδέματος</t>
        </is>
      </c>
      <c r="D47" s="55">
        <f>D46/D37</f>
        <v/>
      </c>
      <c r="E47" s="38" t="inlineStr">
        <is>
          <t>kg/m³</t>
        </is>
      </c>
      <c r="F47" s="55">
        <f>F46/F37</f>
        <v/>
      </c>
      <c r="G47" s="38" t="inlineStr">
        <is>
          <t>kg/m³</t>
        </is>
      </c>
      <c r="H47" s="41">
        <f>"Δείκτης = Συνολικός Χάλυβας / Σκυρόδεμα = " &amp; ROUND(D46, 2) &amp; " kg / " &amp; ROUND(D37, 3) &amp; " m³ = " &amp; ROUND(D47, 1) &amp; " kg/m³"</f>
        <v/>
      </c>
      <c r="I47" s="42" t="n"/>
    </row>
  </sheetData>
  <mergeCells count="34">
    <mergeCell ref="B11:D11"/>
    <mergeCell ref="F31:I31"/>
    <mergeCell ref="H35:I35"/>
    <mergeCell ref="F27:I27"/>
    <mergeCell ref="H20:I20"/>
    <mergeCell ref="H38:I38"/>
    <mergeCell ref="B25:I25"/>
    <mergeCell ref="B8:D8"/>
    <mergeCell ref="H43:I43"/>
    <mergeCell ref="B3:I3"/>
    <mergeCell ref="H41:I41"/>
    <mergeCell ref="H44:I44"/>
    <mergeCell ref="H40:I40"/>
    <mergeCell ref="B18:I18"/>
    <mergeCell ref="H39:I39"/>
    <mergeCell ref="H34:I34"/>
    <mergeCell ref="H21:I21"/>
    <mergeCell ref="H46:I46"/>
    <mergeCell ref="B2:I2"/>
    <mergeCell ref="F29:I29"/>
    <mergeCell ref="H36:I36"/>
    <mergeCell ref="B6:D6"/>
    <mergeCell ref="F6:I6"/>
    <mergeCell ref="H45:I45"/>
    <mergeCell ref="F30:I30"/>
    <mergeCell ref="H19:I19"/>
    <mergeCell ref="H37:I37"/>
    <mergeCell ref="H22:I22"/>
    <mergeCell ref="H47:I47"/>
    <mergeCell ref="F26:I26"/>
    <mergeCell ref="B33:I33"/>
    <mergeCell ref="H42:I42"/>
    <mergeCell ref="B5:I5"/>
    <mergeCell ref="F28:I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2026-10-14T13:13:21Z</dcterms:created>
  <dcterms:modified xmlns:dcterms="http://purl.org/dc/terms/" xmlns:xsi="http://www.w3.org/2001/XMLSchema-instance" xsi:type="dcterms:W3CDTF">2026-10-14T13:13:21Z</dcterms:modified>
</cp:coreProperties>
</file>