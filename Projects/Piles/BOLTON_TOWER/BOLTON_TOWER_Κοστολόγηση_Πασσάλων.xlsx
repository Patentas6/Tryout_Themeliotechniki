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Piles\BOLTON_TOWER\"/>
    </mc:Choice>
  </mc:AlternateContent>
  <xr:revisionPtr revIDLastSave="0" documentId="13_ncr:1_{E28FE8A6-8B0E-45C5-A1A6-8AD6F23A3375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Οικονομική Προσφορά" sheetId="1" r:id="rId1"/>
    <sheet name="Τεχνικοί Υπολογισμο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4" i="2" l="1"/>
  <c r="E72" i="2"/>
  <c r="E71" i="2"/>
  <c r="F73" i="2" s="1"/>
  <c r="F70" i="2"/>
  <c r="E69" i="2"/>
  <c r="E68" i="2"/>
  <c r="E74" i="2" s="1"/>
  <c r="E66" i="2"/>
  <c r="E64" i="2"/>
  <c r="E67" i="2" s="1"/>
  <c r="F63" i="2"/>
  <c r="E63" i="2"/>
  <c r="F65" i="2" s="1"/>
  <c r="E62" i="2"/>
  <c r="F64" i="2" s="1"/>
  <c r="E54" i="2"/>
  <c r="E53" i="2"/>
  <c r="E51" i="2"/>
  <c r="E50" i="2"/>
  <c r="E52" i="2" s="1"/>
  <c r="E48" i="2"/>
  <c r="E49" i="2" s="1"/>
  <c r="E45" i="2"/>
  <c r="E37" i="2"/>
  <c r="F28" i="2"/>
  <c r="E28" i="2"/>
  <c r="F24" i="2"/>
  <c r="E24" i="2" s="1"/>
  <c r="C10" i="1" s="1"/>
  <c r="F10" i="1" s="1"/>
  <c r="E14" i="2"/>
  <c r="E11" i="2"/>
  <c r="G14" i="1"/>
  <c r="C14" i="1"/>
  <c r="F14" i="1" s="1"/>
  <c r="G10" i="1"/>
  <c r="G8" i="1"/>
  <c r="F8" i="1"/>
  <c r="F52" i="2" l="1"/>
  <c r="E56" i="2"/>
  <c r="F56" i="2" s="1"/>
  <c r="E46" i="2"/>
  <c r="F46" i="2" s="1"/>
  <c r="F45" i="2"/>
  <c r="F23" i="2" s="1"/>
  <c r="F27" i="2"/>
  <c r="E19" i="2"/>
  <c r="E15" i="2"/>
  <c r="E70" i="2"/>
  <c r="E55" i="2"/>
  <c r="F55" i="2" s="1"/>
  <c r="F26" i="2" s="1"/>
  <c r="G9" i="1" l="1"/>
  <c r="G15" i="1" s="1"/>
  <c r="E23" i="2"/>
  <c r="C9" i="1" s="1"/>
  <c r="F9" i="1" s="1"/>
  <c r="F15" i="1" s="1"/>
  <c r="G13" i="1"/>
  <c r="E27" i="2"/>
  <c r="C13" i="1" s="1"/>
  <c r="F13" i="1" s="1"/>
  <c r="E47" i="2"/>
  <c r="F47" i="2" s="1"/>
  <c r="F25" i="2" s="1"/>
  <c r="E65" i="2"/>
  <c r="E73" i="2" s="1"/>
  <c r="E26" i="2"/>
  <c r="C12" i="1" s="1"/>
  <c r="F12" i="1" s="1"/>
  <c r="G12" i="1"/>
  <c r="G11" i="1" l="1"/>
  <c r="E25" i="2"/>
  <c r="C11" i="1" s="1"/>
  <c r="F11" i="1" s="1"/>
</calcChain>
</file>

<file path=xl/sharedStrings.xml><?xml version="1.0" encoding="utf-8"?>
<sst xmlns="http://schemas.openxmlformats.org/spreadsheetml/2006/main" count="371" uniqueCount="267">
  <si>
    <t>ΘΕΜΕΛΙΟΤΕΧΝΙΚΗ ΛΤΔ — ΟΙΚΟΝΟΜΙΚΗ ΠΡΟΣΦΟΡΑ ΠΑΣΣΑΛΩΝ</t>
  </si>
  <si>
    <t>Έργο: BOLTON TOWER | Πελάτης: ΛΑΚΕΜΙΑ ΚΤΗΜΑΤΙΚΗ Λτδ | Τοποθεσία: Λεμεσός | Πλήθος Πασσάλων: 50 τεμ.</t>
  </si>
  <si>
    <t>🛑 ΠΡΟΣΟΧΗ — RED ALERT: Στα σχέδια της μελέτης ΔΕΝ αναγράφονται τα υψόμετρα πλατφόρμας εργασίας (WPL) και Cut-Off Level.
Η παρούσα προσφορά έχει υπολογιστεί προσωρινά με μηδενική κενή διάτρηση (Δh = 0.00 m). Απαιτείται επιβεβαίωση στο εργοτάξιο πριν την οριστικοποίηση.</t>
  </si>
  <si>
    <t>Α/Α</t>
  </si>
  <si>
    <t>Περιγραφή Εργασίας / Υλικού</t>
  </si>
  <si>
    <t>Ποσότητα ανά Πάσσαλο</t>
  </si>
  <si>
    <t>Μονάδα</t>
  </si>
  <si>
    <t>Τιμή Μονάδας (€)
[ΚΙΤΡΙΝΟ]</t>
  </si>
  <si>
    <t>Κόστος ανά Πάσσαλο (€)</t>
  </si>
  <si>
    <t>Σύνολο Όλων των Πασσάλων (€)</t>
  </si>
  <si>
    <t>Μετακινήσεις &amp; Εγκατάσταση Γεωτρύπανου (Επιμερισμός σε 50 πασσάλους)</t>
  </si>
  <si>
    <t>πάσσαλο</t>
  </si>
  <si>
    <t>2a</t>
  </si>
  <si>
    <t>Τρύπημα / Διάτρηση Πασσάλων Ø1500mm (21 τεμ., Βάθος 22.00m)</t>
  </si>
  <si>
    <t>m</t>
  </si>
  <si>
    <t>2b</t>
  </si>
  <si>
    <t>Τρύπημα / Διάτρηση Πασσάλων Ø1200mm (29 τεμ., Βάθη 10.50m - 19.00m)</t>
  </si>
  <si>
    <t>Σκυροδέτηση Πασσάλων C30/37 (Κουγκρί με +10% απώλεια)</t>
  </si>
  <si>
    <t>m³</t>
  </si>
  <si>
    <t>Χάλυβας Οπλισμού B500C (Κλωβοί: Κάθετες Ράβδοι &amp; Σούστα)</t>
  </si>
  <si>
    <t>kg</t>
  </si>
  <si>
    <t>Sleeves Προστασίας Starter Αναμονών (Debonding)</t>
  </si>
  <si>
    <t>τεμ.</t>
  </si>
  <si>
    <t>Κεφαλοκοπή Πασσάλων / Pile Breaking (Σπάσιμο)</t>
  </si>
  <si>
    <t>ΓΕΝΙΚΟ ΣΥΝΟΛΟ ΟΙΚΟΝΟΜΙΚΗΣ ΠΡΟΣΦΟΡΑΣ (ΧΩΡΙΣ Φ.Π.Α.)</t>
  </si>
  <si>
    <t>ΟΡΟΙ, ΠΡΟΫΠΟΘΕΣΕΙΣ &amp; ΤΕΧΝΙΚΕΣ ΠΑΡΑΤΗΡΗΣΕΙΣ ΠΡΟΣΦΟΡΑΣ:</t>
  </si>
  <si>
    <t>1. Στις ανωτέρω τιμές ΔΕΝ συμπεριλαμβάνεται ο εκάστοτε νόμιμος Φ.Π.Α. (19%).</t>
  </si>
  <si>
    <t>2. Τιμολόγηση Διάτρησης: Ø1500mm στα 210.00 €/m (κατόπιν ρητής οδηγίας πελάτη) και Ø1200mm στα 190,00 €/m (επίσημος τιμοκατάλογος εταιρείας).</t>
  </si>
  <si>
    <t>3. Σκυρόδεμα κατηγορίας C30/37 στα 115,00 €/m³ με συνυπολογισμένο πάγιο συντελεστή απώλειας / υπερκατανάλωσης +10%.</t>
  </si>
  <si>
    <t>4. Χάλυβας οπλισμού ποιότητας B500C ενιαία στα 1,10 €/kg (αγορά, κοπή, κατασκευή κλωβών και τοποθέτηση).</t>
  </si>
  <si>
    <t>5. Υψομετρική Διαφορά (WPL - CutOff): Επειδή στα σχέδια δεν δίνονται υψόμετρα, η προσφορά υπολογίζει προσωρινά Δh = 0.00 m. Εάν κατά την έναρξη των εργασιών διαπιστωθεί κενή διάτρηση (Δh &gt; 0), θα τιμολογηθούν τα πρόσθετα μέτρα διάτρησης, τα sleeves προστασίας αναμονών (3,50 €/τεμ.) και η κεφαλοκοπή (60,00 €/πάσσαλο).</t>
  </si>
  <si>
    <t>6. Μετακινήσεις: Εφάπαξ ποσό 500,00 € (Ζώνη 1: 0-50km από έδρα Αγίου Συλά, Λεμεσός), επιμερισμένο ισόποσα σε 10,00 € ανά πάσσαλο (500 € / 50 πάσσαλοι).</t>
  </si>
  <si>
    <t>7. Πληρωμή: Βάσει επιμετρήσεων πραγματικών εκτελεσθέντων μέτρων και κιλών οπλισμού κατά την παράδοση του έργου.</t>
  </si>
  <si>
    <t>8. ΣΗΜΕΙΩΣΗ ΤΙΜΩΝ ΔΙΑΤΡΗΣΗΣ: Οι τιμές τρυπήματος/διάτρησης ενδέχεται να αναθεωρηθούν / αλλάξουν μελλοντικά βάσει των συνθηκών της αγοράς, του κόστους καυσίμων και της διαθεσιμότητας του εξοπλισμού.</t>
  </si>
  <si>
    <t>ΘΕΜΕΛΙΟΤΕΧΝΙΚΗ ΛΤΔ — ΤΕΧΝΙΚΟΙ ΥΠΟΛΟΓΙΣΜΟΙ ΔΙΑΤΡΗΤΩΝ ΠΑΣΣΑΛΩΝ</t>
  </si>
  <si>
    <t>Έργο: BOLTON TOWER (Λεμεσός) | Μελέτη: Hyperstatic Eng. | Πάσσαλοι: 50 τεμ. (21×Ø1500mm, 29×Ø1200mm)</t>
  </si>
  <si>
    <t>1. ΔΕΔΟΜΕΝΑ ΠΟΥ ΔΙΑΒΑΣΤΗΚΑΝ ΑΠΟ ΤΟ ΣΧΕΔΙΟ &amp; ΥΨΟΜΕΤΡΑ (3 ΤΟΜΕΙΣ)</t>
  </si>
  <si>
    <t>Κωδικός</t>
  </si>
  <si>
    <t>Παράμετρος Έργου</t>
  </si>
  <si>
    <t>Τιμή Εισαγωγής</t>
  </si>
  <si>
    <t>Περιγραφή Σχεδίου</t>
  </si>
  <si>
    <t>Παρατηρήσεις / Προέλευση</t>
  </si>
  <si>
    <t>1.1.1</t>
  </si>
  <si>
    <t>Αφετηρία Γεωτρύπανου</t>
  </si>
  <si>
    <t>text</t>
  </si>
  <si>
    <t>Άγιος Συλάς, Λεμεσός</t>
  </si>
  <si>
    <t>Έδρα Εταιρείας</t>
  </si>
  <si>
    <t>Βασική αφετηρία εξοπλισμού</t>
  </si>
  <si>
    <t>1.1.2</t>
  </si>
  <si>
    <t>Τοποθεσία Έργου</t>
  </si>
  <si>
    <t>Λεμεσός (Bolton Tower)</t>
  </si>
  <si>
    <t>Σχέδιο CAD</t>
  </si>
  <si>
    <t>Κέντρο Λεμεσού</t>
  </si>
  <si>
    <t>1.1.3</t>
  </si>
  <si>
    <t>Οδική Απόσταση Έργου από Έδρα</t>
  </si>
  <si>
    <t>km</t>
  </si>
  <si>
    <t>15.0 km</t>
  </si>
  <si>
    <t>Εντός Ζώνης 1 (0-50 km)</t>
  </si>
  <si>
    <t>1.1.4</t>
  </si>
  <si>
    <t>Συνολικό Πλήθος Πασσάλων Έργου</t>
  </si>
  <si>
    <t>50 πάσσαλοι</t>
  </si>
  <si>
    <t>21×Ø1500mm + 29×Ø1200mm</t>
  </si>
  <si>
    <t>1.1.5</t>
  </si>
  <si>
    <t>Συνολικό Εφάπαξ Ποσό Μετακίνησης</t>
  </si>
  <si>
    <t>€</t>
  </si>
  <si>
    <t>500.00 €</t>
  </si>
  <si>
    <t>Βασική τιμή Ζώνης 1 καταλόγου</t>
  </si>
  <si>
    <t>1.1.6</t>
  </si>
  <si>
    <t>Επιμερισμένη Τιμή Μετακίνησης ανά Πάσσαλο</t>
  </si>
  <si>
    <t>€/πάσσαλο</t>
  </si>
  <si>
    <t>10.00 €/πάσσαλο</t>
  </si>
  <si>
    <t>Εφάπαξ ποσό επιμερισμένο σε 50 πασσάλους</t>
  </si>
  <si>
    <t>1.2.1</t>
  </si>
  <si>
    <t>Στάθμη Πλατφόρμας Γεωτρύπανου (WPL)</t>
  </si>
  <si>
    <t>Δεν δίνεται στο σχέδιο</t>
  </si>
  <si>
    <t>RED ALERT: Προσωρινή τιμή 0.00m</t>
  </si>
  <si>
    <t>1.2.2</t>
  </si>
  <si>
    <t>Στάθμη Αποκοπής Πασσάλων (Cut-Off Level)</t>
  </si>
  <si>
    <t>1.2.3</t>
  </si>
  <si>
    <t>Διαφορά Στάθμης Διάτρησης - Cut-Off (Δh)</t>
  </si>
  <si>
    <t>0.00 m (WPL - CutOff)</t>
  </si>
  <si>
    <t>RED ALERT: Κενή διάτρηση προσωρινά 0.00m</t>
  </si>
  <si>
    <t>1.2.4</t>
  </si>
  <si>
    <t>Ύψος Υπερκάλυψης Σκυροδέματος (h_overc)</t>
  </si>
  <si>
    <t>Overconcreting</t>
  </si>
  <si>
    <t>Έως +2.0m αν Δh &gt; 0</t>
  </si>
  <si>
    <t>1.2.5</t>
  </si>
  <si>
    <t>Κατηγορία Σκυροδέματος Μελέτης</t>
  </si>
  <si>
    <t>class</t>
  </si>
  <si>
    <t>C30/37</t>
  </si>
  <si>
    <t>C30/37 (115,00 €/m³)</t>
  </si>
  <si>
    <t>Default εταιρείας (ανωδομή C50/60)</t>
  </si>
  <si>
    <t>1.3.1</t>
  </si>
  <si>
    <t>Επικάλυψη Οπλισμού (Cover)</t>
  </si>
  <si>
    <t>mm</t>
  </si>
  <si>
    <t>75 mm</t>
  </si>
  <si>
    <t>Αναγράφεται ρητά στις παρατηρήσεις σχεδίου</t>
  </si>
  <si>
    <t>1.3.2</t>
  </si>
  <si>
    <t>Γωνία Πυθμένα Κλωβού (Bottom Bend)</t>
  </si>
  <si>
    <t>0.00 m / Δεν απαιτείται</t>
  </si>
  <si>
    <t>Δεν αναφέρεται στο σχέδιο</t>
  </si>
  <si>
    <t>1.3.3</t>
  </si>
  <si>
    <t>Sleeves Προστασίας Starter ανά Πάσσαλο</t>
  </si>
  <si>
    <t>τεμ./πάσσαλο</t>
  </si>
  <si>
    <t>IF(Δh&gt;0, Nvert, 0)</t>
  </si>
  <si>
    <t>0 τεμ. όταν Δh = 0</t>
  </si>
  <si>
    <t>2. ΤΕΛΙΚΕΣ ΠΟΣΟΤΗΤΕΣ ΓΙΑ ΤΗΝ ΟΙΚΟΝΟΜΙΚΗ ΠΡΟΣΦΟΡΑ (SUMMARY RESULTS)</t>
  </si>
  <si>
    <t>Περιγραφή Τελικής Ποσότητας</t>
  </si>
  <si>
    <t>Μέση Ποσότητα / Πάσσαλο</t>
  </si>
  <si>
    <t>Σύνολο Όλων των Πασσάλων</t>
  </si>
  <si>
    <t>Σύνδεση με Φύλλο 1</t>
  </si>
  <si>
    <t>2.1</t>
  </si>
  <si>
    <t>Τρέχοντα Μέτρα Διάτρησης Ø1500mm (21 πάσσαλοι)</t>
  </si>
  <si>
    <t>Τροφοδοτεί Γραμμή 2a Προσφοράς</t>
  </si>
  <si>
    <t>2.2</t>
  </si>
  <si>
    <t>Τρέχοντα Μέτρα Διάτρησης Ø1200mm (29 πάσσαλοι)</t>
  </si>
  <si>
    <t>Τροφοδοτεί Γραμμή 2b Προσφοράς</t>
  </si>
  <si>
    <t>2.3</t>
  </si>
  <si>
    <t>Κυβικά Σκυροδέματος C30/37 με +10% απώλεια</t>
  </si>
  <si>
    <t>Τροφοδοτεί Γραμμή 3 Προσφοράς</t>
  </si>
  <si>
    <t>2.4</t>
  </si>
  <si>
    <t>Συνολικό Βάρος Χάλυβα Οπλισμού B500C</t>
  </si>
  <si>
    <t>Τροφοδοτεί Γραμμή 4 Προσφοράς</t>
  </si>
  <si>
    <t>2.5</t>
  </si>
  <si>
    <t>Sleeves Προστασίας Starter Αναμονών</t>
  </si>
  <si>
    <t>Τροφοδοτεί Γραμμή 5 Προσφοράς</t>
  </si>
  <si>
    <t>2.6</t>
  </si>
  <si>
    <t>Κεφαλοκοπή Πασσάλων / Pile Breaking</t>
  </si>
  <si>
    <t>Τροφοδοτεί Γραμμή 6 Προσφοράς</t>
  </si>
  <si>
    <t>3. ΣΤΑΘΕΡΕΣ ΤΕΧΝΙΚΕΣ ΠΑΡΑΔΟΧΕΣ (COMPANY STANDARDS)</t>
  </si>
  <si>
    <t>Παραδοχή / Φυσική Σταθερά</t>
  </si>
  <si>
    <t>Αριθμητική Τιμή</t>
  </si>
  <si>
    <t>Περιγραφή</t>
  </si>
  <si>
    <t>Κανόνας Τιμοκαταλόγου</t>
  </si>
  <si>
    <t>3.1</t>
  </si>
  <si>
    <t>Συντελεστής Απώλειας / Υπερκατανάλωσης Σκυροδέματος</t>
  </si>
  <si>
    <t>%</t>
  </si>
  <si>
    <t>10%</t>
  </si>
  <si>
    <t>Πάγια προσαύξηση όγκου +10% (V_conc = V_geom × 1.10)</t>
  </si>
  <si>
    <t>3.2</t>
  </si>
  <si>
    <t>Ειδικό Βάρος Δομικού Χάλυβα Οπλισμού (ρ)</t>
  </si>
  <si>
    <t>kg/m³</t>
  </si>
  <si>
    <t>7,850 kg/m³</t>
  </si>
  <si>
    <t>Φυσική σταθερά χάλυβα B500C</t>
  </si>
  <si>
    <t>3.3</t>
  </si>
  <si>
    <t>Μέγιστο Εμπορικό Μήκος Βέργας Χάλυβα</t>
  </si>
  <si>
    <t>12.00 m</t>
  </si>
  <si>
    <t>Όριο πέραν του οποίου απαιτείται μάτιση</t>
  </si>
  <si>
    <t>3.4</t>
  </si>
  <si>
    <t>Συντελεστής Μήκους Μάτισης Ράβδων (Lapping)</t>
  </si>
  <si>
    <t>×Φ</t>
  </si>
  <si>
    <t>50 × Φ</t>
  </si>
  <si>
    <t>Επικάλυψη ράβδων σε βαθιούς πασσάλους</t>
  </si>
  <si>
    <t>3.5</t>
  </si>
  <si>
    <t>Μέγιστο Ύψος Υπερκάλυψης Σκυροδέματος (Overconcreting)</t>
  </si>
  <si>
    <t>+2.00 m</t>
  </si>
  <si>
    <t>Έως +2.0m πάνω από cut-off αν Δh &gt; 0</t>
  </si>
  <si>
    <t>3.6</t>
  </si>
  <si>
    <t>Μαθηματική Σταθερά π</t>
  </si>
  <si>
    <t>const</t>
  </si>
  <si>
    <t>3.14159...</t>
  </si>
  <si>
    <t>Υπολογισμός εμβαδού και όγκου κυλίνδρου</t>
  </si>
  <si>
    <t>4.1 ΤΥΠΟΣ 1: ΠΑΣΣΑΛΟΙ Ø1500mm — 21 ΤΕΜΑΧΙΑ (P1 - P21, ΒΑΘΟΣ 22.00m)</t>
  </si>
  <si>
    <t>Βήμα</t>
  </si>
  <si>
    <t>Μαθηματικό Βήμα Υπολογισμού</t>
  </si>
  <si>
    <t>Τιμή ανά Πάσσαλο</t>
  </si>
  <si>
    <t>Σύνολο Τύπου 1 (21 τεμ.)</t>
  </si>
  <si>
    <t>Τύπος Υπολογισμού (Excel Formula)</t>
  </si>
  <si>
    <t>1</t>
  </si>
  <si>
    <t>T1.1</t>
  </si>
  <si>
    <t>Πλήθος πασσάλων Τύπου 1</t>
  </si>
  <si>
    <t>21 πάσσαλοι (P1 έως P21)</t>
  </si>
  <si>
    <t>2</t>
  </si>
  <si>
    <t>T1.2</t>
  </si>
  <si>
    <t>Ονομαστική διάμετρος διάτρησης (D)</t>
  </si>
  <si>
    <t>—</t>
  </si>
  <si>
    <t>Διάμετρος οπής 1.50 m</t>
  </si>
  <si>
    <t>3</t>
  </si>
  <si>
    <t>T1.3</t>
  </si>
  <si>
    <t>Μήκος πασσάλου στο έδαφος (L_pile)</t>
  </si>
  <si>
    <t>Καθαρό βάθος πασσάλου</t>
  </si>
  <si>
    <t>4</t>
  </si>
  <si>
    <t>T1.4</t>
  </si>
  <si>
    <t>Συνολικό βάθος διάτρησης (L_drill)</t>
  </si>
  <si>
    <t>L_drill = L_pile + Δh</t>
  </si>
  <si>
    <t>5</t>
  </si>
  <si>
    <t>T1.5</t>
  </si>
  <si>
    <t>Γεωμετρικός όγκος εκσκαφής (V_geom)</t>
  </si>
  <si>
    <t>V_geom = π × D² / 4 × L_drill</t>
  </si>
  <si>
    <t>6</t>
  </si>
  <si>
    <t>T1.6</t>
  </si>
  <si>
    <t>Όγκος σκυροδέματος με +10% απώλεια (V_conc)</t>
  </si>
  <si>
    <t>V_conc = π×D²/4 × (L_pile + h_overc) × 1.10</t>
  </si>
  <si>
    <t>7</t>
  </si>
  <si>
    <t>T1.7</t>
  </si>
  <si>
    <t>Διάμετρος κλωβού οπλισμού (D_cage)</t>
  </si>
  <si>
    <t>D_cage = D − 2×Cover (1500 - 150 = 1350 mm)</t>
  </si>
  <si>
    <t>8</t>
  </si>
  <si>
    <t>T1.8</t>
  </si>
  <si>
    <t>Περίμετρος κλωβού οπλισμού (Π_cage)</t>
  </si>
  <si>
    <t>Π_cage = π × D_cage</t>
  </si>
  <si>
    <t>9</t>
  </si>
  <si>
    <t>T1.9</t>
  </si>
  <si>
    <t>Ανεπτυγμένο μήκος κάθετης ράβδου (L_bar)</t>
  </si>
  <si>
    <t>L_base=22+1.60=23.6m &gt; 12m -&gt; 1 μάτιση (50Φ=1.60m) -&gt; 25.20m</t>
  </si>
  <si>
    <t>10</t>
  </si>
  <si>
    <t>T1.10</t>
  </si>
  <si>
    <t>Μοναδιαίο βάρος κάθετης ράβδου Y32</t>
  </si>
  <si>
    <t>kg/m</t>
  </si>
  <si>
    <t>w = π × (0.032)² / 4 × 7850 = 6.313 kg/m</t>
  </si>
  <si>
    <t>11</t>
  </si>
  <si>
    <t>T1.11</t>
  </si>
  <si>
    <t>Βάρος κάθετων ράβδων ανά πάσσαλο (16Y32)</t>
  </si>
  <si>
    <t>W_vert = 16 × L_bar × w_Y32</t>
  </si>
  <si>
    <t>12</t>
  </si>
  <si>
    <t>T1.12</t>
  </si>
  <si>
    <t>Αριθμός σπειρών σούστας Y14</t>
  </si>
  <si>
    <t>σπείρες</t>
  </si>
  <si>
    <t>3m πάνω (s=100) + 3m κάτω (s=100) + 16m μέσο (s=150) = 167 σπείρες</t>
  </si>
  <si>
    <t>13</t>
  </si>
  <si>
    <t>T1.13</t>
  </si>
  <si>
    <t>Μοναδιαίο βάρος σούστας Y14</t>
  </si>
  <si>
    <t>w = π × (0.014)² / 4 × 7850 = 1.208 kg/m</t>
  </si>
  <si>
    <t>14</t>
  </si>
  <si>
    <t>T1.14</t>
  </si>
  <si>
    <t>Βάρος σούστας ανά πάσσαλο (Y14)</t>
  </si>
  <si>
    <t>W_spiral = N_turns × Π_cage × w_Y14</t>
  </si>
  <si>
    <t>15</t>
  </si>
  <si>
    <t>T1.15</t>
  </si>
  <si>
    <t>Συνολικό βάρος χάλυβα B500C ανά πάσσαλο</t>
  </si>
  <si>
    <t>W_total = W_vert + W_spiral</t>
  </si>
  <si>
    <t>4.2 ΤΥΠΟΣ 2: ΠΑΣΣΑΛΟΙ Ø1200mm — 29 ΤΕΜΑΧΙΑ (P22 - P50, ΣΥΝΟΛΟ 482.00m)</t>
  </si>
  <si>
    <t>T2.1</t>
  </si>
  <si>
    <t>Πλήθος πασσάλων Τύπου 2</t>
  </si>
  <si>
    <t>29 πάσσαλοι (P22 έως P50)</t>
  </si>
  <si>
    <t>T2.2</t>
  </si>
  <si>
    <t>Διάμετρος οπής 1.20 m</t>
  </si>
  <si>
    <t>T2.3</t>
  </si>
  <si>
    <t>Συνολικό μήκος πασσάλων στο έδαφος</t>
  </si>
  <si>
    <t>13×16m + 3×18m + 5×17m + 6×19m + 2×10.5m = 482m</t>
  </si>
  <si>
    <t>T2.4</t>
  </si>
  <si>
    <t>L_drill = L_pile + Δh (482.00m όταν Δh=0)</t>
  </si>
  <si>
    <t>T2.5</t>
  </si>
  <si>
    <t>T2.6</t>
  </si>
  <si>
    <t>T2.7</t>
  </si>
  <si>
    <t>D_cage = D − 2×Cover (1200 - 150 = 1050 mm)</t>
  </si>
  <si>
    <t>T2.8</t>
  </si>
  <si>
    <t>T2.9</t>
  </si>
  <si>
    <t>Μέσο ανεπτυγμένο μήκος κάθετης ράβδου (L_bar)</t>
  </si>
  <si>
    <t>L_base=16.62+1.25=17.87m &gt; 12m -&gt; 1 μάτιση (50Φ=1.25m) -&gt; 19.12m</t>
  </si>
  <si>
    <t>T2.10</t>
  </si>
  <si>
    <t>Μοναδιαίο βάρος κάθετης ράβδου Y25</t>
  </si>
  <si>
    <t>w = π × (0.025)² / 4 × 7850 = 3.853 kg/m</t>
  </si>
  <si>
    <t>T2.11</t>
  </si>
  <si>
    <t>Βάρος κάθετων ράβδων ανά πάσσαλο (16Y25)</t>
  </si>
  <si>
    <t>W_vert = 16 × L_bar × w_Y25</t>
  </si>
  <si>
    <t>T2.12</t>
  </si>
  <si>
    <t>Αριθμός σπειρών σούστας Y12 (μέσος)</t>
  </si>
  <si>
    <t>3m πάνω (s=100) + 3m κάτω (s=100) + 10.62m μέσο (s=150) = 131 σπείρες</t>
  </si>
  <si>
    <t>T2.13</t>
  </si>
  <si>
    <t>Μοναδιαίο βάρος σούστας Y12</t>
  </si>
  <si>
    <t>w = π × (0.012)² / 4 × 7850 = 0.888 kg/m</t>
  </si>
  <si>
    <t>T2.14</t>
  </si>
  <si>
    <t>Βάρος σούστας ανά πάσσαλο (Y12)</t>
  </si>
  <si>
    <t>W_spiral = N_turns × Π_cage × w_Y12</t>
  </si>
  <si>
    <t>T2.15</t>
  </si>
  <si>
    <t>γιατι παυλα στο συνολο τυπου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</si>
</sst>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\ &quot;m&quot;"/>
    <numFmt numFmtId="165" formatCode="#,##0.00\ &quot;€&quot;"/>
    <numFmt numFmtId="166" formatCode="#,##0.00\ &quot;m&quot;"/>
    <numFmt numFmtId="167" formatCode="0.00\ &quot;m³&quot;"/>
    <numFmt numFmtId="168" formatCode="#,##0.00\ &quot;m³&quot;"/>
    <numFmt numFmtId="169" formatCode="#,##0.0\ &quot;kg&quot;"/>
    <numFmt numFmtId="170" formatCode="#,##0\ &quot;kg&quot;"/>
    <numFmt numFmtId="171" formatCode="0.0\ &quot;τεμ.&quot;"/>
    <numFmt numFmtId="172" formatCode="#,##0\ &quot;τεμ.&quot;"/>
    <numFmt numFmtId="173" formatCode="0.0%"/>
    <numFmt numFmtId="174" formatCode="#,##0.0"/>
  </numFmts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4B5563"/>
      <name val="Calibri"/>
    </font>
    <font>
      <b/>
      <sz val="11"/>
      <color rgb="FF1E40AF"/>
      <name val="Calibri"/>
    </font>
    <font>
      <b/>
      <sz val="10"/>
      <color rgb="FFFFFFFF"/>
      <name val="Calibri"/>
    </font>
    <font>
      <b/>
      <sz val="10"/>
      <color rgb="FF991B1B"/>
      <name val="Calibri"/>
    </font>
    <font>
      <b/>
      <sz val="11"/>
      <color rgb="FF065F46"/>
      <name val="Calibri"/>
    </font>
    <font>
      <b/>
      <sz val="10"/>
      <color rgb="FF065F46"/>
      <name val="Calibri"/>
    </font>
    <font>
      <b/>
      <sz val="10"/>
      <name val="Calibri"/>
    </font>
    <font>
      <b/>
      <sz val="11"/>
      <color rgb="FF92400E"/>
      <name val="Calibri"/>
    </font>
    <font>
      <b/>
      <sz val="12"/>
      <color rgb="FF92400E"/>
      <name val="Calibri"/>
    </font>
    <font>
      <b/>
      <sz val="10"/>
      <color rgb="FF1E40AF"/>
      <name val="Calibri"/>
    </font>
    <font>
      <sz val="9"/>
      <color rgb="FF37415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1E40AF"/>
        <bgColor rgb="FF1E40AF"/>
      </patternFill>
    </fill>
    <fill>
      <patternFill patternType="solid">
        <fgColor rgb="FFFEE2E2"/>
        <bgColor rgb="FFFEE2E2"/>
      </patternFill>
    </fill>
    <fill>
      <patternFill patternType="solid">
        <fgColor rgb="FFD1FAE5"/>
        <bgColor rgb="FFD1FAE5"/>
      </patternFill>
    </fill>
    <fill>
      <patternFill patternType="solid">
        <fgColor rgb="FFFEF9C3"/>
        <bgColor rgb="FFFEF9C3"/>
      </patternFill>
    </fill>
    <fill>
      <patternFill patternType="solid">
        <fgColor rgb="FFFEF3C7"/>
        <bgColor rgb="FFFEF3C7"/>
      </patternFill>
    </fill>
  </fills>
  <borders count="6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DC2626"/>
      </left>
      <right style="medium">
        <color rgb="FFDC2626"/>
      </right>
      <top style="medium">
        <color rgb="FFDC2626"/>
      </top>
      <bottom style="medium">
        <color rgb="FFDC2626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B45309"/>
      </left>
      <right style="thin">
        <color rgb="FFB45309"/>
      </right>
      <top style="thin">
        <color rgb="FFB45309"/>
      </top>
      <bottom style="double">
        <color rgb="FFB45309"/>
      </bottom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4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right"/>
    </xf>
    <xf numFmtId="165" fontId="8" fillId="6" borderId="1" xfId="0" applyNumberFormat="1" applyFont="1" applyFill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65" fontId="9" fillId="7" borderId="4" xfId="0" applyNumberFormat="1" applyFont="1" applyFill="1" applyBorder="1" applyAlignment="1">
      <alignment horizontal="right" vertical="center"/>
    </xf>
    <xf numFmtId="165" fontId="10" fillId="7" borderId="4" xfId="0" applyNumberFormat="1" applyFont="1" applyFill="1" applyBorder="1" applyAlignment="1">
      <alignment horizontal="right" vertical="center"/>
    </xf>
    <xf numFmtId="0" fontId="11" fillId="0" borderId="0" xfId="0" applyFont="1"/>
    <xf numFmtId="0" fontId="1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0" fillId="0" borderId="0" xfId="0" applyAlignment="1">
      <alignment horizontal="center"/>
    </xf>
    <xf numFmtId="164" fontId="5" fillId="4" borderId="2" xfId="0" applyNumberFormat="1" applyFont="1" applyFill="1" applyBorder="1" applyAlignment="1">
      <alignment horizontal="right"/>
    </xf>
    <xf numFmtId="0" fontId="5" fillId="4" borderId="2" xfId="0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6" fillId="0" borderId="0" xfId="0" applyFont="1"/>
    <xf numFmtId="0" fontId="7" fillId="5" borderId="3" xfId="0" applyFont="1" applyFill="1" applyBorder="1" applyAlignment="1">
      <alignment horizontal="center"/>
    </xf>
    <xf numFmtId="0" fontId="7" fillId="5" borderId="3" xfId="0" applyFont="1" applyFill="1" applyBorder="1"/>
    <xf numFmtId="164" fontId="7" fillId="5" borderId="3" xfId="0" applyNumberFormat="1" applyFont="1" applyFill="1" applyBorder="1"/>
    <xf numFmtId="166" fontId="7" fillId="5" borderId="3" xfId="0" applyNumberFormat="1" applyFont="1" applyFill="1" applyBorder="1"/>
    <xf numFmtId="167" fontId="7" fillId="5" borderId="3" xfId="0" applyNumberFormat="1" applyFont="1" applyFill="1" applyBorder="1"/>
    <xf numFmtId="168" fontId="7" fillId="5" borderId="3" xfId="0" applyNumberFormat="1" applyFont="1" applyFill="1" applyBorder="1"/>
    <xf numFmtId="169" fontId="7" fillId="5" borderId="3" xfId="0" applyNumberFormat="1" applyFont="1" applyFill="1" applyBorder="1"/>
    <xf numFmtId="170" fontId="7" fillId="5" borderId="3" xfId="0" applyNumberFormat="1" applyFont="1" applyFill="1" applyBorder="1"/>
    <xf numFmtId="171" fontId="7" fillId="5" borderId="3" xfId="0" applyNumberFormat="1" applyFont="1" applyFill="1" applyBorder="1"/>
    <xf numFmtId="172" fontId="7" fillId="5" borderId="3" xfId="0" applyNumberFormat="1" applyFont="1" applyFill="1" applyBorder="1"/>
    <xf numFmtId="173" fontId="0" fillId="0" borderId="1" xfId="0" applyNumberFormat="1" applyBorder="1" applyAlignment="1">
      <alignment horizontal="right"/>
    </xf>
    <xf numFmtId="3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4" fontId="0" fillId="0" borderId="1" xfId="0" applyNumberFormat="1" applyBorder="1"/>
    <xf numFmtId="174" fontId="0" fillId="0" borderId="1" xfId="0" applyNumberFormat="1" applyBorder="1"/>
    <xf numFmtId="0" fontId="5" fillId="4" borderId="2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9" fillId="7" borderId="4" xfId="0" applyFont="1" applyFill="1" applyBorder="1" applyAlignment="1">
      <alignment horizontal="right" vertical="center"/>
    </xf>
    <xf numFmtId="0" fontId="0" fillId="7" borderId="4" xfId="0" applyFill="1" applyBorder="1"/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workbookViewId="0">
      <selection sqref="A1:G1"/>
    </sheetView>
  </sheetViews>
  <sheetFormatPr defaultRowHeight="14.5" x14ac:dyDescent="0.35"/>
  <cols>
    <col min="1" max="1" width="8" customWidth="1"/>
    <col min="2" max="2" width="54" customWidth="1"/>
    <col min="3" max="3" width="24" customWidth="1"/>
    <col min="4" max="4" width="12" customWidth="1"/>
    <col min="5" max="5" width="20" customWidth="1"/>
    <col min="6" max="6" width="24" customWidth="1"/>
    <col min="7" max="7" width="26" customWidth="1"/>
  </cols>
  <sheetData>
    <row r="1" spans="1:7" ht="28" customHeight="1" x14ac:dyDescent="0.35">
      <c r="A1" s="43" t="s">
        <v>0</v>
      </c>
      <c r="B1" s="42"/>
      <c r="C1" s="42"/>
      <c r="D1" s="42"/>
      <c r="E1" s="42"/>
      <c r="F1" s="42"/>
      <c r="G1" s="42"/>
    </row>
    <row r="2" spans="1:7" x14ac:dyDescent="0.35">
      <c r="A2" s="1" t="s">
        <v>1</v>
      </c>
    </row>
    <row r="4" spans="1:7" ht="22" customHeight="1" x14ac:dyDescent="0.35">
      <c r="A4" s="41" t="s">
        <v>2</v>
      </c>
      <c r="B4" s="42"/>
      <c r="C4" s="42"/>
      <c r="D4" s="42"/>
      <c r="E4" s="42"/>
      <c r="F4" s="42"/>
      <c r="G4" s="42"/>
    </row>
    <row r="5" spans="1:7" ht="22" customHeight="1" x14ac:dyDescent="0.35">
      <c r="A5" s="42"/>
      <c r="B5" s="42"/>
      <c r="C5" s="42"/>
      <c r="D5" s="42"/>
      <c r="E5" s="42"/>
      <c r="F5" s="42"/>
      <c r="G5" s="42"/>
    </row>
    <row r="7" spans="1:7" ht="26" customHeight="1" x14ac:dyDescent="0.3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7" ht="22" customHeight="1" x14ac:dyDescent="0.35">
      <c r="A8" s="3">
        <v>1</v>
      </c>
      <c r="B8" s="4" t="s">
        <v>10</v>
      </c>
      <c r="C8" s="5">
        <v>1</v>
      </c>
      <c r="D8" s="3" t="s">
        <v>11</v>
      </c>
      <c r="E8" s="6">
        <v>10</v>
      </c>
      <c r="F8" s="7">
        <f t="shared" ref="F8:F14" si="0">C8*E8</f>
        <v>10</v>
      </c>
      <c r="G8" s="7">
        <f>'Τεχνικοί Υπολογισμοί'!E10</f>
        <v>500</v>
      </c>
    </row>
    <row r="9" spans="1:7" ht="22" customHeight="1" x14ac:dyDescent="0.35">
      <c r="A9" s="3" t="s">
        <v>12</v>
      </c>
      <c r="B9" s="4" t="s">
        <v>13</v>
      </c>
      <c r="C9" s="8">
        <f>'Τεχνικοί Υπολογισμοί'!E23</f>
        <v>22</v>
      </c>
      <c r="D9" s="3" t="s">
        <v>14</v>
      </c>
      <c r="E9" s="6">
        <v>210</v>
      </c>
      <c r="F9" s="7">
        <f t="shared" si="0"/>
        <v>4620</v>
      </c>
      <c r="G9" s="7">
        <f>'Τεχνικοί Υπολογισμοί'!F23*E9</f>
        <v>97020</v>
      </c>
    </row>
    <row r="10" spans="1:7" ht="22" customHeight="1" x14ac:dyDescent="0.35">
      <c r="A10" s="3" t="s">
        <v>15</v>
      </c>
      <c r="B10" s="4" t="s">
        <v>16</v>
      </c>
      <c r="C10" s="8" t="e">
        <f>'Τεχνικοί Υπολογισμοί'!E24</f>
        <v>#VALUE!</v>
      </c>
      <c r="D10" s="3" t="s">
        <v>14</v>
      </c>
      <c r="E10" s="6">
        <v>190</v>
      </c>
      <c r="F10" s="7" t="e">
        <f t="shared" si="0"/>
        <v>#VALUE!</v>
      </c>
      <c r="G10" s="7" t="e">
        <f>'Τεχνικοί Υπολογισμοί'!F24*E10</f>
        <v>#VALUE!</v>
      </c>
    </row>
    <row r="11" spans="1:7" ht="22" customHeight="1" x14ac:dyDescent="0.35">
      <c r="A11" s="3">
        <v>3</v>
      </c>
      <c r="B11" s="4" t="s">
        <v>17</v>
      </c>
      <c r="C11" s="8">
        <f>'Τεχνικοί Υπολογισμοί'!E25</f>
        <v>18.541270598736247</v>
      </c>
      <c r="D11" s="3" t="s">
        <v>18</v>
      </c>
      <c r="E11" s="6">
        <v>115</v>
      </c>
      <c r="F11" s="7">
        <f t="shared" si="0"/>
        <v>2132.2461188546686</v>
      </c>
      <c r="G11" s="7">
        <f>'Τεχνικοί Υπολογισμοί'!F25*E11</f>
        <v>106612.30594273341</v>
      </c>
    </row>
    <row r="12" spans="1:7" ht="22" customHeight="1" x14ac:dyDescent="0.35">
      <c r="A12" s="3">
        <v>4</v>
      </c>
      <c r="B12" s="4" t="s">
        <v>19</v>
      </c>
      <c r="C12" s="8" t="e">
        <f>'Τεχνικοί Υπολογισμοί'!E26</f>
        <v>#VALUE!</v>
      </c>
      <c r="D12" s="3" t="s">
        <v>20</v>
      </c>
      <c r="E12" s="6">
        <v>1.1000000000000001</v>
      </c>
      <c r="F12" s="7" t="e">
        <f t="shared" si="0"/>
        <v>#VALUE!</v>
      </c>
      <c r="G12" s="7" t="e">
        <f>'Τεχνικοί Υπολογισμοί'!F26*E12</f>
        <v>#VALUE!</v>
      </c>
    </row>
    <row r="13" spans="1:7" ht="22" customHeight="1" x14ac:dyDescent="0.35">
      <c r="A13" s="3">
        <v>5</v>
      </c>
      <c r="B13" s="4" t="s">
        <v>21</v>
      </c>
      <c r="C13" s="8">
        <f>'Τεχνικοί Υπολογισμοί'!E27</f>
        <v>0</v>
      </c>
      <c r="D13" s="3" t="s">
        <v>22</v>
      </c>
      <c r="E13" s="6">
        <v>3.5</v>
      </c>
      <c r="F13" s="7">
        <f t="shared" si="0"/>
        <v>0</v>
      </c>
      <c r="G13" s="7">
        <f>'Τεχνικοί Υπολογισμοί'!F27*E13</f>
        <v>0</v>
      </c>
    </row>
    <row r="14" spans="1:7" ht="22" customHeight="1" x14ac:dyDescent="0.35">
      <c r="A14" s="3">
        <v>6</v>
      </c>
      <c r="B14" s="4" t="s">
        <v>23</v>
      </c>
      <c r="C14" s="8">
        <f>'Τεχνικοί Υπολογισμοί'!E28</f>
        <v>0</v>
      </c>
      <c r="D14" s="3" t="s">
        <v>11</v>
      </c>
      <c r="E14" s="6">
        <v>60</v>
      </c>
      <c r="F14" s="7">
        <f t="shared" si="0"/>
        <v>0</v>
      </c>
      <c r="G14" s="7">
        <f>'Τεχνικοί Υπολογισμοί'!F28*E14</f>
        <v>0</v>
      </c>
    </row>
    <row r="15" spans="1:7" ht="26" customHeight="1" x14ac:dyDescent="0.35">
      <c r="A15" s="44" t="s">
        <v>24</v>
      </c>
      <c r="B15" s="45"/>
      <c r="C15" s="45"/>
      <c r="D15" s="45"/>
      <c r="E15" s="45"/>
      <c r="F15" s="9" t="e">
        <f>SUM(F8:F14)</f>
        <v>#VALUE!</v>
      </c>
      <c r="G15" s="10" t="e">
        <f>SUM(G8:G14)</f>
        <v>#VALUE!</v>
      </c>
    </row>
    <row r="17" spans="1:1" x14ac:dyDescent="0.35">
      <c r="A17" s="11" t="s">
        <v>25</v>
      </c>
    </row>
    <row r="18" spans="1:1" x14ac:dyDescent="0.35">
      <c r="A18" s="12" t="s">
        <v>26</v>
      </c>
    </row>
    <row r="19" spans="1:1" x14ac:dyDescent="0.35">
      <c r="A19" s="12" t="s">
        <v>27</v>
      </c>
    </row>
    <row r="20" spans="1:1" x14ac:dyDescent="0.35">
      <c r="A20" s="12" t="s">
        <v>28</v>
      </c>
    </row>
    <row r="21" spans="1:1" x14ac:dyDescent="0.35">
      <c r="A21" s="12" t="s">
        <v>29</v>
      </c>
    </row>
    <row r="22" spans="1:1" x14ac:dyDescent="0.35">
      <c r="A22" s="12" t="s">
        <v>30</v>
      </c>
    </row>
    <row r="23" spans="1:1" x14ac:dyDescent="0.35">
      <c r="A23" s="12" t="s">
        <v>31</v>
      </c>
    </row>
    <row r="24" spans="1:1" x14ac:dyDescent="0.35">
      <c r="A24" s="12" t="s">
        <v>32</v>
      </c>
    </row>
    <row r="25" spans="1:1" x14ac:dyDescent="0.35">
      <c r="A25" s="12" t="s">
        <v>33</v>
      </c>
    </row>
  </sheetData>
  <mergeCells count="3">
    <mergeCell ref="A4:G5"/>
    <mergeCell ref="A1:G1"/>
    <mergeCell ref="A15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4"/>
  <sheetViews>
    <sheetView tabSelected="1" topLeftCell="A52" workbookViewId="0">
      <selection activeCell="E62" sqref="E62"/>
    </sheetView>
  </sheetViews>
  <sheetFormatPr defaultRowHeight="14.5" x14ac:dyDescent="0.35"/>
  <cols>
    <col min="1" max="1" width="8" customWidth="1"/>
    <col min="2" max="2" width="10" customWidth="1"/>
    <col min="3" max="3" width="46" customWidth="1"/>
    <col min="4" max="4" width="12" customWidth="1"/>
    <col min="5" max="5" width="24" customWidth="1"/>
    <col min="6" max="6" width="26" customWidth="1"/>
    <col min="7" max="7" width="44" customWidth="1"/>
  </cols>
  <sheetData>
    <row r="1" spans="1:7" ht="28" customHeight="1" x14ac:dyDescent="0.35">
      <c r="A1" s="43" t="s">
        <v>34</v>
      </c>
      <c r="B1" s="42"/>
      <c r="C1" s="42"/>
      <c r="D1" s="42"/>
      <c r="E1" s="42"/>
      <c r="F1" s="42"/>
      <c r="G1" s="42"/>
    </row>
    <row r="2" spans="1:7" x14ac:dyDescent="0.35">
      <c r="A2" s="1" t="s">
        <v>35</v>
      </c>
    </row>
    <row r="4" spans="1:7" x14ac:dyDescent="0.35">
      <c r="A4" s="13" t="s">
        <v>36</v>
      </c>
    </row>
    <row r="5" spans="1:7" ht="22" customHeight="1" x14ac:dyDescent="0.35">
      <c r="A5" s="14" t="s">
        <v>3</v>
      </c>
      <c r="B5" s="14" t="s">
        <v>37</v>
      </c>
      <c r="C5" s="14" t="s">
        <v>38</v>
      </c>
      <c r="D5" s="14" t="s">
        <v>6</v>
      </c>
      <c r="E5" s="14" t="s">
        <v>39</v>
      </c>
      <c r="F5" s="14" t="s">
        <v>40</v>
      </c>
      <c r="G5" s="14" t="s">
        <v>41</v>
      </c>
    </row>
    <row r="6" spans="1:7" ht="20" customHeight="1" x14ac:dyDescent="0.35">
      <c r="A6" s="3">
        <v>1</v>
      </c>
      <c r="B6" s="3" t="s">
        <v>42</v>
      </c>
      <c r="C6" s="4" t="s">
        <v>43</v>
      </c>
      <c r="D6" s="3" t="s">
        <v>44</v>
      </c>
      <c r="E6" s="8" t="s">
        <v>45</v>
      </c>
      <c r="F6" s="4" t="s">
        <v>46</v>
      </c>
      <c r="G6" s="4" t="s">
        <v>47</v>
      </c>
    </row>
    <row r="7" spans="1:7" ht="20" customHeight="1" x14ac:dyDescent="0.35">
      <c r="A7" s="3">
        <v>2</v>
      </c>
      <c r="B7" s="3" t="s">
        <v>48</v>
      </c>
      <c r="C7" s="4" t="s">
        <v>49</v>
      </c>
      <c r="D7" s="3" t="s">
        <v>44</v>
      </c>
      <c r="E7" s="8" t="s">
        <v>50</v>
      </c>
      <c r="F7" s="4" t="s">
        <v>51</v>
      </c>
      <c r="G7" s="4" t="s">
        <v>52</v>
      </c>
    </row>
    <row r="8" spans="1:7" ht="20" customHeight="1" x14ac:dyDescent="0.35">
      <c r="A8" s="3">
        <v>3</v>
      </c>
      <c r="B8" s="3" t="s">
        <v>53</v>
      </c>
      <c r="C8" s="4" t="s">
        <v>54</v>
      </c>
      <c r="D8" s="3" t="s">
        <v>55</v>
      </c>
      <c r="E8" s="15">
        <v>15</v>
      </c>
      <c r="F8" s="4" t="s">
        <v>56</v>
      </c>
      <c r="G8" s="4" t="s">
        <v>57</v>
      </c>
    </row>
    <row r="9" spans="1:7" ht="20" customHeight="1" x14ac:dyDescent="0.35">
      <c r="A9" s="3">
        <v>4</v>
      </c>
      <c r="B9" s="3" t="s">
        <v>58</v>
      </c>
      <c r="C9" s="4" t="s">
        <v>59</v>
      </c>
      <c r="D9" s="3" t="s">
        <v>22</v>
      </c>
      <c r="E9" s="16">
        <v>50</v>
      </c>
      <c r="F9" s="4" t="s">
        <v>60</v>
      </c>
      <c r="G9" s="4" t="s">
        <v>61</v>
      </c>
    </row>
    <row r="10" spans="1:7" ht="20" customHeight="1" x14ac:dyDescent="0.35">
      <c r="A10" s="3">
        <v>5</v>
      </c>
      <c r="B10" s="3" t="s">
        <v>62</v>
      </c>
      <c r="C10" s="4" t="s">
        <v>63</v>
      </c>
      <c r="D10" s="3" t="s">
        <v>64</v>
      </c>
      <c r="E10" s="7">
        <v>500</v>
      </c>
      <c r="F10" s="4" t="s">
        <v>65</v>
      </c>
      <c r="G10" s="4" t="s">
        <v>66</v>
      </c>
    </row>
    <row r="11" spans="1:7" ht="20" customHeight="1" x14ac:dyDescent="0.35">
      <c r="A11" s="3">
        <v>6</v>
      </c>
      <c r="B11" s="3" t="s">
        <v>67</v>
      </c>
      <c r="C11" s="4" t="s">
        <v>68</v>
      </c>
      <c r="D11" s="3" t="s">
        <v>69</v>
      </c>
      <c r="E11" s="8">
        <f>E10/E9</f>
        <v>10</v>
      </c>
      <c r="F11" s="4" t="s">
        <v>70</v>
      </c>
      <c r="G11" s="4" t="s">
        <v>71</v>
      </c>
    </row>
    <row r="12" spans="1:7" ht="20" customHeight="1" x14ac:dyDescent="0.35">
      <c r="A12" s="17">
        <v>7</v>
      </c>
      <c r="B12" s="17" t="s">
        <v>72</v>
      </c>
      <c r="C12" t="s">
        <v>73</v>
      </c>
      <c r="D12" s="17" t="s">
        <v>14</v>
      </c>
      <c r="E12" s="18">
        <v>0</v>
      </c>
      <c r="F12" t="s">
        <v>74</v>
      </c>
      <c r="G12" t="s">
        <v>75</v>
      </c>
    </row>
    <row r="13" spans="1:7" ht="20" customHeight="1" x14ac:dyDescent="0.35">
      <c r="A13" s="17">
        <v>8</v>
      </c>
      <c r="B13" s="17" t="s">
        <v>76</v>
      </c>
      <c r="C13" t="s">
        <v>77</v>
      </c>
      <c r="D13" s="17" t="s">
        <v>14</v>
      </c>
      <c r="E13" s="18">
        <v>0</v>
      </c>
      <c r="F13" t="s">
        <v>74</v>
      </c>
      <c r="G13" t="s">
        <v>75</v>
      </c>
    </row>
    <row r="14" spans="1:7" ht="20" customHeight="1" x14ac:dyDescent="0.35">
      <c r="A14" s="17">
        <v>9</v>
      </c>
      <c r="B14" s="17" t="s">
        <v>78</v>
      </c>
      <c r="C14" t="s">
        <v>79</v>
      </c>
      <c r="D14" s="17" t="s">
        <v>14</v>
      </c>
      <c r="E14" s="19">
        <f>E12-E13</f>
        <v>0</v>
      </c>
      <c r="F14" t="s">
        <v>80</v>
      </c>
      <c r="G14" t="s">
        <v>81</v>
      </c>
    </row>
    <row r="15" spans="1:7" ht="20" customHeight="1" x14ac:dyDescent="0.35">
      <c r="A15" s="3">
        <v>10</v>
      </c>
      <c r="B15" s="3" t="s">
        <v>82</v>
      </c>
      <c r="C15" s="4" t="s">
        <v>83</v>
      </c>
      <c r="D15" s="3" t="s">
        <v>14</v>
      </c>
      <c r="E15" s="8">
        <f>IF(E14&gt;0,MIN(2,E14),0)</f>
        <v>0</v>
      </c>
      <c r="F15" s="4" t="s">
        <v>84</v>
      </c>
      <c r="G15" s="4" t="s">
        <v>85</v>
      </c>
    </row>
    <row r="16" spans="1:7" ht="20" customHeight="1" x14ac:dyDescent="0.35">
      <c r="A16" s="3">
        <v>11</v>
      </c>
      <c r="B16" s="3" t="s">
        <v>86</v>
      </c>
      <c r="C16" s="4" t="s">
        <v>87</v>
      </c>
      <c r="D16" s="3" t="s">
        <v>88</v>
      </c>
      <c r="E16" s="8" t="s">
        <v>89</v>
      </c>
      <c r="F16" s="4" t="s">
        <v>90</v>
      </c>
      <c r="G16" s="4" t="s">
        <v>91</v>
      </c>
    </row>
    <row r="17" spans="1:7" ht="20" customHeight="1" x14ac:dyDescent="0.35">
      <c r="A17" s="3">
        <v>12</v>
      </c>
      <c r="B17" s="3" t="s">
        <v>92</v>
      </c>
      <c r="C17" s="4" t="s">
        <v>93</v>
      </c>
      <c r="D17" s="3" t="s">
        <v>94</v>
      </c>
      <c r="E17" s="20">
        <v>75</v>
      </c>
      <c r="F17" s="4" t="s">
        <v>95</v>
      </c>
      <c r="G17" s="4" t="s">
        <v>96</v>
      </c>
    </row>
    <row r="18" spans="1:7" ht="20" customHeight="1" x14ac:dyDescent="0.35">
      <c r="A18" s="3">
        <v>13</v>
      </c>
      <c r="B18" s="3" t="s">
        <v>97</v>
      </c>
      <c r="C18" s="4" t="s">
        <v>98</v>
      </c>
      <c r="D18" s="3" t="s">
        <v>14</v>
      </c>
      <c r="E18" s="15">
        <v>0</v>
      </c>
      <c r="F18" s="4" t="s">
        <v>99</v>
      </c>
      <c r="G18" s="4" t="s">
        <v>100</v>
      </c>
    </row>
    <row r="19" spans="1:7" ht="20" customHeight="1" x14ac:dyDescent="0.35">
      <c r="A19" s="3">
        <v>14</v>
      </c>
      <c r="B19" s="3" t="s">
        <v>101</v>
      </c>
      <c r="C19" s="4" t="s">
        <v>102</v>
      </c>
      <c r="D19" s="3" t="s">
        <v>103</v>
      </c>
      <c r="E19" s="8">
        <f>IF(E14&gt;0,16,0)</f>
        <v>0</v>
      </c>
      <c r="F19" s="4" t="s">
        <v>104</v>
      </c>
      <c r="G19" s="4" t="s">
        <v>105</v>
      </c>
    </row>
    <row r="21" spans="1:7" x14ac:dyDescent="0.35">
      <c r="A21" s="21" t="s">
        <v>106</v>
      </c>
    </row>
    <row r="22" spans="1:7" ht="22" customHeight="1" x14ac:dyDescent="0.35">
      <c r="A22" s="14" t="s">
        <v>3</v>
      </c>
      <c r="B22" s="14" t="s">
        <v>37</v>
      </c>
      <c r="C22" s="14" t="s">
        <v>107</v>
      </c>
      <c r="D22" s="14" t="s">
        <v>6</v>
      </c>
      <c r="E22" s="14" t="s">
        <v>108</v>
      </c>
      <c r="F22" s="14" t="s">
        <v>109</v>
      </c>
      <c r="G22" s="14" t="s">
        <v>110</v>
      </c>
    </row>
    <row r="23" spans="1:7" ht="20" customHeight="1" x14ac:dyDescent="0.35">
      <c r="A23" s="22">
        <v>1</v>
      </c>
      <c r="B23" s="22" t="s">
        <v>111</v>
      </c>
      <c r="C23" s="23" t="s">
        <v>112</v>
      </c>
      <c r="D23" s="22" t="s">
        <v>14</v>
      </c>
      <c r="E23" s="24">
        <f>F23/21</f>
        <v>22</v>
      </c>
      <c r="F23" s="25">
        <f>F45</f>
        <v>462</v>
      </c>
      <c r="G23" s="23" t="s">
        <v>113</v>
      </c>
    </row>
    <row r="24" spans="1:7" ht="20" customHeight="1" x14ac:dyDescent="0.35">
      <c r="A24" s="22">
        <v>2</v>
      </c>
      <c r="B24" s="22" t="s">
        <v>114</v>
      </c>
      <c r="C24" s="23" t="s">
        <v>115</v>
      </c>
      <c r="D24" s="22" t="s">
        <v>14</v>
      </c>
      <c r="E24" s="24" t="e">
        <f>F24/29</f>
        <v>#VALUE!</v>
      </c>
      <c r="F24" s="25" t="str">
        <f>F61</f>
        <v>—</v>
      </c>
      <c r="G24" s="23" t="s">
        <v>116</v>
      </c>
    </row>
    <row r="25" spans="1:7" ht="20" customHeight="1" x14ac:dyDescent="0.35">
      <c r="A25" s="22">
        <v>3</v>
      </c>
      <c r="B25" s="22" t="s">
        <v>117</v>
      </c>
      <c r="C25" s="23" t="s">
        <v>118</v>
      </c>
      <c r="D25" s="22" t="s">
        <v>18</v>
      </c>
      <c r="E25" s="26">
        <f>F25/E9</f>
        <v>18.541270598736247</v>
      </c>
      <c r="F25" s="27">
        <f>F47+F63</f>
        <v>927.0635299368123</v>
      </c>
      <c r="G25" s="23" t="s">
        <v>119</v>
      </c>
    </row>
    <row r="26" spans="1:7" ht="20" customHeight="1" x14ac:dyDescent="0.35">
      <c r="A26" s="22">
        <v>4</v>
      </c>
      <c r="B26" s="22" t="s">
        <v>120</v>
      </c>
      <c r="C26" s="23" t="s">
        <v>121</v>
      </c>
      <c r="D26" s="22" t="s">
        <v>20</v>
      </c>
      <c r="E26" s="28" t="e">
        <f>F26/E9</f>
        <v>#VALUE!</v>
      </c>
      <c r="F26" s="29" t="e">
        <f>F55+F71</f>
        <v>#VALUE!</v>
      </c>
      <c r="G26" s="23" t="s">
        <v>122</v>
      </c>
    </row>
    <row r="27" spans="1:7" ht="20" customHeight="1" x14ac:dyDescent="0.35">
      <c r="A27" s="22">
        <v>5</v>
      </c>
      <c r="B27" s="22" t="s">
        <v>123</v>
      </c>
      <c r="C27" s="23" t="s">
        <v>124</v>
      </c>
      <c r="D27" s="22" t="s">
        <v>22</v>
      </c>
      <c r="E27" s="30">
        <f>F27/E9</f>
        <v>0</v>
      </c>
      <c r="F27" s="31">
        <f>IF(E14&gt;0,50*16,0)</f>
        <v>0</v>
      </c>
      <c r="G27" s="23" t="s">
        <v>125</v>
      </c>
    </row>
    <row r="28" spans="1:7" ht="20" customHeight="1" x14ac:dyDescent="0.35">
      <c r="A28" s="22">
        <v>6</v>
      </c>
      <c r="B28" s="22" t="s">
        <v>126</v>
      </c>
      <c r="C28" s="23" t="s">
        <v>127</v>
      </c>
      <c r="D28" s="22" t="s">
        <v>22</v>
      </c>
      <c r="E28" s="30">
        <f>F28/E9</f>
        <v>0</v>
      </c>
      <c r="F28" s="31">
        <f>IF(E14&gt;0,50,0)</f>
        <v>0</v>
      </c>
      <c r="G28" s="23" t="s">
        <v>128</v>
      </c>
    </row>
    <row r="30" spans="1:7" x14ac:dyDescent="0.35">
      <c r="A30" s="13" t="s">
        <v>129</v>
      </c>
    </row>
    <row r="31" spans="1:7" ht="22" customHeight="1" x14ac:dyDescent="0.35">
      <c r="A31" s="14" t="s">
        <v>3</v>
      </c>
      <c r="B31" s="14" t="s">
        <v>37</v>
      </c>
      <c r="C31" s="14" t="s">
        <v>130</v>
      </c>
      <c r="D31" s="14" t="s">
        <v>6</v>
      </c>
      <c r="E31" s="14" t="s">
        <v>131</v>
      </c>
      <c r="F31" s="14" t="s">
        <v>132</v>
      </c>
      <c r="G31" s="14" t="s">
        <v>133</v>
      </c>
    </row>
    <row r="32" spans="1:7" ht="20" customHeight="1" x14ac:dyDescent="0.35">
      <c r="A32" s="3">
        <v>1</v>
      </c>
      <c r="B32" s="3" t="s">
        <v>134</v>
      </c>
      <c r="C32" s="4" t="s">
        <v>135</v>
      </c>
      <c r="D32" s="3" t="s">
        <v>136</v>
      </c>
      <c r="E32" s="32">
        <v>0.1</v>
      </c>
      <c r="F32" s="4" t="s">
        <v>137</v>
      </c>
      <c r="G32" s="4" t="s">
        <v>138</v>
      </c>
    </row>
    <row r="33" spans="1:7" ht="20" customHeight="1" x14ac:dyDescent="0.35">
      <c r="A33" s="3">
        <v>2</v>
      </c>
      <c r="B33" s="3" t="s">
        <v>139</v>
      </c>
      <c r="C33" s="4" t="s">
        <v>140</v>
      </c>
      <c r="D33" s="3" t="s">
        <v>141</v>
      </c>
      <c r="E33" s="16">
        <v>7850</v>
      </c>
      <c r="F33" s="4" t="s">
        <v>142</v>
      </c>
      <c r="G33" s="4" t="s">
        <v>143</v>
      </c>
    </row>
    <row r="34" spans="1:7" ht="20" customHeight="1" x14ac:dyDescent="0.35">
      <c r="A34" s="3">
        <v>3</v>
      </c>
      <c r="B34" s="3" t="s">
        <v>144</v>
      </c>
      <c r="C34" s="4" t="s">
        <v>145</v>
      </c>
      <c r="D34" s="3" t="s">
        <v>14</v>
      </c>
      <c r="E34" s="15">
        <v>12</v>
      </c>
      <c r="F34" s="4" t="s">
        <v>146</v>
      </c>
      <c r="G34" s="4" t="s">
        <v>147</v>
      </c>
    </row>
    <row r="35" spans="1:7" ht="20" customHeight="1" x14ac:dyDescent="0.35">
      <c r="A35" s="3">
        <v>4</v>
      </c>
      <c r="B35" s="3" t="s">
        <v>148</v>
      </c>
      <c r="C35" s="4" t="s">
        <v>149</v>
      </c>
      <c r="D35" s="3" t="s">
        <v>150</v>
      </c>
      <c r="E35" s="20">
        <v>50</v>
      </c>
      <c r="F35" s="4" t="s">
        <v>151</v>
      </c>
      <c r="G35" s="4" t="s">
        <v>152</v>
      </c>
    </row>
    <row r="36" spans="1:7" ht="20" customHeight="1" x14ac:dyDescent="0.35">
      <c r="A36" s="3">
        <v>5</v>
      </c>
      <c r="B36" s="3" t="s">
        <v>153</v>
      </c>
      <c r="C36" s="4" t="s">
        <v>154</v>
      </c>
      <c r="D36" s="3" t="s">
        <v>14</v>
      </c>
      <c r="E36" s="15">
        <v>2</v>
      </c>
      <c r="F36" s="4" t="s">
        <v>155</v>
      </c>
      <c r="G36" s="4" t="s">
        <v>156</v>
      </c>
    </row>
    <row r="37" spans="1:7" ht="20" customHeight="1" x14ac:dyDescent="0.35">
      <c r="A37" s="3">
        <v>6</v>
      </c>
      <c r="B37" s="3" t="s">
        <v>157</v>
      </c>
      <c r="C37" s="4" t="s">
        <v>158</v>
      </c>
      <c r="D37" s="3" t="s">
        <v>159</v>
      </c>
      <c r="E37" s="8">
        <f>PI()</f>
        <v>3.1415926535897931</v>
      </c>
      <c r="F37" s="4" t="s">
        <v>160</v>
      </c>
      <c r="G37" s="4" t="s">
        <v>161</v>
      </c>
    </row>
    <row r="40" spans="1:7" x14ac:dyDescent="0.35">
      <c r="A40" s="13" t="s">
        <v>162</v>
      </c>
    </row>
    <row r="41" spans="1:7" ht="22" customHeight="1" x14ac:dyDescent="0.35">
      <c r="A41" s="14" t="s">
        <v>163</v>
      </c>
      <c r="B41" s="14" t="s">
        <v>37</v>
      </c>
      <c r="C41" s="14" t="s">
        <v>164</v>
      </c>
      <c r="D41" s="14" t="s">
        <v>6</v>
      </c>
      <c r="E41" s="14" t="s">
        <v>165</v>
      </c>
      <c r="F41" s="14" t="s">
        <v>166</v>
      </c>
      <c r="G41" s="14" t="s">
        <v>167</v>
      </c>
    </row>
    <row r="42" spans="1:7" ht="20" customHeight="1" x14ac:dyDescent="0.35">
      <c r="A42" s="3" t="s">
        <v>168</v>
      </c>
      <c r="B42" s="3" t="s">
        <v>169</v>
      </c>
      <c r="C42" s="4" t="s">
        <v>170</v>
      </c>
      <c r="D42" s="3" t="s">
        <v>22</v>
      </c>
      <c r="E42" s="33">
        <v>21</v>
      </c>
      <c r="F42" s="33">
        <v>21</v>
      </c>
      <c r="G42" s="4" t="s">
        <v>171</v>
      </c>
    </row>
    <row r="43" spans="1:7" ht="20" customHeight="1" x14ac:dyDescent="0.35">
      <c r="A43" s="3" t="s">
        <v>172</v>
      </c>
      <c r="B43" s="3" t="s">
        <v>173</v>
      </c>
      <c r="C43" s="4" t="s">
        <v>174</v>
      </c>
      <c r="D43" s="3" t="s">
        <v>94</v>
      </c>
      <c r="E43" s="34">
        <v>1500</v>
      </c>
      <c r="F43" s="4" t="s">
        <v>175</v>
      </c>
      <c r="G43" s="4" t="s">
        <v>176</v>
      </c>
    </row>
    <row r="44" spans="1:7" ht="20" customHeight="1" x14ac:dyDescent="0.35">
      <c r="A44" s="3" t="s">
        <v>177</v>
      </c>
      <c r="B44" s="3" t="s">
        <v>178</v>
      </c>
      <c r="C44" s="4" t="s">
        <v>179</v>
      </c>
      <c r="D44" s="3" t="s">
        <v>14</v>
      </c>
      <c r="E44" s="35">
        <v>22</v>
      </c>
      <c r="F44" s="4" t="s">
        <v>175</v>
      </c>
      <c r="G44" s="4" t="s">
        <v>180</v>
      </c>
    </row>
    <row r="45" spans="1:7" ht="20" customHeight="1" x14ac:dyDescent="0.35">
      <c r="A45" s="3" t="s">
        <v>181</v>
      </c>
      <c r="B45" s="3" t="s">
        <v>182</v>
      </c>
      <c r="C45" s="4" t="s">
        <v>183</v>
      </c>
      <c r="D45" s="3" t="s">
        <v>14</v>
      </c>
      <c r="E45" s="35">
        <f>E44+E14</f>
        <v>22</v>
      </c>
      <c r="F45" s="36">
        <f>E45*E42</f>
        <v>462</v>
      </c>
      <c r="G45" s="4" t="s">
        <v>184</v>
      </c>
    </row>
    <row r="46" spans="1:7" ht="20" customHeight="1" x14ac:dyDescent="0.35">
      <c r="A46" s="3" t="s">
        <v>185</v>
      </c>
      <c r="B46" s="3" t="s">
        <v>186</v>
      </c>
      <c r="C46" s="4" t="s">
        <v>187</v>
      </c>
      <c r="D46" s="3" t="s">
        <v>18</v>
      </c>
      <c r="E46" s="37">
        <f>PI()*((E43/1000)^2)/4 * E45</f>
        <v>38.877209088173693</v>
      </c>
      <c r="F46" s="38">
        <f>E46*E42</f>
        <v>816.42139085164752</v>
      </c>
      <c r="G46" s="4" t="s">
        <v>188</v>
      </c>
    </row>
    <row r="47" spans="1:7" ht="20" customHeight="1" x14ac:dyDescent="0.35">
      <c r="A47" s="3" t="s">
        <v>189</v>
      </c>
      <c r="B47" s="3" t="s">
        <v>190</v>
      </c>
      <c r="C47" s="4" t="s">
        <v>191</v>
      </c>
      <c r="D47" s="3" t="s">
        <v>18</v>
      </c>
      <c r="E47" s="37">
        <f>PI()*((E43/1000)^2)/4 * (E44+E15) * (1+E32)</f>
        <v>42.764929996991064</v>
      </c>
      <c r="F47" s="38">
        <f>E47*E42</f>
        <v>898.0635299368123</v>
      </c>
      <c r="G47" s="4" t="s">
        <v>192</v>
      </c>
    </row>
    <row r="48" spans="1:7" ht="20" customHeight="1" x14ac:dyDescent="0.35">
      <c r="A48" s="3" t="s">
        <v>193</v>
      </c>
      <c r="B48" s="3" t="s">
        <v>194</v>
      </c>
      <c r="C48" s="4" t="s">
        <v>195</v>
      </c>
      <c r="D48" s="3" t="s">
        <v>94</v>
      </c>
      <c r="E48" s="34">
        <f>E43 - (2*E17)</f>
        <v>1350</v>
      </c>
      <c r="F48" s="4" t="s">
        <v>175</v>
      </c>
      <c r="G48" s="4" t="s">
        <v>196</v>
      </c>
    </row>
    <row r="49" spans="1:8" ht="20" customHeight="1" x14ac:dyDescent="0.35">
      <c r="A49" s="3" t="s">
        <v>197</v>
      </c>
      <c r="B49" s="3" t="s">
        <v>198</v>
      </c>
      <c r="C49" s="4" t="s">
        <v>199</v>
      </c>
      <c r="D49" s="3" t="s">
        <v>14</v>
      </c>
      <c r="E49" s="35">
        <f>PI() * (E48/1000)</f>
        <v>4.2411500823462207</v>
      </c>
      <c r="F49" s="4" t="s">
        <v>175</v>
      </c>
      <c r="G49" s="4" t="s">
        <v>200</v>
      </c>
    </row>
    <row r="50" spans="1:8" ht="20" customHeight="1" x14ac:dyDescent="0.35">
      <c r="A50" s="3" t="s">
        <v>201</v>
      </c>
      <c r="B50" s="3" t="s">
        <v>202</v>
      </c>
      <c r="C50" s="4" t="s">
        <v>203</v>
      </c>
      <c r="D50" s="3" t="s">
        <v>14</v>
      </c>
      <c r="E50" s="35">
        <f>E44 + 1.6 + E18 + (1 * E35 * (32/1000))</f>
        <v>25.200000000000003</v>
      </c>
      <c r="F50" s="4" t="s">
        <v>175</v>
      </c>
      <c r="G50" s="4" t="s">
        <v>204</v>
      </c>
    </row>
    <row r="51" spans="1:8" ht="20" customHeight="1" x14ac:dyDescent="0.35">
      <c r="A51" s="3" t="s">
        <v>205</v>
      </c>
      <c r="B51" s="3" t="s">
        <v>206</v>
      </c>
      <c r="C51" s="4" t="s">
        <v>207</v>
      </c>
      <c r="D51" s="3" t="s">
        <v>208</v>
      </c>
      <c r="E51" s="39">
        <f>PI()*((32/1000)^2)/4 * E33</f>
        <v>6.3133445966540478</v>
      </c>
      <c r="F51" s="4" t="s">
        <v>175</v>
      </c>
      <c r="G51" s="4" t="s">
        <v>209</v>
      </c>
    </row>
    <row r="52" spans="1:8" ht="20" customHeight="1" x14ac:dyDescent="0.35">
      <c r="A52" s="3" t="s">
        <v>210</v>
      </c>
      <c r="B52" s="3" t="s">
        <v>211</v>
      </c>
      <c r="C52" s="4" t="s">
        <v>212</v>
      </c>
      <c r="D52" s="3" t="s">
        <v>20</v>
      </c>
      <c r="E52" s="39">
        <f>16 * E50 * E51</f>
        <v>2545.5405413709123</v>
      </c>
      <c r="F52" s="40">
        <f>E52*E42</f>
        <v>53456.351368789154</v>
      </c>
      <c r="G52" s="4" t="s">
        <v>213</v>
      </c>
    </row>
    <row r="53" spans="1:8" ht="20" customHeight="1" x14ac:dyDescent="0.35">
      <c r="A53" s="3" t="s">
        <v>214</v>
      </c>
      <c r="B53" s="3" t="s">
        <v>215</v>
      </c>
      <c r="C53" s="4" t="s">
        <v>216</v>
      </c>
      <c r="D53" s="3" t="s">
        <v>217</v>
      </c>
      <c r="E53" s="33">
        <f>ROUNDUP(6/0.1 + (E44-6)/0.15, 0)</f>
        <v>167</v>
      </c>
      <c r="F53" s="4" t="s">
        <v>175</v>
      </c>
      <c r="G53" s="4" t="s">
        <v>218</v>
      </c>
    </row>
    <row r="54" spans="1:8" ht="20" customHeight="1" x14ac:dyDescent="0.35">
      <c r="A54" s="3" t="s">
        <v>219</v>
      </c>
      <c r="B54" s="3" t="s">
        <v>220</v>
      </c>
      <c r="C54" s="4" t="s">
        <v>221</v>
      </c>
      <c r="D54" s="3" t="s">
        <v>208</v>
      </c>
      <c r="E54" s="39">
        <f>PI()*((14/1000)^2)/4 * E33</f>
        <v>1.2084136142033142</v>
      </c>
      <c r="F54" s="4" t="s">
        <v>175</v>
      </c>
      <c r="G54" s="4" t="s">
        <v>222</v>
      </c>
    </row>
    <row r="55" spans="1:8" ht="20" customHeight="1" x14ac:dyDescent="0.35">
      <c r="A55" s="3" t="s">
        <v>223</v>
      </c>
      <c r="B55" s="3" t="s">
        <v>224</v>
      </c>
      <c r="C55" s="4" t="s">
        <v>225</v>
      </c>
      <c r="D55" s="3" t="s">
        <v>20</v>
      </c>
      <c r="E55" s="39">
        <f>E53 * E49 * E54</f>
        <v>855.88560439757566</v>
      </c>
      <c r="F55" s="40">
        <f>E55*E42</f>
        <v>17973.597692349089</v>
      </c>
      <c r="G55" s="4" t="s">
        <v>226</v>
      </c>
    </row>
    <row r="56" spans="1:8" ht="20" customHeight="1" x14ac:dyDescent="0.35">
      <c r="A56" s="3" t="s">
        <v>227</v>
      </c>
      <c r="B56" s="3" t="s">
        <v>228</v>
      </c>
      <c r="C56" s="4" t="s">
        <v>229</v>
      </c>
      <c r="D56" s="3" t="s">
        <v>20</v>
      </c>
      <c r="E56" s="39">
        <f>E52 + E55</f>
        <v>3401.4261457684879</v>
      </c>
      <c r="F56" s="40">
        <f>E56*E42</f>
        <v>71429.94906113825</v>
      </c>
      <c r="G56" s="4" t="s">
        <v>230</v>
      </c>
    </row>
    <row r="58" spans="1:8" x14ac:dyDescent="0.35">
      <c r="A58" s="13" t="s">
        <v>231</v>
      </c>
    </row>
    <row r="59" spans="1:8" ht="22" customHeight="1" x14ac:dyDescent="0.35">
      <c r="A59" s="14" t="s">
        <v>163</v>
      </c>
      <c r="B59" s="14" t="s">
        <v>37</v>
      </c>
      <c r="C59" s="14" t="s">
        <v>164</v>
      </c>
      <c r="D59" s="14" t="s">
        <v>6</v>
      </c>
      <c r="E59" s="14" t="s">
        <v>165</v>
      </c>
      <c r="F59" s="14" t="s">
        <v>166</v>
      </c>
      <c r="G59" s="14" t="s">
        <v>167</v>
      </c>
    </row>
    <row r="60" spans="1:8" ht="20" customHeight="1" x14ac:dyDescent="0.35">
      <c r="A60" s="3" t="s">
        <v>168</v>
      </c>
      <c r="B60" s="3" t="s">
        <v>232</v>
      </c>
      <c r="C60" s="4" t="s">
        <v>233</v>
      </c>
      <c r="D60" s="3" t="s">
        <v>22</v>
      </c>
      <c r="E60" s="33">
        <v>29</v>
      </c>
      <c r="F60" s="33">
        <v>29</v>
      </c>
      <c r="G60" s="4" t="s">
        <v>234</v>
      </c>
    </row>
    <row r="61" spans="1:8" ht="20" customHeight="1" x14ac:dyDescent="0.35">
      <c r="A61" s="3" t="s">
        <v>172</v>
      </c>
      <c r="B61" s="3" t="s">
        <v>235</v>
      </c>
      <c r="C61" s="4" t="s">
        <v>174</v>
      </c>
      <c r="D61" s="3" t="s">
        <v>94</v>
      </c>
      <c r="E61" s="34">
        <v>1200</v>
      </c>
      <c r="F61" s="4" t="s">
        <v>175</v>
      </c>
      <c r="G61" s="4" t="s">
        <v>236</v>
      </c>
      <c r="H61" s="46" t="s">
        <v>266</v>
      </c>
    </row>
    <row r="62" spans="1:8" ht="20" customHeight="1" x14ac:dyDescent="0.35">
      <c r="A62" s="3" t="s">
        <v>177</v>
      </c>
      <c r="B62" s="3" t="s">
        <v>237</v>
      </c>
      <c r="C62" s="4" t="s">
        <v>238</v>
      </c>
      <c r="D62" s="3" t="s">
        <v>14</v>
      </c>
      <c r="E62" s="35" t="e">
        <f>F60/E58</f>
        <v>#DIV/0!</v>
      </c>
      <c r="F62" s="36">
        <v>482</v>
      </c>
      <c r="G62" s="4" t="s">
        <v>239</v>
      </c>
    </row>
    <row r="63" spans="1:8" ht="20" customHeight="1" x14ac:dyDescent="0.35">
      <c r="A63" s="3" t="s">
        <v>181</v>
      </c>
      <c r="B63" s="3" t="s">
        <v>240</v>
      </c>
      <c r="C63" s="4" t="s">
        <v>183</v>
      </c>
      <c r="D63" s="3" t="s">
        <v>14</v>
      </c>
      <c r="E63" s="35">
        <f>E60+E14</f>
        <v>29</v>
      </c>
      <c r="F63" s="36">
        <f>F60 + (E58*E14)</f>
        <v>29</v>
      </c>
      <c r="G63" s="4" t="s">
        <v>241</v>
      </c>
    </row>
    <row r="64" spans="1:8" ht="20" customHeight="1" x14ac:dyDescent="0.35">
      <c r="A64" s="3" t="s">
        <v>185</v>
      </c>
      <c r="B64" s="3" t="s">
        <v>242</v>
      </c>
      <c r="C64" s="4" t="s">
        <v>187</v>
      </c>
      <c r="D64" s="3" t="s">
        <v>18</v>
      </c>
      <c r="E64" s="37" t="e">
        <f>PI()*((E59/1000)^2)/4 * E61</f>
        <v>#VALUE!</v>
      </c>
      <c r="F64" s="38" t="e">
        <f>E62*E58</f>
        <v>#DIV/0!</v>
      </c>
      <c r="G64" s="4" t="s">
        <v>188</v>
      </c>
    </row>
    <row r="65" spans="1:7" ht="20" customHeight="1" x14ac:dyDescent="0.35">
      <c r="A65" s="3" t="s">
        <v>189</v>
      </c>
      <c r="B65" s="3" t="s">
        <v>243</v>
      </c>
      <c r="C65" s="4" t="s">
        <v>191</v>
      </c>
      <c r="D65" s="3" t="s">
        <v>18</v>
      </c>
      <c r="E65" s="37" t="e">
        <f>PI()*((E59/1000)^2)/4 * (E60+E15) * (1+E32)</f>
        <v>#VALUE!</v>
      </c>
      <c r="F65" s="38">
        <f>E63*E58</f>
        <v>0</v>
      </c>
      <c r="G65" s="4" t="s">
        <v>192</v>
      </c>
    </row>
    <row r="66" spans="1:7" ht="20" customHeight="1" x14ac:dyDescent="0.35">
      <c r="A66" s="3" t="s">
        <v>193</v>
      </c>
      <c r="B66" s="3" t="s">
        <v>244</v>
      </c>
      <c r="C66" s="4" t="s">
        <v>195</v>
      </c>
      <c r="D66" s="3" t="s">
        <v>94</v>
      </c>
      <c r="E66" s="34" t="e">
        <f>E59 - (2*E17)</f>
        <v>#VALUE!</v>
      </c>
      <c r="F66" s="4" t="s">
        <v>175</v>
      </c>
      <c r="G66" s="4" t="s">
        <v>245</v>
      </c>
    </row>
    <row r="67" spans="1:7" ht="20" customHeight="1" x14ac:dyDescent="0.35">
      <c r="A67" s="3" t="s">
        <v>197</v>
      </c>
      <c r="B67" s="3" t="s">
        <v>246</v>
      </c>
      <c r="C67" s="4" t="s">
        <v>199</v>
      </c>
      <c r="D67" s="3" t="s">
        <v>14</v>
      </c>
      <c r="E67" s="35" t="e">
        <f>PI() * (E64/1000)</f>
        <v>#VALUE!</v>
      </c>
      <c r="F67" s="4" t="s">
        <v>175</v>
      </c>
      <c r="G67" s="4" t="s">
        <v>200</v>
      </c>
    </row>
    <row r="68" spans="1:7" ht="20" customHeight="1" x14ac:dyDescent="0.35">
      <c r="A68" s="3" t="s">
        <v>201</v>
      </c>
      <c r="B68" s="3" t="s">
        <v>247</v>
      </c>
      <c r="C68" s="4" t="s">
        <v>248</v>
      </c>
      <c r="D68" s="3" t="s">
        <v>14</v>
      </c>
      <c r="E68" s="35">
        <f>E60 + 1.25 + E18 + (1 * E35 * (25/1000))</f>
        <v>31.5</v>
      </c>
      <c r="F68" s="4" t="s">
        <v>175</v>
      </c>
      <c r="G68" s="4" t="s">
        <v>249</v>
      </c>
    </row>
    <row r="69" spans="1:7" ht="20" customHeight="1" x14ac:dyDescent="0.35">
      <c r="A69" s="3" t="s">
        <v>205</v>
      </c>
      <c r="B69" s="3" t="s">
        <v>250</v>
      </c>
      <c r="C69" s="4" t="s">
        <v>251</v>
      </c>
      <c r="D69" s="3" t="s">
        <v>208</v>
      </c>
      <c r="E69" s="39">
        <f>PI()*((25/1000)^2)/4 * E33</f>
        <v>3.8533597391687309</v>
      </c>
      <c r="F69" s="4" t="s">
        <v>175</v>
      </c>
      <c r="G69" s="4" t="s">
        <v>252</v>
      </c>
    </row>
    <row r="70" spans="1:7" ht="20" customHeight="1" x14ac:dyDescent="0.35">
      <c r="A70" s="3" t="s">
        <v>210</v>
      </c>
      <c r="B70" s="3" t="s">
        <v>253</v>
      </c>
      <c r="C70" s="4" t="s">
        <v>254</v>
      </c>
      <c r="D70" s="3" t="s">
        <v>20</v>
      </c>
      <c r="E70" s="39" t="e">
        <f>16 * E66 * E67</f>
        <v>#VALUE!</v>
      </c>
      <c r="F70" s="40">
        <f>E68*E58</f>
        <v>0</v>
      </c>
      <c r="G70" s="4" t="s">
        <v>255</v>
      </c>
    </row>
    <row r="71" spans="1:7" ht="20" customHeight="1" x14ac:dyDescent="0.35">
      <c r="A71" s="3" t="s">
        <v>214</v>
      </c>
      <c r="B71" s="3" t="s">
        <v>256</v>
      </c>
      <c r="C71" s="4" t="s">
        <v>257</v>
      </c>
      <c r="D71" s="3" t="s">
        <v>217</v>
      </c>
      <c r="E71" s="33">
        <f>ROUNDUP(6/0.1 + (E60-6)/0.15, 0)</f>
        <v>214</v>
      </c>
      <c r="F71" s="4" t="s">
        <v>175</v>
      </c>
      <c r="G71" s="4" t="s">
        <v>258</v>
      </c>
    </row>
    <row r="72" spans="1:7" ht="20" customHeight="1" x14ac:dyDescent="0.35">
      <c r="A72" s="3" t="s">
        <v>219</v>
      </c>
      <c r="B72" s="3" t="s">
        <v>259</v>
      </c>
      <c r="C72" s="4" t="s">
        <v>260</v>
      </c>
      <c r="D72" s="3" t="s">
        <v>208</v>
      </c>
      <c r="E72" s="39">
        <f>PI()*((12/1000)^2)/4 * E33</f>
        <v>0.88781408390447547</v>
      </c>
      <c r="F72" s="4" t="s">
        <v>175</v>
      </c>
      <c r="G72" s="4" t="s">
        <v>261</v>
      </c>
    </row>
    <row r="73" spans="1:7" ht="20" customHeight="1" x14ac:dyDescent="0.35">
      <c r="A73" s="3" t="s">
        <v>223</v>
      </c>
      <c r="B73" s="3" t="s">
        <v>262</v>
      </c>
      <c r="C73" s="4" t="s">
        <v>263</v>
      </c>
      <c r="D73" s="3" t="s">
        <v>20</v>
      </c>
      <c r="E73" s="39" t="e">
        <f>E69 * E65 * E70</f>
        <v>#VALUE!</v>
      </c>
      <c r="F73" s="40">
        <f>E71*E58</f>
        <v>0</v>
      </c>
      <c r="G73" s="4" t="s">
        <v>264</v>
      </c>
    </row>
    <row r="74" spans="1:7" ht="20" customHeight="1" x14ac:dyDescent="0.35">
      <c r="A74" s="3" t="s">
        <v>227</v>
      </c>
      <c r="B74" s="3" t="s">
        <v>265</v>
      </c>
      <c r="C74" s="4" t="s">
        <v>229</v>
      </c>
      <c r="D74" s="3" t="s">
        <v>20</v>
      </c>
      <c r="E74" s="39">
        <f>E68 + E71</f>
        <v>245.5</v>
      </c>
      <c r="F74" s="40">
        <f>E72*E58</f>
        <v>0</v>
      </c>
      <c r="G74" s="4" t="s">
        <v>230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Οικονομική Προσφορά</vt:lpstr>
      <vt:lpstr>Τεχνικοί Υπολογισμοί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2026-10-15T10:14:21Z</dcterms:created>
  <dcterms:modified xsi:type="dcterms:W3CDTF">2026-10-15T11:55:34Z</dcterms:modified>
</cp:coreProperties>
</file>