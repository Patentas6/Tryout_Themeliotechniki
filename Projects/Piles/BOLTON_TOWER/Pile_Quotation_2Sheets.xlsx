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ικονομική Προσφορά" sheetId="1" state="visible" r:id="rId1"/>
    <sheet xmlns:r="http://schemas.openxmlformats.org/officeDocument/2006/relationships" name="Τεχνικοί Υπολογισμο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 &quot;m&quot;"/>
    <numFmt numFmtId="165" formatCode="#,##0.00 &quot;€&quot;"/>
    <numFmt numFmtId="166" formatCode="#,##0.00 &quot;m&quot;"/>
    <numFmt numFmtId="167" formatCode="0.00 &quot;m³&quot;"/>
    <numFmt numFmtId="168" formatCode="#,##0.00 &quot;m³&quot;"/>
    <numFmt numFmtId="169" formatCode="#,##0.0 &quot;kg&quot;"/>
    <numFmt numFmtId="170" formatCode="#,##0 &quot;kg&quot;"/>
    <numFmt numFmtId="171" formatCode="0.0 &quot;τεμ.&quot;"/>
    <numFmt numFmtId="172" formatCode="#,##0 &quot;τεμ.&quot;"/>
    <numFmt numFmtId="173" formatCode="0.0%"/>
    <numFmt numFmtId="174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B5563"/>
      <sz val="10"/>
    </font>
    <font>
      <name val="Calibri"/>
      <b val="1"/>
      <color rgb="001E40AF"/>
      <sz val="11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065F46"/>
      <sz val="11"/>
    </font>
    <font>
      <name val="Calibri"/>
      <b val="1"/>
      <color rgb="00065F46"/>
      <sz val="10"/>
    </font>
    <font>
      <name val="Calibri"/>
      <b val="1"/>
      <sz val="10"/>
    </font>
    <font>
      <name val="Calibri"/>
      <b val="1"/>
      <color rgb="0092400E"/>
      <sz val="11"/>
    </font>
    <font>
      <name val="Calibri"/>
      <b val="1"/>
      <color rgb="0092400E"/>
      <sz val="12"/>
    </font>
    <font>
      <name val="Calibri"/>
      <b val="1"/>
      <color rgb="001E40AF"/>
      <sz val="10"/>
    </font>
    <font>
      <name val="Calibri"/>
      <color rgb="00374151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DC2626"/>
      </left>
      <right style="medium">
        <color rgb="00DC2626"/>
      </right>
      <top style="medium">
        <color rgb="00DC2626"/>
      </top>
      <bottom style="medium">
        <color rgb="00DC2626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 style="thin">
        <color rgb="00B45309"/>
      </left>
      <right style="thin">
        <color rgb="00B45309"/>
      </right>
      <top style="thin">
        <color rgb="00B45309"/>
      </top>
      <bottom style="double">
        <color rgb="00B4530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165" fontId="8" fillId="6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9" fillId="7" borderId="4" applyAlignment="1" pivotButton="0" quotePrefix="0" xfId="0">
      <alignment horizontal="right" vertical="center"/>
    </xf>
    <xf numFmtId="0" fontId="0" fillId="7" borderId="4" pivotButton="0" quotePrefix="0" xfId="0"/>
    <xf numFmtId="165" fontId="9" fillId="7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4" fontId="5" fillId="4" borderId="2" applyAlignment="1" pivotButton="0" quotePrefix="0" xfId="0">
      <alignment horizontal="right"/>
    </xf>
    <xf numFmtId="0" fontId="5" fillId="4" borderId="2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6" fillId="0" borderId="0" pivotButton="0" quotePrefix="0" xfId="0"/>
    <xf numFmtId="0" fontId="7" fillId="5" borderId="3" applyAlignment="1" pivotButton="0" quotePrefix="0" xfId="0">
      <alignment horizontal="center"/>
    </xf>
    <xf numFmtId="0" fontId="7" fillId="5" borderId="3" pivotButton="0" quotePrefix="0" xfId="0"/>
    <xf numFmtId="164" fontId="7" fillId="5" borderId="3" pivotButton="0" quotePrefix="0" xfId="0"/>
    <xf numFmtId="166" fontId="7" fillId="5" borderId="3" pivotButton="0" quotePrefix="0" xfId="0"/>
    <xf numFmtId="167" fontId="7" fillId="5" borderId="3" pivotButton="0" quotePrefix="0" xfId="0"/>
    <xf numFmtId="168" fontId="7" fillId="5" borderId="3" pivotButton="0" quotePrefix="0" xfId="0"/>
    <xf numFmtId="169" fontId="7" fillId="5" borderId="3" pivotButton="0" quotePrefix="0" xfId="0"/>
    <xf numFmtId="170" fontId="7" fillId="5" borderId="3" pivotButton="0" quotePrefix="0" xfId="0"/>
    <xf numFmtId="171" fontId="7" fillId="5" borderId="3" pivotButton="0" quotePrefix="0" xfId="0"/>
    <xf numFmtId="172" fontId="7" fillId="5" borderId="3" pivotButton="0" quotePrefix="0" xfId="0"/>
    <xf numFmtId="173" fontId="0" fillId="0" borderId="1" applyAlignment="1" pivotButton="0" quotePrefix="0" xfId="0">
      <alignment horizontal="right"/>
    </xf>
    <xf numFmtId="3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17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54" customWidth="1" min="2" max="2"/>
    <col width="24" customWidth="1" min="3" max="3"/>
    <col width="12" customWidth="1" min="4" max="4"/>
    <col width="20" customWidth="1" min="5" max="5"/>
    <col width="24" customWidth="1" min="6" max="6"/>
    <col width="26" customWidth="1" min="7" max="7"/>
  </cols>
  <sheetData>
    <row r="1" ht="28" customHeight="1">
      <c r="A1" s="1" t="inlineStr">
        <is>
          <t>ΘΕΜΕΛΙΟΤΕΧΝΙΚΗ ΛΤΔ — ΟΙΚΟΝΟΜΙΚΗ ΠΡΟΣΦΟΡΑ ΠΑΣΣΑΛΩΝ</t>
        </is>
      </c>
    </row>
    <row r="2">
      <c r="A2" s="2" t="inlineStr">
        <is>
          <t>Έργο: BOLTON TOWER | Πελάτης: ΛΑΚΕΜΙΑ ΚΤΗΜΑΤΙΚΗ Λτδ | Τοποθεσία: Λεμεσός | Πλήθος Πασσάλων: 50 τεμ.</t>
        </is>
      </c>
    </row>
    <row r="4" ht="22" customHeight="1">
      <c r="A4" s="3" t="inlineStr">
        <is>
          <t>🛑 ΠΡΟΣΟΧΗ — RED ALERT: Στα σχέδια της μελέτης ΔΕΝ αναγράφονται τα υψόμετρα πλατφόρμας εργασίας (WPL) και Cut-Off Level.
Η παρούσα προσφορά έχει υπολογιστεί προσωρινά με μηδενική κενή διάτρηση (Δh = 0.00 m). Απαιτείται επιβεβαίωση στο εργοτάξιο πριν την οριστικοποίηση.</t>
        </is>
      </c>
    </row>
    <row r="5" ht="22" customHeight="1"/>
    <row r="7" ht="26" customHeight="1">
      <c r="A7" s="4" t="inlineStr">
        <is>
          <t>Α/Α</t>
        </is>
      </c>
      <c r="B7" s="4" t="inlineStr">
        <is>
          <t>Περιγραφή Εργασίας / Υλικού</t>
        </is>
      </c>
      <c r="C7" s="4" t="inlineStr">
        <is>
          <t>Ποσότητα ανά Πάσσαλο</t>
        </is>
      </c>
      <c r="D7" s="4" t="inlineStr">
        <is>
          <t>Μονάδα</t>
        </is>
      </c>
      <c r="E7" s="4" t="inlineStr">
        <is>
          <t>Τιμή Μονάδας (€)
[ΚΙΤΡΙΝΟ]</t>
        </is>
      </c>
      <c r="F7" s="4" t="inlineStr">
        <is>
          <t>Κόστος ανά Πάσσαλο (€)</t>
        </is>
      </c>
      <c r="G7" s="4" t="inlineStr">
        <is>
          <t>Σύνολο Όλων των Πασσάλων (€)</t>
        </is>
      </c>
    </row>
    <row r="8" ht="22" customHeight="1">
      <c r="A8" s="5" t="n">
        <v>1</v>
      </c>
      <c r="B8" s="6" t="inlineStr">
        <is>
          <t>Μετακινήσεις &amp; Εγκατάσταση Γεωτρύπανου (Επιμερισμός σε 50 πασσάλους)</t>
        </is>
      </c>
      <c r="C8" s="7" t="n">
        <v>1</v>
      </c>
      <c r="D8" s="5" t="inlineStr">
        <is>
          <t>πάσσαλο</t>
        </is>
      </c>
      <c r="E8" s="8" t="n">
        <v>10</v>
      </c>
      <c r="F8" s="9">
        <f>C8*E8</f>
        <v/>
      </c>
      <c r="G8" s="9">
        <f>'Τεχνικοί Υπολογισμοί'!E10</f>
        <v/>
      </c>
    </row>
    <row r="9" ht="22" customHeight="1">
      <c r="A9" s="5" t="inlineStr">
        <is>
          <t>2a</t>
        </is>
      </c>
      <c r="B9" s="6" t="inlineStr">
        <is>
          <t>Τρύπημα / Διάτρηση Πασσάλων Ø1500mm (21 τεμ., Βάθος 22.00m)</t>
        </is>
      </c>
      <c r="C9" s="10">
        <f>'Τεχνικοί Υπολογισμοί'!E23</f>
        <v/>
      </c>
      <c r="D9" s="5" t="inlineStr">
        <is>
          <t>m</t>
        </is>
      </c>
      <c r="E9" s="8" t="n">
        <v>210</v>
      </c>
      <c r="F9" s="9">
        <f>C9*E9</f>
        <v/>
      </c>
      <c r="G9" s="9">
        <f>'Τεχνικοί Υπολογισμοί'!F23*E9</f>
        <v/>
      </c>
    </row>
    <row r="10" ht="22" customHeight="1">
      <c r="A10" s="5" t="inlineStr">
        <is>
          <t>2b</t>
        </is>
      </c>
      <c r="B10" s="6" t="inlineStr">
        <is>
          <t>Τρύπημα / Διάτρηση Πασσάλων Ø1200mm (29 τεμ., Βάθη 10.50m - 19.00m)</t>
        </is>
      </c>
      <c r="C10" s="10">
        <f>'Τεχνικοί Υπολογισμοί'!E24</f>
        <v/>
      </c>
      <c r="D10" s="5" t="inlineStr">
        <is>
          <t>m</t>
        </is>
      </c>
      <c r="E10" s="8" t="n">
        <v>190</v>
      </c>
      <c r="F10" s="9">
        <f>C10*E10</f>
        <v/>
      </c>
      <c r="G10" s="9">
        <f>'Τεχνικοί Υπολογισμοί'!F24*E10</f>
        <v/>
      </c>
    </row>
    <row r="11" ht="22" customHeight="1">
      <c r="A11" s="5" t="n">
        <v>3</v>
      </c>
      <c r="B11" s="6" t="inlineStr">
        <is>
          <t>Σκυροδέτηση Πασσάλων C30/37 (Κουγκρί με +10% απώλεια)</t>
        </is>
      </c>
      <c r="C11" s="10">
        <f>'Τεχνικοί Υπολογισμοί'!E25</f>
        <v/>
      </c>
      <c r="D11" s="5" t="inlineStr">
        <is>
          <t>m³</t>
        </is>
      </c>
      <c r="E11" s="8" t="n">
        <v>115</v>
      </c>
      <c r="F11" s="9">
        <f>C11*E11</f>
        <v/>
      </c>
      <c r="G11" s="9">
        <f>'Τεχνικοί Υπολογισμοί'!F25*E11</f>
        <v/>
      </c>
    </row>
    <row r="12" ht="22" customHeight="1">
      <c r="A12" s="5" t="n">
        <v>4</v>
      </c>
      <c r="B12" s="6" t="inlineStr">
        <is>
          <t>Χάλυβας Οπλισμού B500C (Κλωβοί: Κάθετες Ράβδοι &amp; Σούστα)</t>
        </is>
      </c>
      <c r="C12" s="10">
        <f>'Τεχνικοί Υπολογισμοί'!E26</f>
        <v/>
      </c>
      <c r="D12" s="5" t="inlineStr">
        <is>
          <t>kg</t>
        </is>
      </c>
      <c r="E12" s="8" t="n">
        <v>1.1</v>
      </c>
      <c r="F12" s="9">
        <f>C12*E12</f>
        <v/>
      </c>
      <c r="G12" s="9">
        <f>'Τεχνικοί Υπολογισμοί'!F26*E12</f>
        <v/>
      </c>
    </row>
    <row r="13" ht="22" customHeight="1">
      <c r="A13" s="5" t="n">
        <v>5</v>
      </c>
      <c r="B13" s="6" t="inlineStr">
        <is>
          <t>Sleeves Προστασίας Starter Αναμονών (Debonding)</t>
        </is>
      </c>
      <c r="C13" s="10">
        <f>'Τεχνικοί Υπολογισμοί'!E27</f>
        <v/>
      </c>
      <c r="D13" s="5" t="inlineStr">
        <is>
          <t>τεμ.</t>
        </is>
      </c>
      <c r="E13" s="8" t="n">
        <v>3.5</v>
      </c>
      <c r="F13" s="9">
        <f>C13*E13</f>
        <v/>
      </c>
      <c r="G13" s="9">
        <f>'Τεχνικοί Υπολογισμοί'!F27*E13</f>
        <v/>
      </c>
    </row>
    <row r="14" ht="22" customHeight="1">
      <c r="A14" s="5" t="n">
        <v>6</v>
      </c>
      <c r="B14" s="6" t="inlineStr">
        <is>
          <t>Κεφαλοκοπή Πασσάλων / Pile Breaking (Σπάσιμο)</t>
        </is>
      </c>
      <c r="C14" s="10">
        <f>'Τεχνικοί Υπολογισμοί'!E28</f>
        <v/>
      </c>
      <c r="D14" s="5" t="inlineStr">
        <is>
          <t>πάσσαλο</t>
        </is>
      </c>
      <c r="E14" s="8" t="n">
        <v>60</v>
      </c>
      <c r="F14" s="9">
        <f>C14*E14</f>
        <v/>
      </c>
      <c r="G14" s="9">
        <f>'Τεχνικοί Υπολογισμοί'!F28*E14</f>
        <v/>
      </c>
    </row>
    <row r="15" ht="26" customHeight="1">
      <c r="A15" s="11" t="inlineStr">
        <is>
          <t>ΓΕΝΙΚΟ ΣΥΝΟΛΟ ΟΙΚΟΝΟΜΙΚΗΣ ΠΡΟΣΦΟΡΑΣ (ΧΩΡΙΣ Φ.Π.Α.)</t>
        </is>
      </c>
      <c r="B15" s="12" t="n"/>
      <c r="C15" s="12" t="n"/>
      <c r="D15" s="12" t="n"/>
      <c r="E15" s="12" t="n"/>
      <c r="F15" s="13">
        <f>SUM(F8:F14)</f>
        <v/>
      </c>
      <c r="G15" s="14">
        <f>SUM(G8:G14)</f>
        <v/>
      </c>
    </row>
    <row r="17">
      <c r="A17" s="15" t="inlineStr">
        <is>
          <t>ΟΡΟΙ, ΠΡΟΫΠΟΘΕΣΕΙΣ &amp; ΤΕΧΝΙΚΕΣ ΠΑΡΑΤΗΡΗΣΕΙΣ ΠΡΟΣΦΟΡΑΣ:</t>
        </is>
      </c>
    </row>
    <row r="18">
      <c r="A18" s="16" t="inlineStr">
        <is>
          <t>1. Στις ανωτέρω τιμές ΔΕΝ συμπεριλαμβάνεται ο εκάστοτε νόμιμος Φ.Π.Α. (19%).</t>
        </is>
      </c>
    </row>
    <row r="19">
      <c r="A19" s="16" t="inlineStr">
        <is>
          <t>2. Τιμολόγηση Διάτρησης: Ø1500mm στα 210.00 €/m (κατόπιν ρητής οδηγίας πελάτη) και Ø1200mm στα 190,00 €/m (επίσημος τιμοκατάλογος εταιρείας).</t>
        </is>
      </c>
    </row>
    <row r="20">
      <c r="A20" s="16" t="inlineStr">
        <is>
          <t>3. Σκυρόδεμα κατηγορίας C30/37 στα 115,00 €/m³ με συνυπολογισμένο πάγιο συντελεστή απώλειας / υπερκατανάλωσης +10%.</t>
        </is>
      </c>
    </row>
    <row r="21">
      <c r="A21" s="16" t="inlineStr">
        <is>
          <t>4. Χάλυβας οπλισμού ποιότητας B500C ενιαία στα 1,10 €/kg (αγορά, κοπή, κατασκευή κλωβών και τοποθέτηση).</t>
        </is>
      </c>
    </row>
    <row r="22">
      <c r="A22" s="16" t="inlineStr">
        <is>
          <t>5. Υψομετρική Διαφορά (WPL - CutOff): Επειδή στα σχέδια δεν δίνονται υψόμετρα, η προσφορά υπολογίζει προσωρινά Δh = 0.00 m. Εάν κατά την έναρξη των εργασιών διαπιστωθεί κενή διάτρηση (Δh &gt; 0), θα τιμολογηθούν τα πρόσθετα μέτρα διάτρησης, τα sleeves προστασίας αναμονών (3,50 €/τεμ.) και η κεφαλοκοπή (60,00 €/πάσσαλο).</t>
        </is>
      </c>
    </row>
    <row r="23">
      <c r="A23" s="16" t="inlineStr">
        <is>
          <t>6. Μετακινήσεις: Εφάπαξ ποσό 500,00 € (Ζώνη 1: 0-50km από έδρα Αγίου Συλά, Λεμεσός), επιμερισμένο ισόποσα σε 10,00 € ανά πάσσαλο (500 € / 50 πάσσαλοι).</t>
        </is>
      </c>
    </row>
    <row r="24">
      <c r="A24" s="16" t="inlineStr">
        <is>
          <t>7. Πληρωμή: Βάσει επιμετρήσεων πραγματικών εκτελεσθέντων μέτρων και κιλών οπλισμού κατά την παράδοση του έργου.</t>
        </is>
      </c>
    </row>
    <row r="25">
      <c r="A25" s="16" t="inlineStr">
        <is>
          <t>8. ΣΗΜΕΙΩΣΗ ΤΙΜΩΝ ΔΙΑΤΡΗΣΗΣ: Οι τιμές τρυπήματος/διάτρησης ενδέχεται να αναθεωρηθούν / αλλάξουν μελλοντικά βάσει των συνθηκών της αγοράς, του κόστους καυσίμων και της διαθεσιμότητας του εξοπλισμού.</t>
        </is>
      </c>
    </row>
  </sheetData>
  <mergeCells count="3">
    <mergeCell ref="A4:G5"/>
    <mergeCell ref="A1:G1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0" customWidth="1" min="2" max="2"/>
    <col width="46" customWidth="1" min="3" max="3"/>
    <col width="12" customWidth="1" min="4" max="4"/>
    <col width="24" customWidth="1" min="5" max="5"/>
    <col width="26" customWidth="1" min="6" max="6"/>
    <col width="44" customWidth="1" min="7" max="7"/>
  </cols>
  <sheetData>
    <row r="1" ht="28" customHeight="1">
      <c r="A1" s="1" t="inlineStr">
        <is>
          <t>ΘΕΜΕΛΙΟΤΕΧΝΙΚΗ ΛΤΔ — ΤΕΧΝΙΚΟΙ ΥΠΟΛΟΓΙΣΜΟΙ ΔΙΑΤΡΗΤΩΝ ΠΑΣΣΑΛΩΝ</t>
        </is>
      </c>
    </row>
    <row r="2">
      <c r="A2" s="2" t="inlineStr">
        <is>
          <t>Έργο: BOLTON TOWER (Λεμεσός) | Μελέτη: Hyperstatic Eng. | Πάσσαλοι: 50 τεμ. (21×Ø1500mm, 29×Ø1200mm)</t>
        </is>
      </c>
    </row>
    <row r="4">
      <c r="A4" s="17" t="inlineStr">
        <is>
          <t>1. ΔΕΔΟΜΕΝΑ ΠΟΥ ΔΙΑΒΑΣΤΗΚΑΝ ΑΠΟ ΤΟ ΣΧΕΔΙΟ &amp; ΥΨΟΜΕΤΡΑ (3 ΤΟΜΕΙΣ)</t>
        </is>
      </c>
    </row>
    <row r="5" ht="22" customHeight="1">
      <c r="A5" s="18" t="inlineStr">
        <is>
          <t>Α/Α</t>
        </is>
      </c>
      <c r="B5" s="18" t="inlineStr">
        <is>
          <t>Κωδικός</t>
        </is>
      </c>
      <c r="C5" s="18" t="inlineStr">
        <is>
          <t>Παράμετρος Έργου</t>
        </is>
      </c>
      <c r="D5" s="18" t="inlineStr">
        <is>
          <t>Μονάδα</t>
        </is>
      </c>
      <c r="E5" s="18" t="inlineStr">
        <is>
          <t>Τιμή Εισαγωγής</t>
        </is>
      </c>
      <c r="F5" s="18" t="inlineStr">
        <is>
          <t>Περιγραφή Σχεδίου</t>
        </is>
      </c>
      <c r="G5" s="18" t="inlineStr">
        <is>
          <t>Παρατηρήσεις / Προέλευση</t>
        </is>
      </c>
    </row>
    <row r="6" ht="20" customHeight="1">
      <c r="A6" s="5" t="n">
        <v>1</v>
      </c>
      <c r="B6" s="5" t="inlineStr">
        <is>
          <t>1.1.1</t>
        </is>
      </c>
      <c r="C6" s="6" t="inlineStr">
        <is>
          <t>Αφετηρία Γεωτρύπανου</t>
        </is>
      </c>
      <c r="D6" s="5" t="inlineStr">
        <is>
          <t>text</t>
        </is>
      </c>
      <c r="E6" s="10" t="inlineStr">
        <is>
          <t>Άγιος Συλάς, Λεμεσός</t>
        </is>
      </c>
      <c r="F6" s="6" t="inlineStr">
        <is>
          <t>Έδρα Εταιρείας</t>
        </is>
      </c>
      <c r="G6" s="6" t="inlineStr">
        <is>
          <t>Βασική αφετηρία εξοπλισμού</t>
        </is>
      </c>
    </row>
    <row r="7" ht="20" customHeight="1">
      <c r="A7" s="5" t="n">
        <v>2</v>
      </c>
      <c r="B7" s="5" t="inlineStr">
        <is>
          <t>1.1.2</t>
        </is>
      </c>
      <c r="C7" s="6" t="inlineStr">
        <is>
          <t>Τοποθεσία Έργου</t>
        </is>
      </c>
      <c r="D7" s="5" t="inlineStr">
        <is>
          <t>text</t>
        </is>
      </c>
      <c r="E7" s="10" t="inlineStr">
        <is>
          <t>Λεμεσός (Bolton Tower)</t>
        </is>
      </c>
      <c r="F7" s="6" t="inlineStr">
        <is>
          <t>Σχέδιο CAD</t>
        </is>
      </c>
      <c r="G7" s="6" t="inlineStr">
        <is>
          <t>Κέντρο Λεμεσού</t>
        </is>
      </c>
    </row>
    <row r="8" ht="20" customHeight="1">
      <c r="A8" s="5" t="n">
        <v>3</v>
      </c>
      <c r="B8" s="5" t="inlineStr">
        <is>
          <t>1.1.3</t>
        </is>
      </c>
      <c r="C8" s="6" t="inlineStr">
        <is>
          <t>Οδική Απόσταση Έργου από Έδρα</t>
        </is>
      </c>
      <c r="D8" s="5" t="inlineStr">
        <is>
          <t>km</t>
        </is>
      </c>
      <c r="E8" s="19" t="n">
        <v>15</v>
      </c>
      <c r="F8" s="6" t="inlineStr">
        <is>
          <t>15.0 km</t>
        </is>
      </c>
      <c r="G8" s="6" t="inlineStr">
        <is>
          <t>Εντός Ζώνης 1 (0-50 km)</t>
        </is>
      </c>
    </row>
    <row r="9" ht="20" customHeight="1">
      <c r="A9" s="5" t="n">
        <v>4</v>
      </c>
      <c r="B9" s="5" t="inlineStr">
        <is>
          <t>1.1.4</t>
        </is>
      </c>
      <c r="C9" s="6" t="inlineStr">
        <is>
          <t>Συνολικό Πλήθος Πασσάλων Έργου</t>
        </is>
      </c>
      <c r="D9" s="5" t="inlineStr">
        <is>
          <t>τεμ.</t>
        </is>
      </c>
      <c r="E9" s="20" t="n">
        <v>50</v>
      </c>
      <c r="F9" s="6" t="inlineStr">
        <is>
          <t>50 πάσσαλοι</t>
        </is>
      </c>
      <c r="G9" s="6" t="inlineStr">
        <is>
          <t>21×Ø1500mm + 29×Ø1200mm</t>
        </is>
      </c>
    </row>
    <row r="10" ht="20" customHeight="1">
      <c r="A10" s="5" t="n">
        <v>5</v>
      </c>
      <c r="B10" s="5" t="inlineStr">
        <is>
          <t>1.1.5</t>
        </is>
      </c>
      <c r="C10" s="6" t="inlineStr">
        <is>
          <t>Συνολικό Εφάπαξ Ποσό Μετακίνησης</t>
        </is>
      </c>
      <c r="D10" s="5" t="inlineStr">
        <is>
          <t>€</t>
        </is>
      </c>
      <c r="E10" s="9" t="n">
        <v>500</v>
      </c>
      <c r="F10" s="6" t="inlineStr">
        <is>
          <t>500.00 €</t>
        </is>
      </c>
      <c r="G10" s="6" t="inlineStr">
        <is>
          <t>Βασική τιμή Ζώνης 1 καταλόγου</t>
        </is>
      </c>
    </row>
    <row r="11" ht="20" customHeight="1">
      <c r="A11" s="5" t="n">
        <v>6</v>
      </c>
      <c r="B11" s="5" t="inlineStr">
        <is>
          <t>1.1.6</t>
        </is>
      </c>
      <c r="C11" s="6" t="inlineStr">
        <is>
          <t>Επιμερισμένη Τιμή Μετακίνησης ανά Πάσσαλο</t>
        </is>
      </c>
      <c r="D11" s="5" t="inlineStr">
        <is>
          <t>€/πάσσαλο</t>
        </is>
      </c>
      <c r="E11" s="10">
        <f>E10/E9</f>
        <v/>
      </c>
      <c r="F11" s="6" t="inlineStr">
        <is>
          <t>10.00 €/πάσσαλο</t>
        </is>
      </c>
      <c r="G11" s="6" t="inlineStr">
        <is>
          <t>Εφάπαξ ποσό επιμερισμένο σε 50 πασσάλους</t>
        </is>
      </c>
    </row>
    <row r="12" ht="20" customHeight="1">
      <c r="A12" s="21" t="n">
        <v>7</v>
      </c>
      <c r="B12" s="21" t="inlineStr">
        <is>
          <t>1.2.1</t>
        </is>
      </c>
      <c r="C12" t="inlineStr">
        <is>
          <t>Στάθμη Πλατφόρμας Γεωτρύπανου (WPL)</t>
        </is>
      </c>
      <c r="D12" s="21" t="inlineStr">
        <is>
          <t>m</t>
        </is>
      </c>
      <c r="E12" s="22" t="n">
        <v>0</v>
      </c>
      <c r="F12" t="inlineStr">
        <is>
          <t>Δεν δίνεται στο σχέδιο</t>
        </is>
      </c>
      <c r="G12" t="inlineStr">
        <is>
          <t>RED ALERT: Προσωρινή τιμή 0.00m</t>
        </is>
      </c>
    </row>
    <row r="13" ht="20" customHeight="1">
      <c r="A13" s="21" t="n">
        <v>8</v>
      </c>
      <c r="B13" s="21" t="inlineStr">
        <is>
          <t>1.2.2</t>
        </is>
      </c>
      <c r="C13" t="inlineStr">
        <is>
          <t>Στάθμη Αποκοπής Πασσάλων (Cut-Off Level)</t>
        </is>
      </c>
      <c r="D13" s="21" t="inlineStr">
        <is>
          <t>m</t>
        </is>
      </c>
      <c r="E13" s="22" t="n">
        <v>0</v>
      </c>
      <c r="F13" t="inlineStr">
        <is>
          <t>Δεν δίνεται στο σχέδιο</t>
        </is>
      </c>
      <c r="G13" t="inlineStr">
        <is>
          <t>RED ALERT: Προσωρινή τιμή 0.00m</t>
        </is>
      </c>
    </row>
    <row r="14" ht="20" customHeight="1">
      <c r="A14" s="21" t="n">
        <v>9</v>
      </c>
      <c r="B14" s="21" t="inlineStr">
        <is>
          <t>1.2.3</t>
        </is>
      </c>
      <c r="C14" t="inlineStr">
        <is>
          <t>Διαφορά Στάθμης Διάτρησης - Cut-Off (Δh)</t>
        </is>
      </c>
      <c r="D14" s="21" t="inlineStr">
        <is>
          <t>m</t>
        </is>
      </c>
      <c r="E14" s="23">
        <f>E12-E13</f>
        <v/>
      </c>
      <c r="F14" t="inlineStr">
        <is>
          <t>0.00 m (WPL - CutOff)</t>
        </is>
      </c>
      <c r="G14" t="inlineStr">
        <is>
          <t>RED ALERT: Κενή διάτρηση προσωρινά 0.00m</t>
        </is>
      </c>
    </row>
    <row r="15" ht="20" customHeight="1">
      <c r="A15" s="5" t="n">
        <v>10</v>
      </c>
      <c r="B15" s="5" t="inlineStr">
        <is>
          <t>1.2.4</t>
        </is>
      </c>
      <c r="C15" s="6" t="inlineStr">
        <is>
          <t>Ύψος Υπερκάλυψης Σκυροδέματος (h_overc)</t>
        </is>
      </c>
      <c r="D15" s="5" t="inlineStr">
        <is>
          <t>m</t>
        </is>
      </c>
      <c r="E15" s="10">
        <f>IF(E14&gt;0,MIN(2.0,E14),0.0)</f>
        <v/>
      </c>
      <c r="F15" s="6" t="inlineStr">
        <is>
          <t>Overconcreting</t>
        </is>
      </c>
      <c r="G15" s="6" t="inlineStr">
        <is>
          <t>Έως +2.0m αν Δh &gt; 0</t>
        </is>
      </c>
    </row>
    <row r="16" ht="20" customHeight="1">
      <c r="A16" s="5" t="n">
        <v>11</v>
      </c>
      <c r="B16" s="5" t="inlineStr">
        <is>
          <t>1.2.5</t>
        </is>
      </c>
      <c r="C16" s="6" t="inlineStr">
        <is>
          <t>Κατηγορία Σκυροδέματος Μελέτης</t>
        </is>
      </c>
      <c r="D16" s="5" t="inlineStr">
        <is>
          <t>class</t>
        </is>
      </c>
      <c r="E16" s="10" t="inlineStr">
        <is>
          <t>C30/37</t>
        </is>
      </c>
      <c r="F16" s="6" t="inlineStr">
        <is>
          <t>C30/37 (115,00 €/m³)</t>
        </is>
      </c>
      <c r="G16" s="6" t="inlineStr">
        <is>
          <t>Default εταιρείας (ανωδομή C50/60)</t>
        </is>
      </c>
    </row>
    <row r="17" ht="20" customHeight="1">
      <c r="A17" s="5" t="n">
        <v>12</v>
      </c>
      <c r="B17" s="5" t="inlineStr">
        <is>
          <t>1.3.1</t>
        </is>
      </c>
      <c r="C17" s="6" t="inlineStr">
        <is>
          <t>Επικάλυψη Οπλισμού (Cover)</t>
        </is>
      </c>
      <c r="D17" s="5" t="inlineStr">
        <is>
          <t>mm</t>
        </is>
      </c>
      <c r="E17" s="24" t="n">
        <v>75</v>
      </c>
      <c r="F17" s="6" t="inlineStr">
        <is>
          <t>75 mm</t>
        </is>
      </c>
      <c r="G17" s="6" t="inlineStr">
        <is>
          <t>Αναγράφεται ρητά στις παρατηρήσεις σχεδίου</t>
        </is>
      </c>
    </row>
    <row r="18" ht="20" customHeight="1">
      <c r="A18" s="5" t="n">
        <v>13</v>
      </c>
      <c r="B18" s="5" t="inlineStr">
        <is>
          <t>1.3.2</t>
        </is>
      </c>
      <c r="C18" s="6" t="inlineStr">
        <is>
          <t>Γωνία Πυθμένα Κλωβού (Bottom Bend)</t>
        </is>
      </c>
      <c r="D18" s="5" t="inlineStr">
        <is>
          <t>m</t>
        </is>
      </c>
      <c r="E18" s="19" t="n">
        <v>0</v>
      </c>
      <c r="F18" s="6" t="inlineStr">
        <is>
          <t>0.00 m / Δεν απαιτείται</t>
        </is>
      </c>
      <c r="G18" s="6" t="inlineStr">
        <is>
          <t>Δεν αναφέρεται στο σχέδιο</t>
        </is>
      </c>
    </row>
    <row r="19" ht="20" customHeight="1">
      <c r="A19" s="5" t="n">
        <v>14</v>
      </c>
      <c r="B19" s="5" t="inlineStr">
        <is>
          <t>1.3.3</t>
        </is>
      </c>
      <c r="C19" s="6" t="inlineStr">
        <is>
          <t>Sleeves Προστασίας Starter ανά Πάσσαλο</t>
        </is>
      </c>
      <c r="D19" s="5" t="inlineStr">
        <is>
          <t>τεμ./πάσσαλο</t>
        </is>
      </c>
      <c r="E19" s="10">
        <f>IF(E14&gt;0,16,0)</f>
        <v/>
      </c>
      <c r="F19" s="6" t="inlineStr">
        <is>
          <t>IF(Δh&gt;0, Nvert, 0)</t>
        </is>
      </c>
      <c r="G19" s="6" t="inlineStr">
        <is>
          <t>0 τεμ. όταν Δh = 0</t>
        </is>
      </c>
    </row>
    <row r="21">
      <c r="A21" s="25" t="inlineStr">
        <is>
          <t>2. ΤΕΛΙΚΕΣ ΠΟΣΟΤΗΤΕΣ ΓΙΑ ΤΗΝ ΟΙΚΟΝΟΜΙΚΗ ΠΡΟΣΦΟΡΑ (SUMMARY RESULTS)</t>
        </is>
      </c>
    </row>
    <row r="22" ht="22" customHeight="1">
      <c r="A22" s="18" t="inlineStr">
        <is>
          <t>Α/Α</t>
        </is>
      </c>
      <c r="B22" s="18" t="inlineStr">
        <is>
          <t>Κωδικός</t>
        </is>
      </c>
      <c r="C22" s="18" t="inlineStr">
        <is>
          <t>Περιγραφή Τελικής Ποσότητας</t>
        </is>
      </c>
      <c r="D22" s="18" t="inlineStr">
        <is>
          <t>Μονάδα</t>
        </is>
      </c>
      <c r="E22" s="18" t="inlineStr">
        <is>
          <t>Μέση Ποσότητα / Πάσσαλο</t>
        </is>
      </c>
      <c r="F22" s="18" t="inlineStr">
        <is>
          <t>Σύνολο Όλων των Πασσάλων</t>
        </is>
      </c>
      <c r="G22" s="18" t="inlineStr">
        <is>
          <t>Σύνδεση με Φύλλο 1</t>
        </is>
      </c>
    </row>
    <row r="23" ht="20" customHeight="1">
      <c r="A23" s="26" t="n">
        <v>1</v>
      </c>
      <c r="B23" s="26" t="inlineStr">
        <is>
          <t>2.1</t>
        </is>
      </c>
      <c r="C23" s="27" t="inlineStr">
        <is>
          <t>Τρέχοντα Μέτρα Διάτρησης Ø1500mm (21 πάσσαλοι)</t>
        </is>
      </c>
      <c r="D23" s="26" t="inlineStr">
        <is>
          <t>m</t>
        </is>
      </c>
      <c r="E23" s="28">
        <f>F23/21</f>
        <v/>
      </c>
      <c r="F23" s="29">
        <f>F45</f>
        <v/>
      </c>
      <c r="G23" s="27" t="inlineStr">
        <is>
          <t>Τροφοδοτεί Γραμμή 2a Προσφοράς</t>
        </is>
      </c>
    </row>
    <row r="24" ht="20" customHeight="1">
      <c r="A24" s="26" t="n">
        <v>2</v>
      </c>
      <c r="B24" s="26" t="inlineStr">
        <is>
          <t>2.2</t>
        </is>
      </c>
      <c r="C24" s="27" t="inlineStr">
        <is>
          <t>Τρέχοντα Μέτρα Διάτρησης Ø1200mm (29 πάσσαλοι)</t>
        </is>
      </c>
      <c r="D24" s="26" t="inlineStr">
        <is>
          <t>m</t>
        </is>
      </c>
      <c r="E24" s="28">
        <f>F24/29</f>
        <v/>
      </c>
      <c r="F24" s="29">
        <f>F61</f>
        <v/>
      </c>
      <c r="G24" s="27" t="inlineStr">
        <is>
          <t>Τροφοδοτεί Γραμμή 2b Προσφοράς</t>
        </is>
      </c>
    </row>
    <row r="25" ht="20" customHeight="1">
      <c r="A25" s="26" t="n">
        <v>3</v>
      </c>
      <c r="B25" s="26" t="inlineStr">
        <is>
          <t>2.3</t>
        </is>
      </c>
      <c r="C25" s="27" t="inlineStr">
        <is>
          <t>Κυβικά Σκυροδέματος C30/37 με +10% απώλεια</t>
        </is>
      </c>
      <c r="D25" s="26" t="inlineStr">
        <is>
          <t>m³</t>
        </is>
      </c>
      <c r="E25" s="30">
        <f>F25/E9</f>
        <v/>
      </c>
      <c r="F25" s="31">
        <f>F47+F63</f>
        <v/>
      </c>
      <c r="G25" s="27" t="inlineStr">
        <is>
          <t>Τροφοδοτεί Γραμμή 3 Προσφοράς</t>
        </is>
      </c>
    </row>
    <row r="26" ht="20" customHeight="1">
      <c r="A26" s="26" t="n">
        <v>4</v>
      </c>
      <c r="B26" s="26" t="inlineStr">
        <is>
          <t>2.4</t>
        </is>
      </c>
      <c r="C26" s="27" t="inlineStr">
        <is>
          <t>Συνολικό Βάρος Χάλυβα Οπλισμού B500C</t>
        </is>
      </c>
      <c r="D26" s="26" t="inlineStr">
        <is>
          <t>kg</t>
        </is>
      </c>
      <c r="E26" s="32">
        <f>F26/E9</f>
        <v/>
      </c>
      <c r="F26" s="33">
        <f>F55+F71</f>
        <v/>
      </c>
      <c r="G26" s="27" t="inlineStr">
        <is>
          <t>Τροφοδοτεί Γραμμή 4 Προσφοράς</t>
        </is>
      </c>
    </row>
    <row r="27" ht="20" customHeight="1">
      <c r="A27" s="26" t="n">
        <v>5</v>
      </c>
      <c r="B27" s="26" t="inlineStr">
        <is>
          <t>2.5</t>
        </is>
      </c>
      <c r="C27" s="27" t="inlineStr">
        <is>
          <t>Sleeves Προστασίας Starter Αναμονών</t>
        </is>
      </c>
      <c r="D27" s="26" t="inlineStr">
        <is>
          <t>τεμ.</t>
        </is>
      </c>
      <c r="E27" s="34">
        <f>F27/E9</f>
        <v/>
      </c>
      <c r="F27" s="35">
        <f>IF(E14&gt;0,50*16,0)</f>
        <v/>
      </c>
      <c r="G27" s="27" t="inlineStr">
        <is>
          <t>Τροφοδοτεί Γραμμή 5 Προσφοράς</t>
        </is>
      </c>
    </row>
    <row r="28" ht="20" customHeight="1">
      <c r="A28" s="26" t="n">
        <v>6</v>
      </c>
      <c r="B28" s="26" t="inlineStr">
        <is>
          <t>2.6</t>
        </is>
      </c>
      <c r="C28" s="27" t="inlineStr">
        <is>
          <t>Κεφαλοκοπή Πασσάλων / Pile Breaking</t>
        </is>
      </c>
      <c r="D28" s="26" t="inlineStr">
        <is>
          <t>τεμ.</t>
        </is>
      </c>
      <c r="E28" s="34">
        <f>F28/E9</f>
        <v/>
      </c>
      <c r="F28" s="35">
        <f>IF(E14&gt;0,50,0)</f>
        <v/>
      </c>
      <c r="G28" s="27" t="inlineStr">
        <is>
          <t>Τροφοδοτεί Γραμμή 6 Προσφοράς</t>
        </is>
      </c>
    </row>
    <row r="30">
      <c r="A30" s="17" t="inlineStr">
        <is>
          <t>3. ΣΤΑΘΕΡΕΣ ΤΕΧΝΙΚΕΣ ΠΑΡΑΔΟΧΕΣ (COMPANY STANDARDS)</t>
        </is>
      </c>
    </row>
    <row r="31" ht="22" customHeight="1">
      <c r="A31" s="18" t="inlineStr">
        <is>
          <t>Α/Α</t>
        </is>
      </c>
      <c r="B31" s="18" t="inlineStr">
        <is>
          <t>Κωδικός</t>
        </is>
      </c>
      <c r="C31" s="18" t="inlineStr">
        <is>
          <t>Παραδοχή / Φυσική Σταθερά</t>
        </is>
      </c>
      <c r="D31" s="18" t="inlineStr">
        <is>
          <t>Μονάδα</t>
        </is>
      </c>
      <c r="E31" s="18" t="inlineStr">
        <is>
          <t>Αριθμητική Τιμή</t>
        </is>
      </c>
      <c r="F31" s="18" t="inlineStr">
        <is>
          <t>Περιγραφή</t>
        </is>
      </c>
      <c r="G31" s="18" t="inlineStr">
        <is>
          <t>Κανόνας Τιμοκαταλόγου</t>
        </is>
      </c>
    </row>
    <row r="32" ht="20" customHeight="1">
      <c r="A32" s="5" t="n">
        <v>1</v>
      </c>
      <c r="B32" s="5" t="inlineStr">
        <is>
          <t>3.1</t>
        </is>
      </c>
      <c r="C32" s="6" t="inlineStr">
        <is>
          <t>Συντελεστής Απώλειας / Υπερκατανάλωσης Σκυροδέματος</t>
        </is>
      </c>
      <c r="D32" s="5" t="inlineStr">
        <is>
          <t>%</t>
        </is>
      </c>
      <c r="E32" s="36" t="n">
        <v>0.1</v>
      </c>
      <c r="F32" s="6" t="inlineStr">
        <is>
          <t>10%</t>
        </is>
      </c>
      <c r="G32" s="6" t="inlineStr">
        <is>
          <t>Πάγια προσαύξηση όγκου +10% (V_conc = V_geom × 1.10)</t>
        </is>
      </c>
    </row>
    <row r="33" ht="20" customHeight="1">
      <c r="A33" s="5" t="n">
        <v>2</v>
      </c>
      <c r="B33" s="5" t="inlineStr">
        <is>
          <t>3.2</t>
        </is>
      </c>
      <c r="C33" s="6" t="inlineStr">
        <is>
          <t>Ειδικό Βάρος Δομικού Χάλυβα Οπλισμού (ρ)</t>
        </is>
      </c>
      <c r="D33" s="5" t="inlineStr">
        <is>
          <t>kg/m³</t>
        </is>
      </c>
      <c r="E33" s="20" t="n">
        <v>7850</v>
      </c>
      <c r="F33" s="6" t="inlineStr">
        <is>
          <t>7,850 kg/m³</t>
        </is>
      </c>
      <c r="G33" s="6" t="inlineStr">
        <is>
          <t>Φυσική σταθερά χάλυβα B500C</t>
        </is>
      </c>
    </row>
    <row r="34" ht="20" customHeight="1">
      <c r="A34" s="5" t="n">
        <v>3</v>
      </c>
      <c r="B34" s="5" t="inlineStr">
        <is>
          <t>3.3</t>
        </is>
      </c>
      <c r="C34" s="6" t="inlineStr">
        <is>
          <t>Μέγιστο Εμπορικό Μήκος Βέργας Χάλυβα</t>
        </is>
      </c>
      <c r="D34" s="5" t="inlineStr">
        <is>
          <t>m</t>
        </is>
      </c>
      <c r="E34" s="19" t="n">
        <v>12</v>
      </c>
      <c r="F34" s="6" t="inlineStr">
        <is>
          <t>12.00 m</t>
        </is>
      </c>
      <c r="G34" s="6" t="inlineStr">
        <is>
          <t>Όριο πέραν του οποίου απαιτείται μάτιση</t>
        </is>
      </c>
    </row>
    <row r="35" ht="20" customHeight="1">
      <c r="A35" s="5" t="n">
        <v>4</v>
      </c>
      <c r="B35" s="5" t="inlineStr">
        <is>
          <t>3.4</t>
        </is>
      </c>
      <c r="C35" s="6" t="inlineStr">
        <is>
          <t>Συντελεστής Μήκους Μάτισης Ράβδων (Lapping)</t>
        </is>
      </c>
      <c r="D35" s="5" t="inlineStr">
        <is>
          <t>×Φ</t>
        </is>
      </c>
      <c r="E35" s="24" t="n">
        <v>50</v>
      </c>
      <c r="F35" s="6" t="inlineStr">
        <is>
          <t>50 × Φ</t>
        </is>
      </c>
      <c r="G35" s="6" t="inlineStr">
        <is>
          <t>Επικάλυψη ράβδων σε βαθιούς πασσάλους</t>
        </is>
      </c>
    </row>
    <row r="36" ht="20" customHeight="1">
      <c r="A36" s="5" t="n">
        <v>5</v>
      </c>
      <c r="B36" s="5" t="inlineStr">
        <is>
          <t>3.5</t>
        </is>
      </c>
      <c r="C36" s="6" t="inlineStr">
        <is>
          <t>Μέγιστο Ύψος Υπερκάλυψης Σκυροδέματος (Overconcreting)</t>
        </is>
      </c>
      <c r="D36" s="5" t="inlineStr">
        <is>
          <t>m</t>
        </is>
      </c>
      <c r="E36" s="19" t="n">
        <v>2</v>
      </c>
      <c r="F36" s="6" t="inlineStr">
        <is>
          <t>+2.00 m</t>
        </is>
      </c>
      <c r="G36" s="6" t="inlineStr">
        <is>
          <t>Έως +2.0m πάνω από cut-off αν Δh &gt; 0</t>
        </is>
      </c>
    </row>
    <row r="37" ht="20" customHeight="1">
      <c r="A37" s="5" t="n">
        <v>6</v>
      </c>
      <c r="B37" s="5" t="inlineStr">
        <is>
          <t>3.6</t>
        </is>
      </c>
      <c r="C37" s="6" t="inlineStr">
        <is>
          <t>Μαθηματική Σταθερά π</t>
        </is>
      </c>
      <c r="D37" s="5" t="inlineStr">
        <is>
          <t>const</t>
        </is>
      </c>
      <c r="E37" s="10">
        <f>PI()</f>
        <v/>
      </c>
      <c r="F37" s="6" t="inlineStr">
        <is>
          <t>3.14159...</t>
        </is>
      </c>
      <c r="G37" s="6" t="inlineStr">
        <is>
          <t>Υπολογισμός εμβαδού και όγκου κυλίνδρου</t>
        </is>
      </c>
    </row>
    <row r="40">
      <c r="A40" s="17" t="inlineStr">
        <is>
          <t>4.1 ΤΥΠΟΣ 1: ΠΑΣΣΑΛΟΙ Ø1500mm — 21 ΤΕΜΑΧΙΑ (P1 - P21, ΒΑΘΟΣ 22.00m)</t>
        </is>
      </c>
    </row>
    <row r="41" ht="22" customHeight="1">
      <c r="A41" s="18" t="inlineStr">
        <is>
          <t>Βήμα</t>
        </is>
      </c>
      <c r="B41" s="18" t="inlineStr">
        <is>
          <t>Κωδικός</t>
        </is>
      </c>
      <c r="C41" s="18" t="inlineStr">
        <is>
          <t>Μαθηματικό Βήμα Υπολογισμού</t>
        </is>
      </c>
      <c r="D41" s="18" t="inlineStr">
        <is>
          <t>Μονάδα</t>
        </is>
      </c>
      <c r="E41" s="18" t="inlineStr">
        <is>
          <t>Τιμή ανά Πάσσαλο</t>
        </is>
      </c>
      <c r="F41" s="18" t="inlineStr">
        <is>
          <t>Σύνολο Τύπου 1 (21 τεμ.)</t>
        </is>
      </c>
      <c r="G41" s="18" t="inlineStr">
        <is>
          <t>Τύπος Υπολογισμού (Excel Formula)</t>
        </is>
      </c>
    </row>
    <row r="42" ht="20" customHeight="1">
      <c r="A42" s="5" t="inlineStr">
        <is>
          <t>1</t>
        </is>
      </c>
      <c r="B42" s="5" t="inlineStr">
        <is>
          <t>T1.1</t>
        </is>
      </c>
      <c r="C42" s="6" t="inlineStr">
        <is>
          <t>Πλήθος πασσάλων Τύπου 1</t>
        </is>
      </c>
      <c r="D42" s="5" t="inlineStr">
        <is>
          <t>τεμ.</t>
        </is>
      </c>
      <c r="E42" s="37" t="n">
        <v>21</v>
      </c>
      <c r="F42" s="37" t="n">
        <v>21</v>
      </c>
      <c r="G42" s="6" t="inlineStr">
        <is>
          <t>21 πάσσαλοι (P1 έως P21)</t>
        </is>
      </c>
    </row>
    <row r="43" ht="20" customHeight="1">
      <c r="A43" s="5" t="inlineStr">
        <is>
          <t>2</t>
        </is>
      </c>
      <c r="B43" s="5" t="inlineStr">
        <is>
          <t>T1.2</t>
        </is>
      </c>
      <c r="C43" s="6" t="inlineStr">
        <is>
          <t>Ονομαστική διάμετρος διάτρησης (D)</t>
        </is>
      </c>
      <c r="D43" s="5" t="inlineStr">
        <is>
          <t>mm</t>
        </is>
      </c>
      <c r="E43" s="38" t="n">
        <v>1500</v>
      </c>
      <c r="F43" s="6" t="inlineStr">
        <is>
          <t>—</t>
        </is>
      </c>
      <c r="G43" s="6" t="inlineStr">
        <is>
          <t>Διάμετρος οπής 1.50 m</t>
        </is>
      </c>
    </row>
    <row r="44" ht="20" customHeight="1">
      <c r="A44" s="5" t="inlineStr">
        <is>
          <t>3</t>
        </is>
      </c>
      <c r="B44" s="5" t="inlineStr">
        <is>
          <t>T1.3</t>
        </is>
      </c>
      <c r="C44" s="6" t="inlineStr">
        <is>
          <t>Μήκος πασσάλου στο έδαφος (L_pile)</t>
        </is>
      </c>
      <c r="D44" s="5" t="inlineStr">
        <is>
          <t>m</t>
        </is>
      </c>
      <c r="E44" s="39" t="n">
        <v>22</v>
      </c>
      <c r="F44" s="6" t="inlineStr">
        <is>
          <t>—</t>
        </is>
      </c>
      <c r="G44" s="6" t="inlineStr">
        <is>
          <t>Καθαρό βάθος πασσάλου</t>
        </is>
      </c>
    </row>
    <row r="45" ht="20" customHeight="1">
      <c r="A45" s="5" t="inlineStr">
        <is>
          <t>4</t>
        </is>
      </c>
      <c r="B45" s="5" t="inlineStr">
        <is>
          <t>T1.4</t>
        </is>
      </c>
      <c r="C45" s="6" t="inlineStr">
        <is>
          <t>Συνολικό βάθος διάτρησης (L_drill)</t>
        </is>
      </c>
      <c r="D45" s="5" t="inlineStr">
        <is>
          <t>m</t>
        </is>
      </c>
      <c r="E45" s="39">
        <f>E44+E14</f>
        <v/>
      </c>
      <c r="F45" s="40">
        <f>E45*E42</f>
        <v/>
      </c>
      <c r="G45" s="6" t="inlineStr">
        <is>
          <t>L_drill = L_pile + Δh</t>
        </is>
      </c>
    </row>
    <row r="46" ht="20" customHeight="1">
      <c r="A46" s="5" t="inlineStr">
        <is>
          <t>5</t>
        </is>
      </c>
      <c r="B46" s="5" t="inlineStr">
        <is>
          <t>T1.5</t>
        </is>
      </c>
      <c r="C46" s="6" t="inlineStr">
        <is>
          <t>Γεωμετρικός όγκος εκσκαφής (V_geom)</t>
        </is>
      </c>
      <c r="D46" s="5" t="inlineStr">
        <is>
          <t>m³</t>
        </is>
      </c>
      <c r="E46" s="41">
        <f>PI()*((E43/1000)^2)/4 * E45</f>
        <v/>
      </c>
      <c r="F46" s="42">
        <f>E46*E42</f>
        <v/>
      </c>
      <c r="G46" s="6" t="inlineStr">
        <is>
          <t>V_geom = π × D² / 4 × L_drill</t>
        </is>
      </c>
    </row>
    <row r="47" ht="20" customHeight="1">
      <c r="A47" s="5" t="inlineStr">
        <is>
          <t>6</t>
        </is>
      </c>
      <c r="B47" s="5" t="inlineStr">
        <is>
          <t>T1.6</t>
        </is>
      </c>
      <c r="C47" s="6" t="inlineStr">
        <is>
          <t>Όγκος σκυροδέματος με +10% απώλεια (V_conc)</t>
        </is>
      </c>
      <c r="D47" s="5" t="inlineStr">
        <is>
          <t>m³</t>
        </is>
      </c>
      <c r="E47" s="41">
        <f>PI()*((E43/1000)^2)/4 * (E44+E15) * (1+E32)</f>
        <v/>
      </c>
      <c r="F47" s="42">
        <f>E47*E42</f>
        <v/>
      </c>
      <c r="G47" s="6" t="inlineStr">
        <is>
          <t>V_conc = π×D²/4 × (L_pile + h_overc) × 1.10</t>
        </is>
      </c>
    </row>
    <row r="48" ht="20" customHeight="1">
      <c r="A48" s="5" t="inlineStr">
        <is>
          <t>7</t>
        </is>
      </c>
      <c r="B48" s="5" t="inlineStr">
        <is>
          <t>T1.7</t>
        </is>
      </c>
      <c r="C48" s="6" t="inlineStr">
        <is>
          <t>Διάμετρος κλωβού οπλισμού (D_cage)</t>
        </is>
      </c>
      <c r="D48" s="5" t="inlineStr">
        <is>
          <t>mm</t>
        </is>
      </c>
      <c r="E48" s="38">
        <f>E43 - (2*E17)</f>
        <v/>
      </c>
      <c r="F48" s="6" t="inlineStr">
        <is>
          <t>—</t>
        </is>
      </c>
      <c r="G48" s="6" t="inlineStr">
        <is>
          <t>D_cage = D − 2×Cover (1500 - 150 = 1350 mm)</t>
        </is>
      </c>
    </row>
    <row r="49" ht="20" customHeight="1">
      <c r="A49" s="5" t="inlineStr">
        <is>
          <t>8</t>
        </is>
      </c>
      <c r="B49" s="5" t="inlineStr">
        <is>
          <t>T1.8</t>
        </is>
      </c>
      <c r="C49" s="6" t="inlineStr">
        <is>
          <t>Περίμετρος κλωβού οπλισμού (Π_cage)</t>
        </is>
      </c>
      <c r="D49" s="5" t="inlineStr">
        <is>
          <t>m</t>
        </is>
      </c>
      <c r="E49" s="39">
        <f>PI() * (E48/1000)</f>
        <v/>
      </c>
      <c r="F49" s="6" t="inlineStr">
        <is>
          <t>—</t>
        </is>
      </c>
      <c r="G49" s="6" t="inlineStr">
        <is>
          <t>Π_cage = π × D_cage</t>
        </is>
      </c>
    </row>
    <row r="50" ht="20" customHeight="1">
      <c r="A50" s="5" t="inlineStr">
        <is>
          <t>9</t>
        </is>
      </c>
      <c r="B50" s="5" t="inlineStr">
        <is>
          <t>T1.9</t>
        </is>
      </c>
      <c r="C50" s="6" t="inlineStr">
        <is>
          <t>Ανεπτυγμένο μήκος κάθετης ράβδου (L_bar)</t>
        </is>
      </c>
      <c r="D50" s="5" t="inlineStr">
        <is>
          <t>m</t>
        </is>
      </c>
      <c r="E50" s="39">
        <f>E44 + 1.60 + E18 + (1 * E35 * (32/1000))</f>
        <v/>
      </c>
      <c r="F50" s="6" t="inlineStr">
        <is>
          <t>—</t>
        </is>
      </c>
      <c r="G50" s="6" t="inlineStr">
        <is>
          <t>L_base=22+1.60=23.6m &gt; 12m -&gt; 1 μάτιση (50Φ=1.60m) -&gt; 25.20m</t>
        </is>
      </c>
    </row>
    <row r="51" ht="20" customHeight="1">
      <c r="A51" s="5" t="inlineStr">
        <is>
          <t>10</t>
        </is>
      </c>
      <c r="B51" s="5" t="inlineStr">
        <is>
          <t>T1.10</t>
        </is>
      </c>
      <c r="C51" s="6" t="inlineStr">
        <is>
          <t>Μοναδιαίο βάρος κάθετης ράβδου Y32</t>
        </is>
      </c>
      <c r="D51" s="5" t="inlineStr">
        <is>
          <t>kg/m</t>
        </is>
      </c>
      <c r="E51" s="43">
        <f>PI()*((32/1000)^2)/4 * E33</f>
        <v/>
      </c>
      <c r="F51" s="6" t="inlineStr">
        <is>
          <t>—</t>
        </is>
      </c>
      <c r="G51" s="6" t="inlineStr">
        <is>
          <t>w = π × (0.032)² / 4 × 7850 = 6.313 kg/m</t>
        </is>
      </c>
    </row>
    <row r="52" ht="20" customHeight="1">
      <c r="A52" s="5" t="inlineStr">
        <is>
          <t>11</t>
        </is>
      </c>
      <c r="B52" s="5" t="inlineStr">
        <is>
          <t>T1.11</t>
        </is>
      </c>
      <c r="C52" s="6" t="inlineStr">
        <is>
          <t>Βάρος κάθετων ράβδων ανά πάσσαλο (16Y32)</t>
        </is>
      </c>
      <c r="D52" s="5" t="inlineStr">
        <is>
          <t>kg</t>
        </is>
      </c>
      <c r="E52" s="43">
        <f>16 * E50 * E51</f>
        <v/>
      </c>
      <c r="F52" s="44">
        <f>E52*E42</f>
        <v/>
      </c>
      <c r="G52" s="6" t="inlineStr">
        <is>
          <t>W_vert = 16 × L_bar × w_Y32</t>
        </is>
      </c>
    </row>
    <row r="53" ht="20" customHeight="1">
      <c r="A53" s="5" t="inlineStr">
        <is>
          <t>12</t>
        </is>
      </c>
      <c r="B53" s="5" t="inlineStr">
        <is>
          <t>T1.12</t>
        </is>
      </c>
      <c r="C53" s="6" t="inlineStr">
        <is>
          <t>Αριθμός σπειρών σούστας Y14</t>
        </is>
      </c>
      <c r="D53" s="5" t="inlineStr">
        <is>
          <t>σπείρες</t>
        </is>
      </c>
      <c r="E53" s="37">
        <f>ROUNDUP(6.0/0.10 + (E44-6.0)/0.15, 0)</f>
        <v/>
      </c>
      <c r="F53" s="6" t="inlineStr">
        <is>
          <t>—</t>
        </is>
      </c>
      <c r="G53" s="6" t="inlineStr">
        <is>
          <t>3m πάνω (s=100) + 3m κάτω (s=100) + 16m μέσο (s=150) = 167 σπείρες</t>
        </is>
      </c>
    </row>
    <row r="54" ht="20" customHeight="1">
      <c r="A54" s="5" t="inlineStr">
        <is>
          <t>13</t>
        </is>
      </c>
      <c r="B54" s="5" t="inlineStr">
        <is>
          <t>T1.13</t>
        </is>
      </c>
      <c r="C54" s="6" t="inlineStr">
        <is>
          <t>Μοναδιαίο βάρος σούστας Y14</t>
        </is>
      </c>
      <c r="D54" s="5" t="inlineStr">
        <is>
          <t>kg/m</t>
        </is>
      </c>
      <c r="E54" s="43">
        <f>PI()*((14/1000)^2)/4 * E33</f>
        <v/>
      </c>
      <c r="F54" s="6" t="inlineStr">
        <is>
          <t>—</t>
        </is>
      </c>
      <c r="G54" s="6" t="inlineStr">
        <is>
          <t>w = π × (0.014)² / 4 × 7850 = 1.208 kg/m</t>
        </is>
      </c>
    </row>
    <row r="55" ht="20" customHeight="1">
      <c r="A55" s="5" t="inlineStr">
        <is>
          <t>14</t>
        </is>
      </c>
      <c r="B55" s="5" t="inlineStr">
        <is>
          <t>T1.14</t>
        </is>
      </c>
      <c r="C55" s="6" t="inlineStr">
        <is>
          <t>Βάρος σούστας ανά πάσσαλο (Y14)</t>
        </is>
      </c>
      <c r="D55" s="5" t="inlineStr">
        <is>
          <t>kg</t>
        </is>
      </c>
      <c r="E55" s="43">
        <f>E53 * E49 * E54</f>
        <v/>
      </c>
      <c r="F55" s="44">
        <f>E55*E42</f>
        <v/>
      </c>
      <c r="G55" s="6" t="inlineStr">
        <is>
          <t>W_spiral = N_turns × Π_cage × w_Y14</t>
        </is>
      </c>
    </row>
    <row r="56" ht="20" customHeight="1">
      <c r="A56" s="5" t="inlineStr">
        <is>
          <t>15</t>
        </is>
      </c>
      <c r="B56" s="5" t="inlineStr">
        <is>
          <t>T1.15</t>
        </is>
      </c>
      <c r="C56" s="6" t="inlineStr">
        <is>
          <t>Συνολικό βάρος χάλυβα B500C ανά πάσσαλο</t>
        </is>
      </c>
      <c r="D56" s="5" t="inlineStr">
        <is>
          <t>kg</t>
        </is>
      </c>
      <c r="E56" s="43">
        <f>E52 + E55</f>
        <v/>
      </c>
      <c r="F56" s="44">
        <f>E56*E42</f>
        <v/>
      </c>
      <c r="G56" s="6" t="inlineStr">
        <is>
          <t>W_total = W_vert + W_spiral</t>
        </is>
      </c>
    </row>
    <row r="58">
      <c r="A58" s="17" t="inlineStr">
        <is>
          <t>4.2 ΤΥΠΟΣ 2: ΠΑΣΣΑΛΟΙ Ø1200mm — 29 ΤΕΜΑΧΙΑ (P22 - P50, ΣΥΝΟΛΟ 482.00m)</t>
        </is>
      </c>
    </row>
    <row r="59" ht="22" customHeight="1">
      <c r="A59" s="18" t="inlineStr">
        <is>
          <t>Βήμα</t>
        </is>
      </c>
      <c r="B59" s="18" t="inlineStr">
        <is>
          <t>Κωδικός</t>
        </is>
      </c>
      <c r="C59" s="18" t="inlineStr">
        <is>
          <t>Μαθηματικό Βήμα Υπολογισμού</t>
        </is>
      </c>
      <c r="D59" s="18" t="inlineStr">
        <is>
          <t>Μονάδα</t>
        </is>
      </c>
      <c r="E59" s="18" t="inlineStr">
        <is>
          <t>Τιμή ανά Πάσσαλο</t>
        </is>
      </c>
      <c r="F59" s="18" t="inlineStr">
        <is>
          <t>Σύνολο Τύπου 1 (21 τεμ.)</t>
        </is>
      </c>
      <c r="G59" s="18" t="inlineStr">
        <is>
          <t>Τύπος Υπολογισμού (Excel Formula)</t>
        </is>
      </c>
    </row>
    <row r="60" ht="20" customHeight="1">
      <c r="A60" s="5" t="inlineStr">
        <is>
          <t>1</t>
        </is>
      </c>
      <c r="B60" s="5" t="inlineStr">
        <is>
          <t>T2.1</t>
        </is>
      </c>
      <c r="C60" s="6" t="inlineStr">
        <is>
          <t>Πλήθος πασσάλων Τύπου 2</t>
        </is>
      </c>
      <c r="D60" s="5" t="inlineStr">
        <is>
          <t>τεμ.</t>
        </is>
      </c>
      <c r="E60" s="37" t="n">
        <v>29</v>
      </c>
      <c r="F60" s="37" t="n">
        <v>29</v>
      </c>
      <c r="G60" s="6" t="inlineStr">
        <is>
          <t>29 πάσσαλοι (P22 έως P50)</t>
        </is>
      </c>
    </row>
    <row r="61" ht="20" customHeight="1">
      <c r="A61" s="5" t="inlineStr">
        <is>
          <t>2</t>
        </is>
      </c>
      <c r="B61" s="5" t="inlineStr">
        <is>
          <t>T2.2</t>
        </is>
      </c>
      <c r="C61" s="6" t="inlineStr">
        <is>
          <t>Ονομαστική διάμετρος διάτρησης (D)</t>
        </is>
      </c>
      <c r="D61" s="5" t="inlineStr">
        <is>
          <t>mm</t>
        </is>
      </c>
      <c r="E61" s="38" t="n">
        <v>1200</v>
      </c>
      <c r="F61" s="6" t="inlineStr">
        <is>
          <t>—</t>
        </is>
      </c>
      <c r="G61" s="6" t="inlineStr">
        <is>
          <t>Διάμετρος οπής 1.20 m</t>
        </is>
      </c>
    </row>
    <row r="62" ht="20" customHeight="1">
      <c r="A62" s="5" t="inlineStr">
        <is>
          <t>3</t>
        </is>
      </c>
      <c r="B62" s="5" t="inlineStr">
        <is>
          <t>T2.3</t>
        </is>
      </c>
      <c r="C62" s="6" t="inlineStr">
        <is>
          <t>Συνολικό μήκος πασσάλων στο έδαφος</t>
        </is>
      </c>
      <c r="D62" s="5" t="inlineStr">
        <is>
          <t>m</t>
        </is>
      </c>
      <c r="E62" s="39">
        <f>F60/E58</f>
        <v/>
      </c>
      <c r="F62" s="40" t="n">
        <v>482</v>
      </c>
      <c r="G62" s="6" t="inlineStr">
        <is>
          <t>13×16m + 3×18m + 5×17m + 6×19m + 2×10.5m = 482m</t>
        </is>
      </c>
    </row>
    <row r="63" ht="20" customHeight="1">
      <c r="A63" s="5" t="inlineStr">
        <is>
          <t>4</t>
        </is>
      </c>
      <c r="B63" s="5" t="inlineStr">
        <is>
          <t>T2.4</t>
        </is>
      </c>
      <c r="C63" s="6" t="inlineStr">
        <is>
          <t>Συνολικό βάθος διάτρησης (L_drill)</t>
        </is>
      </c>
      <c r="D63" s="5" t="inlineStr">
        <is>
          <t>m</t>
        </is>
      </c>
      <c r="E63" s="39">
        <f>E60+E14</f>
        <v/>
      </c>
      <c r="F63" s="40">
        <f>F60 + (E58*E14)</f>
        <v/>
      </c>
      <c r="G63" s="6" t="inlineStr">
        <is>
          <t>L_drill = L_pile + Δh (482.00m όταν Δh=0)</t>
        </is>
      </c>
    </row>
    <row r="64" ht="20" customHeight="1">
      <c r="A64" s="5" t="inlineStr">
        <is>
          <t>5</t>
        </is>
      </c>
      <c r="B64" s="5" t="inlineStr">
        <is>
          <t>T2.5</t>
        </is>
      </c>
      <c r="C64" s="6" t="inlineStr">
        <is>
          <t>Γεωμετρικός όγκος εκσκαφής (V_geom)</t>
        </is>
      </c>
      <c r="D64" s="5" t="inlineStr">
        <is>
          <t>m³</t>
        </is>
      </c>
      <c r="E64" s="41">
        <f>PI()*((E59/1000)^2)/4 * E61</f>
        <v/>
      </c>
      <c r="F64" s="42">
        <f>E62*E58</f>
        <v/>
      </c>
      <c r="G64" s="6" t="inlineStr">
        <is>
          <t>V_geom = π × D² / 4 × L_drill</t>
        </is>
      </c>
    </row>
    <row r="65" ht="20" customHeight="1">
      <c r="A65" s="5" t="inlineStr">
        <is>
          <t>6</t>
        </is>
      </c>
      <c r="B65" s="5" t="inlineStr">
        <is>
          <t>T2.6</t>
        </is>
      </c>
      <c r="C65" s="6" t="inlineStr">
        <is>
          <t>Όγκος σκυροδέματος με +10% απώλεια (V_conc)</t>
        </is>
      </c>
      <c r="D65" s="5" t="inlineStr">
        <is>
          <t>m³</t>
        </is>
      </c>
      <c r="E65" s="41">
        <f>PI()*((E59/1000)^2)/4 * (E60+E15) * (1+E32)</f>
        <v/>
      </c>
      <c r="F65" s="42">
        <f>E63*E58</f>
        <v/>
      </c>
      <c r="G65" s="6" t="inlineStr">
        <is>
          <t>V_conc = π×D²/4 × (L_pile + h_overc) × 1.10</t>
        </is>
      </c>
    </row>
    <row r="66" ht="20" customHeight="1">
      <c r="A66" s="5" t="inlineStr">
        <is>
          <t>7</t>
        </is>
      </c>
      <c r="B66" s="5" t="inlineStr">
        <is>
          <t>T2.7</t>
        </is>
      </c>
      <c r="C66" s="6" t="inlineStr">
        <is>
          <t>Διάμετρος κλωβού οπλισμού (D_cage)</t>
        </is>
      </c>
      <c r="D66" s="5" t="inlineStr">
        <is>
          <t>mm</t>
        </is>
      </c>
      <c r="E66" s="38">
        <f>E59 - (2*E17)</f>
        <v/>
      </c>
      <c r="F66" s="6" t="inlineStr">
        <is>
          <t>—</t>
        </is>
      </c>
      <c r="G66" s="6" t="inlineStr">
        <is>
          <t>D_cage = D − 2×Cover (1200 - 150 = 1050 mm)</t>
        </is>
      </c>
    </row>
    <row r="67" ht="20" customHeight="1">
      <c r="A67" s="5" t="inlineStr">
        <is>
          <t>8</t>
        </is>
      </c>
      <c r="B67" s="5" t="inlineStr">
        <is>
          <t>T2.8</t>
        </is>
      </c>
      <c r="C67" s="6" t="inlineStr">
        <is>
          <t>Περίμετρος κλωβού οπλισμού (Π_cage)</t>
        </is>
      </c>
      <c r="D67" s="5" t="inlineStr">
        <is>
          <t>m</t>
        </is>
      </c>
      <c r="E67" s="39">
        <f>PI() * (E64/1000)</f>
        <v/>
      </c>
      <c r="F67" s="6" t="inlineStr">
        <is>
          <t>—</t>
        </is>
      </c>
      <c r="G67" s="6" t="inlineStr">
        <is>
          <t>Π_cage = π × D_cage</t>
        </is>
      </c>
    </row>
    <row r="68" ht="20" customHeight="1">
      <c r="A68" s="5" t="inlineStr">
        <is>
          <t>9</t>
        </is>
      </c>
      <c r="B68" s="5" t="inlineStr">
        <is>
          <t>T2.9</t>
        </is>
      </c>
      <c r="C68" s="6" t="inlineStr">
        <is>
          <t>Μέσο ανεπτυγμένο μήκος κάθετης ράβδου (L_bar)</t>
        </is>
      </c>
      <c r="D68" s="5" t="inlineStr">
        <is>
          <t>m</t>
        </is>
      </c>
      <c r="E68" s="39">
        <f>E60 + 1.25 + E18 + (1 * E35 * (25/1000))</f>
        <v/>
      </c>
      <c r="F68" s="6" t="inlineStr">
        <is>
          <t>—</t>
        </is>
      </c>
      <c r="G68" s="6" t="inlineStr">
        <is>
          <t>L_base=16.62+1.25=17.87m &gt; 12m -&gt; 1 μάτιση (50Φ=1.25m) -&gt; 19.12m</t>
        </is>
      </c>
    </row>
    <row r="69" ht="20" customHeight="1">
      <c r="A69" s="5" t="inlineStr">
        <is>
          <t>10</t>
        </is>
      </c>
      <c r="B69" s="5" t="inlineStr">
        <is>
          <t>T2.10</t>
        </is>
      </c>
      <c r="C69" s="6" t="inlineStr">
        <is>
          <t>Μοναδιαίο βάρος κάθετης ράβδου Y25</t>
        </is>
      </c>
      <c r="D69" s="5" t="inlineStr">
        <is>
          <t>kg/m</t>
        </is>
      </c>
      <c r="E69" s="43">
        <f>PI()*((25/1000)^2)/4 * E33</f>
        <v/>
      </c>
      <c r="F69" s="6" t="inlineStr">
        <is>
          <t>—</t>
        </is>
      </c>
      <c r="G69" s="6" t="inlineStr">
        <is>
          <t>w = π × (0.025)² / 4 × 7850 = 3.853 kg/m</t>
        </is>
      </c>
    </row>
    <row r="70" ht="20" customHeight="1">
      <c r="A70" s="5" t="inlineStr">
        <is>
          <t>11</t>
        </is>
      </c>
      <c r="B70" s="5" t="inlineStr">
        <is>
          <t>T2.11</t>
        </is>
      </c>
      <c r="C70" s="6" t="inlineStr">
        <is>
          <t>Βάρος κάθετων ράβδων ανά πάσσαλο (16Y25)</t>
        </is>
      </c>
      <c r="D70" s="5" t="inlineStr">
        <is>
          <t>kg</t>
        </is>
      </c>
      <c r="E70" s="43">
        <f>16 * E66 * E67</f>
        <v/>
      </c>
      <c r="F70" s="44">
        <f>E68*E58</f>
        <v/>
      </c>
      <c r="G70" s="6" t="inlineStr">
        <is>
          <t>W_vert = 16 × L_bar × w_Y25</t>
        </is>
      </c>
    </row>
    <row r="71" ht="20" customHeight="1">
      <c r="A71" s="5" t="inlineStr">
        <is>
          <t>12</t>
        </is>
      </c>
      <c r="B71" s="5" t="inlineStr">
        <is>
          <t>T2.12</t>
        </is>
      </c>
      <c r="C71" s="6" t="inlineStr">
        <is>
          <t>Αριθμός σπειρών σούστας Y12 (μέσος)</t>
        </is>
      </c>
      <c r="D71" s="5" t="inlineStr">
        <is>
          <t>σπείρες</t>
        </is>
      </c>
      <c r="E71" s="37">
        <f>ROUNDUP(6.0/0.10 + (E60-6.0)/0.15, 0)</f>
        <v/>
      </c>
      <c r="F71" s="6" t="inlineStr">
        <is>
          <t>—</t>
        </is>
      </c>
      <c r="G71" s="6" t="inlineStr">
        <is>
          <t>3m πάνω (s=100) + 3m κάτω (s=100) + 10.62m μέσο (s=150) = 131 σπείρες</t>
        </is>
      </c>
    </row>
    <row r="72" ht="20" customHeight="1">
      <c r="A72" s="5" t="inlineStr">
        <is>
          <t>13</t>
        </is>
      </c>
      <c r="B72" s="5" t="inlineStr">
        <is>
          <t>T2.13</t>
        </is>
      </c>
      <c r="C72" s="6" t="inlineStr">
        <is>
          <t>Μοναδιαίο βάρος σούστας Y12</t>
        </is>
      </c>
      <c r="D72" s="5" t="inlineStr">
        <is>
          <t>kg/m</t>
        </is>
      </c>
      <c r="E72" s="43">
        <f>PI()*((12/1000)^2)/4 * E33</f>
        <v/>
      </c>
      <c r="F72" s="6" t="inlineStr">
        <is>
          <t>—</t>
        </is>
      </c>
      <c r="G72" s="6" t="inlineStr">
        <is>
          <t>w = π × (0.012)² / 4 × 7850 = 0.888 kg/m</t>
        </is>
      </c>
    </row>
    <row r="73" ht="20" customHeight="1">
      <c r="A73" s="5" t="inlineStr">
        <is>
          <t>14</t>
        </is>
      </c>
      <c r="B73" s="5" t="inlineStr">
        <is>
          <t>T2.14</t>
        </is>
      </c>
      <c r="C73" s="6" t="inlineStr">
        <is>
          <t>Βάρος σούστας ανά πάσσαλο (Y12)</t>
        </is>
      </c>
      <c r="D73" s="5" t="inlineStr">
        <is>
          <t>kg</t>
        </is>
      </c>
      <c r="E73" s="43">
        <f>E69 * E65 * E70</f>
        <v/>
      </c>
      <c r="F73" s="44">
        <f>E71*E58</f>
        <v/>
      </c>
      <c r="G73" s="6" t="inlineStr">
        <is>
          <t>W_spiral = N_turns × Π_cage × w_Y12</t>
        </is>
      </c>
    </row>
    <row r="74" ht="20" customHeight="1">
      <c r="A74" s="5" t="inlineStr">
        <is>
          <t>15</t>
        </is>
      </c>
      <c r="B74" s="5" t="inlineStr">
        <is>
          <t>T2.15</t>
        </is>
      </c>
      <c r="C74" s="6" t="inlineStr">
        <is>
          <t>Συνολικό βάρος χάλυβα B500C ανά πάσσαλο</t>
        </is>
      </c>
      <c r="D74" s="5" t="inlineStr">
        <is>
          <t>kg</t>
        </is>
      </c>
      <c r="E74" s="43">
        <f>E68 + E71</f>
        <v/>
      </c>
      <c r="F74" s="44">
        <f>E72*E58</f>
        <v/>
      </c>
      <c r="G74" s="6" t="inlineStr">
        <is>
          <t>W_total = W_vert + W_spiral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2026-10-15T10:14:21Z</dcterms:created>
  <dcterms:modified xmlns:dcterms="http://purl.org/dc/terms/" xmlns:xsi="http://www.w3.org/2001/XMLSchema-instance" xsi:type="dcterms:W3CDTF">2026-10-15T10:14:21Z</dcterms:modified>
</cp:coreProperties>
</file>