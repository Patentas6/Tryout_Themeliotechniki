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  <sheet xmlns:r="http://schemas.openxmlformats.org/officeDocument/2006/relationships" name="3_Πίνακες_Διατομών_Χάλυβ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€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1F4E78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E4D2B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305496"/>
      </patternFill>
    </fill>
    <fill>
      <patternFill patternType="solid">
        <fgColor rgb="0041719C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8"/>
      </bottom>
    </border>
    <border>
      <left/>
      <right/>
      <top/>
      <bottom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0" borderId="1" pivotButton="0" quotePrefix="0" xfId="0"/>
    <xf numFmtId="0" fontId="5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7" fillId="0" borderId="1" pivotButton="0" quotePrefix="0" xfId="0"/>
    <xf numFmtId="0" fontId="5" fillId="5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0" fontId="3" fillId="6" borderId="0" pivotButton="0" quotePrefix="0" xfId="0"/>
    <xf numFmtId="0" fontId="0" fillId="6" borderId="0" pivotButton="0" quotePrefix="0" xfId="0"/>
    <xf numFmtId="0" fontId="5" fillId="7" borderId="1" applyAlignment="1" pivotButton="0" quotePrefix="0" xfId="0">
      <alignment horizontal="right" vertical="center"/>
    </xf>
    <xf numFmtId="0" fontId="6" fillId="0" borderId="1" pivotButton="0" quotePrefix="0" xfId="0"/>
    <xf numFmtId="4" fontId="5" fillId="7" borderId="1" applyAlignment="1" pivotButton="0" quotePrefix="0" xfId="0">
      <alignment horizontal="right" vertical="center"/>
    </xf>
    <xf numFmtId="4" fontId="5" fillId="8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9" borderId="2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right" vertical="center"/>
    </xf>
    <xf numFmtId="0" fontId="9" fillId="10" borderId="0" pivotButton="0" quotePrefix="0" xfId="0"/>
    <xf numFmtId="0" fontId="0" fillId="10" borderId="0" pivotButton="0" quotePrefix="0" xfId="0"/>
    <xf numFmtId="3" fontId="5" fillId="0" borderId="1" applyAlignment="1" pivotButton="0" quotePrefix="0" xfId="0">
      <alignment horizontal="right" vertical="center"/>
    </xf>
    <xf numFmtId="4" fontId="5" fillId="11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0" fontId="5" fillId="0" borderId="3" pivotButton="0" quotePrefix="0" xfId="0"/>
    <xf numFmtId="0" fontId="0" fillId="0" borderId="3" pivotButton="0" quotePrefix="0" xfId="0"/>
    <xf numFmtId="4" fontId="5" fillId="8" borderId="3" applyAlignment="1" pivotButton="0" quotePrefix="0" xfId="0">
      <alignment horizontal="right" vertical="center"/>
    </xf>
    <xf numFmtId="4" fontId="5" fillId="12" borderId="1" applyAlignment="1" pivotButton="0" quotePrefix="0" xfId="0">
      <alignment horizontal="right" vertical="center"/>
    </xf>
    <xf numFmtId="165" fontId="5" fillId="8" borderId="3" applyAlignment="1" pivotButton="0" quotePrefix="0" xfId="0">
      <alignment horizontal="right" vertical="center"/>
    </xf>
    <xf numFmtId="0" fontId="7" fillId="0" borderId="3" pivotButton="0" quotePrefix="0" xfId="0"/>
    <xf numFmtId="0" fontId="0" fillId="0" borderId="1" pivotButton="0" quotePrefix="0" xfId="0"/>
    <xf numFmtId="165" fontId="5" fillId="7" borderId="1" applyAlignment="1" pivotButton="0" quotePrefix="0" xfId="0">
      <alignment horizontal="right" vertical="center"/>
    </xf>
    <xf numFmtId="0" fontId="1" fillId="2" borderId="4" applyAlignment="1" pivotButton="0" quotePrefix="0" xfId="0">
      <alignment horizontal="left" vertical="center"/>
    </xf>
    <xf numFmtId="0" fontId="2" fillId="0" borderId="4" pivotButton="0" quotePrefix="0" xfId="0"/>
    <xf numFmtId="0" fontId="3" fillId="6" borderId="4" pivotButton="0" quotePrefix="0" xfId="0"/>
    <xf numFmtId="0" fontId="5" fillId="4" borderId="1" applyAlignment="1" pivotButton="0" quotePrefix="0" xfId="0">
      <alignment horizontal="left"/>
    </xf>
    <xf numFmtId="0" fontId="6" fillId="0" borderId="1" applyAlignment="1" pivotButton="0" quotePrefix="0" xfId="0">
      <alignment horizontal="right"/>
    </xf>
    <xf numFmtId="0" fontId="5" fillId="11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5" customWidth="1" min="3" max="3"/>
    <col width="42" customWidth="1" min="4" max="4"/>
    <col width="55" customWidth="1" min="5" max="5"/>
    <col width="15" customWidth="1" min="6" max="6"/>
  </cols>
  <sheetData>
    <row r="1" ht="30" customHeight="1">
      <c r="A1" s="1" t="inlineStr">
        <is>
          <t>ΕΡΓΟ: TOFARCO "ΑΘΗΝΑΙΟΝ" (BERLIN WALL &amp; ΑΓΚΥΡΩΣΕΙΣ) — ΣΤΟΙΧΕΙΑ ΜΕΛΕΤΗΣ &amp; ΦΥΣΙΚΕΣ ΠΟΣΟΤΗΤΕΣ (ΧΩΡΙΣ ΕΥΡΩ)</t>
        </is>
      </c>
      <c r="B1" s="2" t="n"/>
      <c r="C1" s="2" t="n"/>
      <c r="D1" s="2" t="n"/>
      <c r="E1" s="2" t="n"/>
      <c r="F1" s="2" t="n"/>
    </row>
    <row r="2">
      <c r="A2" s="3" t="inlineStr">
        <is>
          <t>ΧΩΡΙΣΜΕΝΟ ΣΕ 2 ΜΕΓΑΛΑ ΚΕΦΑΛΑΙΑ: [ΚΕΦΑΛΑΙΟ Α] = ΜΟΝΟ ΣΤΟΙΧΕΙΑ ΜΕΛΕΤΗΣ | [ΚΕΦΑΛΑΙΟ Β] = ΟΛΟΙ ΟΙ ΥΠΟΛΟΓΙΣΜΟΙ</t>
        </is>
      </c>
    </row>
    <row r="4" ht="25" customHeight="1">
      <c r="A4" s="4" t="inlineStr">
        <is>
          <t>🏛️ ΚΕΦΑΛΑΙΟ Α: ΜΟΝΟ ΣΤΟΙΧΕΙΑ ΠΟΥ ΔΙΑΒΑΣΤΗΚΑΝ ΑΠΟ ΤΗ ΜΕΛΕΤΗ (RAW INPUTS)</t>
        </is>
      </c>
      <c r="B4" s="5" t="n"/>
      <c r="C4" s="5" t="n"/>
      <c r="D4" s="5" t="n"/>
      <c r="E4" s="5" t="n"/>
      <c r="F4" s="5" t="n"/>
    </row>
    <row r="5" ht="20" customHeight="1">
      <c r="A5" s="6" t="inlineStr">
        <is>
          <t>Α.1 Τοποθεσία Εργοταξίου, Έδρα &amp; Σειρές Αγκυρώσεων</t>
        </is>
      </c>
      <c r="B5" s="7" t="n"/>
      <c r="C5" s="7" t="n"/>
      <c r="D5" s="7" t="n"/>
      <c r="E5" s="7" t="n"/>
      <c r="F5" s="7" t="n"/>
    </row>
    <row r="6">
      <c r="A6" s="8" t="inlineStr">
        <is>
          <t>Έδρα Εταιρείας (Αφετηρία)</t>
        </is>
      </c>
      <c r="B6" s="9" t="inlineStr">
        <is>
          <t>Άγιος Συλάς, Σπύρου Κυπριανού 32, Λεμεσός</t>
        </is>
      </c>
      <c r="C6" s="10" t="inlineStr">
        <is>
          <t>-</t>
        </is>
      </c>
      <c r="D6" s="11" t="inlineStr">
        <is>
          <t>Βάση Εταιρείας</t>
        </is>
      </c>
      <c r="E6" s="12" t="inlineStr">
        <is>
          <t>Σταθερή βάση εκκίνησης συνεργείων &amp; μηχανημάτων</t>
        </is>
      </c>
    </row>
    <row r="7">
      <c r="A7" s="8" t="inlineStr">
        <is>
          <t>Τοποθεσία Εργοταξίου</t>
        </is>
      </c>
      <c r="B7" s="9" t="inlineStr">
        <is>
          <t>Λευκωσία (Ευαγόρου, Ανδρέα Δημητρίου, Μενάνδρου)</t>
        </is>
      </c>
      <c r="C7" s="10" t="inlineStr">
        <is>
          <t>-</t>
        </is>
      </c>
      <c r="D7" s="11" t="inlineStr">
        <is>
          <t>Σχέδιο Σ01.1 &amp; Σ02.1</t>
        </is>
      </c>
      <c r="E7" s="12" t="inlineStr">
        <is>
          <t>Οικιστική &amp; Γραφειακή Ανάπτυξη TOFARCO Αθήναιον</t>
        </is>
      </c>
    </row>
    <row r="8">
      <c r="A8" s="8" t="inlineStr">
        <is>
          <t>Χιλιομετρική Απόσταση από Έδρα</t>
        </is>
      </c>
      <c r="B8" s="13" t="n">
        <v>85</v>
      </c>
      <c r="C8" s="10" t="inlineStr">
        <is>
          <t>km</t>
        </is>
      </c>
      <c r="D8" s="11" t="inlineStr">
        <is>
          <t>Google Maps / Οδικό Δίκτυο</t>
        </is>
      </c>
      <c r="E8" s="12" t="inlineStr">
        <is>
          <t>Ζώνη 51-100 km (+50 € ανά στράτα εξοπλισμού/shotcrete)</t>
        </is>
      </c>
    </row>
    <row r="9">
      <c r="A9" s="8" t="inlineStr">
        <is>
          <t>Πλήθος Οριζόντιων Σειρών Αγκυρώσεων Μελέτης</t>
        </is>
      </c>
      <c r="B9" s="13" t="n">
        <v>4</v>
      </c>
      <c r="C9" s="10" t="inlineStr">
        <is>
          <t>σειρές</t>
        </is>
      </c>
      <c r="D9" s="11" t="inlineStr">
        <is>
          <t>Σχέδιο Σ02.1, Τομή 1-1</t>
        </is>
      </c>
      <c r="E9" s="12" t="inlineStr">
        <is>
          <t>4 στάθμες αγκυρώσεων (-2.00m, -5.30m, -8.60m, -11.20m)</t>
        </is>
      </c>
    </row>
    <row r="11" ht="20" customHeight="1">
      <c r="A11" s="6" t="inlineStr">
        <is>
          <t>Α.2 Γεωμετρία Μετώπου Εκσκαφής (Berlin Wall)</t>
        </is>
      </c>
      <c r="B11" s="7" t="n"/>
      <c r="C11" s="7" t="n"/>
      <c r="D11" s="7" t="n"/>
      <c r="E11" s="7" t="n"/>
      <c r="F11" s="7" t="n"/>
    </row>
    <row r="12">
      <c r="A12" s="8" t="inlineStr">
        <is>
          <t>Μήκος Τμήματος 1 Μετώπου (Δυτικό / Μενάνδρου)</t>
        </is>
      </c>
      <c r="B12" s="14" t="n">
        <v>16</v>
      </c>
      <c r="C12" s="10" t="inlineStr">
        <is>
          <t>m</t>
        </is>
      </c>
      <c r="D12" s="11" t="inlineStr">
        <is>
          <t>Σχέδιο Σ01.1, Κάτοψη</t>
        </is>
      </c>
      <c r="E12" s="12" t="inlineStr">
        <is>
          <t>8 διαστήματα × 2.00m c/c (από CAD Interval Counting)</t>
        </is>
      </c>
    </row>
    <row r="13">
      <c r="A13" s="8" t="inlineStr">
        <is>
          <t>Μήκος Τμήματος 2 Μετώπου (ΒΔ Γωνία / Slant)</t>
        </is>
      </c>
      <c r="B13" s="14" t="n">
        <v>20</v>
      </c>
      <c r="C13" s="10" t="inlineStr">
        <is>
          <t>m</t>
        </is>
      </c>
      <c r="D13" s="11" t="inlineStr">
        <is>
          <t>Σχέδιο Σ01.1, Κάτοψη</t>
        </is>
      </c>
      <c r="E13" s="12" t="inlineStr">
        <is>
          <t>10 διαστήματα × 2.00m c/c (από CAD Interval Counting)</t>
        </is>
      </c>
    </row>
    <row r="14">
      <c r="A14" s="8" t="inlineStr">
        <is>
          <t>Μήκος Τμήματος 3 Μετώπου (Βόρειο / Βουλή &amp; Όμορο)</t>
        </is>
      </c>
      <c r="B14" s="14" t="n">
        <v>76</v>
      </c>
      <c r="C14" s="10" t="inlineStr">
        <is>
          <t>m</t>
        </is>
      </c>
      <c r="D14" s="11" t="inlineStr">
        <is>
          <t>Σχέδιο Σ01.1, Κάτοψη</t>
        </is>
      </c>
      <c r="E14" s="12" t="inlineStr">
        <is>
          <t>38 διαστήματα × 2.00m c/c (από CAD Interval Counting)</t>
        </is>
      </c>
    </row>
    <row r="15">
      <c r="A15" s="8" t="inlineStr">
        <is>
          <t>Μήκος Τμήματος 4 Μετώπου (Ανατολικό / Ευαγόρου)</t>
        </is>
      </c>
      <c r="B15" s="14" t="n">
        <v>22</v>
      </c>
      <c r="C15" s="10" t="inlineStr">
        <is>
          <t>m</t>
        </is>
      </c>
      <c r="D15" s="11" t="inlineStr">
        <is>
          <t>Σχέδιο Σ01.1, Κάτοψη</t>
        </is>
      </c>
      <c r="E15" s="12" t="inlineStr">
        <is>
          <t>11 διαστήματα × 2.00m c/c (από CAD Interval Counting)</t>
        </is>
      </c>
    </row>
    <row r="16">
      <c r="A16" s="8" t="inlineStr">
        <is>
          <t>Μήκος Τμήματος 5 Μετώπου (Νότιο / Ανδρέα Δημητρίου)</t>
        </is>
      </c>
      <c r="B16" s="14" t="n">
        <v>84</v>
      </c>
      <c r="C16" s="10" t="inlineStr">
        <is>
          <t>m</t>
        </is>
      </c>
      <c r="D16" s="11" t="inlineStr">
        <is>
          <t>Σχέδιο Σ01.1, Κάτοψη</t>
        </is>
      </c>
      <c r="E16" s="12" t="inlineStr">
        <is>
          <t>42 διαστήματα × 2.00m c/c (από CAD Interval Counting)</t>
        </is>
      </c>
    </row>
    <row r="17">
      <c r="A17" s="8" t="inlineStr">
        <is>
          <t>Ελεύθερο Ύψος Εκσκαφής Μετώπου (H_exc)</t>
        </is>
      </c>
      <c r="B17" s="14" t="n">
        <v>12.5</v>
      </c>
      <c r="C17" s="10" t="inlineStr">
        <is>
          <t>m</t>
        </is>
      </c>
      <c r="D17" s="11" t="inlineStr">
        <is>
          <t>Σχέδιο Σ02.1 &amp; Σ01.1</t>
        </is>
      </c>
      <c r="E17" s="12" t="inlineStr">
        <is>
          <t>Ύψος UPN 15.00m - Πάκτωση 2.50m = 12.50m ελεύθερο μέτωπο</t>
        </is>
      </c>
    </row>
    <row r="19" ht="20" customHeight="1">
      <c r="A19" s="6" t="inlineStr">
        <is>
          <t>Α.3 Σχάρες &amp; Εκτοξευόμενο Σκυρόδεμα (Shotcrete)</t>
        </is>
      </c>
      <c r="B19" s="7" t="n"/>
      <c r="C19" s="7" t="n"/>
      <c r="D19" s="7" t="n"/>
      <c r="E19" s="7" t="n"/>
      <c r="F19" s="7" t="n"/>
    </row>
    <row r="20">
      <c r="A20" s="8" t="inlineStr">
        <is>
          <t>Τύπος Χάλυβα Σχάρας</t>
        </is>
      </c>
      <c r="B20" s="9" t="inlineStr">
        <is>
          <t>B500C Δομικός Χάλυβας</t>
        </is>
      </c>
      <c r="C20" s="10" t="inlineStr">
        <is>
          <t>-</t>
        </is>
      </c>
      <c r="D20" s="11" t="inlineStr">
        <is>
          <t>Σχέδιο Σ01.1 &amp; Σ02.1</t>
        </is>
      </c>
      <c r="E20" s="12" t="inlineStr">
        <is>
          <t>Συγκόλληση οπλισμού πάνω στα UPN με ραφή 6mm, L=100mm</t>
        </is>
      </c>
    </row>
    <row r="21">
      <c r="A21" s="8" t="inlineStr">
        <is>
          <t>Διάμετρος Οριζόντιων Ράβδων Σχάρας (Y_horiz)</t>
        </is>
      </c>
      <c r="B21" s="13" t="n">
        <v>20</v>
      </c>
      <c r="C21" s="10" t="inlineStr">
        <is>
          <t>mm</t>
        </is>
      </c>
      <c r="D21" s="11" t="inlineStr">
        <is>
          <t>Σχέδιο Σ01.1 &amp; Σ02.1</t>
        </is>
      </c>
      <c r="E21" s="12" t="inlineStr">
        <is>
          <t>Οριζόντιες ράβδοι Υ20 ανά 200mm (2.466 kg/m)</t>
        </is>
      </c>
    </row>
    <row r="22">
      <c r="A22" s="8" t="inlineStr">
        <is>
          <t>Οριζόντιο Βήμα Ράβδων Σχάρας (s_horiz)</t>
        </is>
      </c>
      <c r="B22" s="13" t="n">
        <v>200</v>
      </c>
      <c r="C22" s="10" t="inlineStr">
        <is>
          <t>mm</t>
        </is>
      </c>
      <c r="D22" s="11" t="inlineStr">
        <is>
          <t>Σχέδιο Σ01.1 &amp; Σ02.1</t>
        </is>
      </c>
      <c r="E22" s="12" t="inlineStr">
        <is>
          <t>Βήμα οριζόντιων ράβδων ανά 0.20m (5 m/m²)</t>
        </is>
      </c>
    </row>
    <row r="23">
      <c r="A23" s="8" t="inlineStr">
        <is>
          <t>Διάμετρος Κατακόρυφων Ράβδων Σχάρας (Y_vert)</t>
        </is>
      </c>
      <c r="B23" s="13" t="n">
        <v>14</v>
      </c>
      <c r="C23" s="10" t="inlineStr">
        <is>
          <t>mm</t>
        </is>
      </c>
      <c r="D23" s="11" t="inlineStr">
        <is>
          <t>Σχέδιο Σ01.1 &amp; Σ02.1</t>
        </is>
      </c>
      <c r="E23" s="12" t="inlineStr">
        <is>
          <t>Κατακόρυφες ράβδοι Υ14 ανά 200mm (1.208 kg/m)</t>
        </is>
      </c>
    </row>
    <row r="24">
      <c r="A24" s="8" t="inlineStr">
        <is>
          <t>Κατακόρυφο Βήμα Ράβδων Σχάρας (s_vert)</t>
        </is>
      </c>
      <c r="B24" s="13" t="n">
        <v>200</v>
      </c>
      <c r="C24" s="10" t="inlineStr">
        <is>
          <t>mm</t>
        </is>
      </c>
      <c r="D24" s="11" t="inlineStr">
        <is>
          <t>Σχέδιο Σ01.1 &amp; Σ02.1</t>
        </is>
      </c>
      <c r="E24" s="12" t="inlineStr">
        <is>
          <t>Βήμα κατακόρυφων ράβδων ανά 0.20m (5 m/m²)</t>
        </is>
      </c>
    </row>
    <row r="25">
      <c r="A25" s="8" t="inlineStr">
        <is>
          <t>Κατηγορία Σκυροδέματος Shotcrete</t>
        </is>
      </c>
      <c r="B25" s="9" t="inlineStr">
        <is>
          <t>C30/40, CEM II 42.5</t>
        </is>
      </c>
      <c r="C25" s="10" t="inlineStr">
        <is>
          <t>-</t>
        </is>
      </c>
      <c r="D25" s="11" t="inlineStr">
        <is>
          <t>Σχέδιο Σ01.1 &amp; Σ02.1</t>
        </is>
      </c>
      <c r="E25" s="12" t="inlineStr">
        <is>
          <t>Πρόμοικτα RHEOMAC SE 100 56 &amp; Sigunit L 22E</t>
        </is>
      </c>
    </row>
    <row r="26">
      <c r="A26" s="8" t="inlineStr">
        <is>
          <t>Ονομαστικό Πάχος Shotcrete Μελέτης</t>
        </is>
      </c>
      <c r="B26" s="15" t="n">
        <v>0.15</v>
      </c>
      <c r="C26" s="10" t="inlineStr">
        <is>
          <t>m</t>
        </is>
      </c>
      <c r="D26" s="11" t="inlineStr">
        <is>
          <t>Σχέδιο Σ01.1 &amp; Σ02.1</t>
        </is>
      </c>
      <c r="E26" s="12" t="inlineStr">
        <is>
          <t>150 mm (15 cm) ονομαστικό πάχος μελέτης</t>
        </is>
      </c>
    </row>
    <row r="27">
      <c r="A27" s="8" t="inlineStr">
        <is>
          <t>Πάγια Απώλεια / Αναπήδηση Εταιρείας</t>
        </is>
      </c>
      <c r="B27" s="15" t="n">
        <v>0.05</v>
      </c>
      <c r="C27" s="10" t="inlineStr">
        <is>
          <t>m</t>
        </is>
      </c>
      <c r="D27" s="11" t="inlineStr">
        <is>
          <t>Κανόνας Εταιρείας</t>
        </is>
      </c>
      <c r="E27" s="12" t="inlineStr">
        <is>
          <t>+5 cm πάγια προσαύξηση εταιρείας (χρεώνεται στα €/m³)</t>
        </is>
      </c>
    </row>
    <row r="29" ht="20" customHeight="1">
      <c r="A29" s="6" t="inlineStr">
        <is>
          <t>Α.4 H-Beams (Νέφκες / Soldier Piles: Οπές, Χάλυβας, Λάμες, Κουγκρί)</t>
        </is>
      </c>
      <c r="B29" s="7" t="n"/>
      <c r="C29" s="7" t="n"/>
      <c r="D29" s="7" t="n"/>
      <c r="E29" s="7" t="n"/>
      <c r="F29" s="7" t="n"/>
    </row>
    <row r="30">
      <c r="A30" s="8" t="inlineStr">
        <is>
          <t>Πλήθος Οπών / Νεφκών (N_holes)</t>
        </is>
      </c>
      <c r="B30" s="13">
        <f>B66/2</f>
        <v/>
      </c>
      <c r="C30" s="10" t="inlineStr">
        <is>
          <t>οπές</t>
        </is>
      </c>
      <c r="D30" s="11" t="inlineStr">
        <is>
          <t>Σχέδιο Σ01.1, Κάτοψη</t>
        </is>
      </c>
      <c r="E30" s="12" t="inlineStr">
        <is>
          <t>109 πάσσαλοι (επιβεβαιωμένο με OpenCV CAD Counting: 218m / 2.0m)</t>
        </is>
      </c>
    </row>
    <row r="31">
      <c r="A31" s="8" t="inlineStr">
        <is>
          <t>Διάμετρος Οπής Διάτρησης Μεγάλου Τρυπανιού (D)</t>
        </is>
      </c>
      <c r="B31" s="15" t="n">
        <v>0.8</v>
      </c>
      <c r="C31" s="10" t="inlineStr">
        <is>
          <t>m</t>
        </is>
      </c>
      <c r="D31" s="11" t="inlineStr">
        <is>
          <t>Σχέδιο Σ01.1 (ζητά Ø600mm)</t>
        </is>
      </c>
      <c r="E31" s="12" t="inlineStr">
        <is>
          <t>[OVERRIDE ΚΑΝΟΝΑ v2/v5]: Υποχρεωτικά Ø800 mm βάσει κανόνα min διαμέτρου εταιρείας</t>
        </is>
      </c>
    </row>
    <row r="32">
      <c r="A32" s="8" t="inlineStr">
        <is>
          <t>Βάθος Πάκτωσης Νέφκας κάτω από Εκσκαφή (H_embed)</t>
        </is>
      </c>
      <c r="B32" s="15" t="n">
        <v>3</v>
      </c>
      <c r="C32" s="10" t="inlineStr">
        <is>
          <t>m</t>
        </is>
      </c>
      <c r="D32" s="11" t="inlineStr">
        <is>
          <t>Σχέδιο Σ01.1 (3.0m) vs Σ02.1 (2.5m)</t>
        </is>
      </c>
      <c r="E32" s="12" t="inlineStr">
        <is>
          <t>[ΣΥΓΚΡΟΥΣΗ ΜΕΛΕΤΗΣ]: Επιλέχθηκε η στατικά ασφαλέστερη πάκτωση H=3.00m με C35/45</t>
        </is>
      </c>
    </row>
    <row r="33">
      <c r="A33" s="8" t="inlineStr">
        <is>
          <t>Τύπος Χαλύβδινης Διατομής Νέφκας</t>
        </is>
      </c>
      <c r="B33" s="9" t="inlineStr">
        <is>
          <t>2 UPN 350</t>
        </is>
      </c>
      <c r="C33" s="10" t="inlineStr">
        <is>
          <t>-</t>
        </is>
      </c>
      <c r="D33" s="11" t="inlineStr">
        <is>
          <t>Σχέδιο Σ01.1 &amp; Σ02.1</t>
        </is>
      </c>
      <c r="E33" s="12" t="inlineStr">
        <is>
          <t>Διπλό προφίλ 2×UPN 350x100 @ 60.6 kg/m</t>
        </is>
      </c>
    </row>
    <row r="34">
      <c r="A34" s="8" t="inlineStr">
        <is>
          <t>Πλήθος Προφίλ ανά Οπή</t>
        </is>
      </c>
      <c r="B34" s="13" t="n">
        <v>2</v>
      </c>
      <c r="C34" s="10" t="inlineStr">
        <is>
          <t>προφίλ/οπή</t>
        </is>
      </c>
      <c r="D34" s="11" t="inlineStr">
        <is>
          <t>Σχέδιο Σ01.1 &amp; Σ02.1</t>
        </is>
      </c>
      <c r="E34" s="12" t="inlineStr">
        <is>
          <t>2 UPN ανά οπή</t>
        </is>
      </c>
    </row>
    <row r="35">
      <c r="A35" s="8" t="inlineStr">
        <is>
          <t>Θεωρητικό Βάρος Προφίλ Νέφκας ανά Μέτρο</t>
        </is>
      </c>
      <c r="B35" s="15" t="n">
        <v>60.6</v>
      </c>
      <c r="C35" s="10" t="inlineStr">
        <is>
          <t>kg / m</t>
        </is>
      </c>
      <c r="D35" s="11" t="inlineStr">
        <is>
          <t>Βιβλιοθήκη Διατομών (Φύλλο 3)</t>
        </is>
      </c>
      <c r="E35" s="12" t="inlineStr">
        <is>
          <t>60.6 kg/m ανά UPN (Συνολικά 121.2 kg/m ανά πάσσαλο)</t>
        </is>
      </c>
    </row>
    <row r="36">
      <c r="A36" s="8" t="inlineStr">
        <is>
          <t>Κατακόρυφο Βήμα Λαμών ανά Νέφκα (s_plate)</t>
        </is>
      </c>
      <c r="B36" s="15" t="n">
        <v>0.6</v>
      </c>
      <c r="C36" s="10" t="inlineStr">
        <is>
          <t>m</t>
        </is>
      </c>
      <c r="D36" s="11" t="inlineStr">
        <is>
          <t>Σχέδιο Σ01.1 &amp; Σ02.1</t>
        </is>
      </c>
      <c r="E36" s="12" t="inlineStr">
        <is>
          <t>Συνδετικά ελάσματα PLT ανά 0.60m c/c εκατέρωθεν</t>
        </is>
      </c>
    </row>
    <row r="37">
      <c r="A37" s="8" t="inlineStr">
        <is>
          <t>Πλήθος Πλευρών Τοποθέτησης Λαμών ανά Πάσσαλο</t>
        </is>
      </c>
      <c r="B37" s="13" t="n">
        <v>2</v>
      </c>
      <c r="C37" s="10" t="inlineStr">
        <is>
          <t>πλευρές</t>
        </is>
      </c>
      <c r="D37" s="11" t="inlineStr">
        <is>
          <t>Σχέδιο Σ01.1 &amp; Σ02.1</t>
        </is>
      </c>
      <c r="E37" s="12" t="inlineStr">
        <is>
          <t>Σε κάθε πλευρά (αμφίπλευρα)</t>
        </is>
      </c>
    </row>
    <row r="38">
      <c r="A38" s="8" t="inlineStr">
        <is>
          <t>Πλάτος Λάμας Σύνδεσης (W_plate)</t>
        </is>
      </c>
      <c r="B38" s="13" t="n">
        <v>350</v>
      </c>
      <c r="C38" s="10" t="inlineStr">
        <is>
          <t>mm</t>
        </is>
      </c>
      <c r="D38" s="11" t="inlineStr">
        <is>
          <t>Σχέδιο Σ02.1, Λεπτομέρεια Πασσάλου</t>
        </is>
      </c>
      <c r="E38" s="12" t="inlineStr">
        <is>
          <t>Έλασμα 350x100x12 mm</t>
        </is>
      </c>
    </row>
    <row r="39">
      <c r="A39" s="8" t="inlineStr">
        <is>
          <t>Μήκος Λάμας Σύνδεσης (L_plate)</t>
        </is>
      </c>
      <c r="B39" s="13" t="n">
        <v>100</v>
      </c>
      <c r="C39" s="10" t="inlineStr">
        <is>
          <t>mm</t>
        </is>
      </c>
      <c r="D39" s="11" t="inlineStr">
        <is>
          <t>Σχέδιο Σ02.1, Λεπτομέρεια Πασσάλου</t>
        </is>
      </c>
      <c r="E39" s="12" t="inlineStr">
        <is>
          <t>Μήκος λάμας 100 mm</t>
        </is>
      </c>
    </row>
    <row r="40">
      <c r="A40" s="8" t="inlineStr">
        <is>
          <t>Πάχος Λάμας Σύνδεσης (t_plate)</t>
        </is>
      </c>
      <c r="B40" s="13" t="n">
        <v>12</v>
      </c>
      <c r="C40" s="10" t="inlineStr">
        <is>
          <t>mm</t>
        </is>
      </c>
      <c r="D40" s="11" t="inlineStr">
        <is>
          <t>Σχέδιο Σ02.1, Λεπτομέρεια Πασσάλου</t>
        </is>
      </c>
      <c r="E40" s="12" t="inlineStr">
        <is>
          <t>Πάχος λάμας 12 mm</t>
        </is>
      </c>
    </row>
    <row r="41">
      <c r="A41" s="8" t="inlineStr">
        <is>
          <t>Ύπαρξη Γωνιών Στήριξης στο Σχέδιο (L-Angles)</t>
        </is>
      </c>
      <c r="B41" s="9" t="inlineStr">
        <is>
          <t>ΟΧΙ</t>
        </is>
      </c>
      <c r="C41" s="10" t="inlineStr">
        <is>
          <t>-</t>
        </is>
      </c>
      <c r="D41" s="11" t="inlineStr">
        <is>
          <t>Σχέδιο Σ01.1 &amp; Σ02.1</t>
        </is>
      </c>
      <c r="E41" s="12" t="inlineStr">
        <is>
          <t>Δεν ζητούνται γωνιές (συγκόλληση οπλισμού απευθείας στο UPN)</t>
        </is>
      </c>
    </row>
    <row r="42">
      <c r="A42" s="8" t="inlineStr">
        <is>
          <t>Διατομή Γωνιών Στήριξης</t>
        </is>
      </c>
      <c r="B42" s="9" t="inlineStr">
        <is>
          <t>-</t>
        </is>
      </c>
      <c r="C42" s="10" t="inlineStr">
        <is>
          <t>-</t>
        </is>
      </c>
      <c r="D42" s="11" t="inlineStr">
        <is>
          <t>-</t>
        </is>
      </c>
      <c r="E42" s="12" t="inlineStr">
        <is>
          <t>Μη εφαρμόσιμο</t>
        </is>
      </c>
    </row>
    <row r="43">
      <c r="A43" s="8" t="inlineStr">
        <is>
          <t>Θεωρητικό Βάρος Γωνίας ανά Μέτρο</t>
        </is>
      </c>
      <c r="B43" s="13" t="n">
        <v>0</v>
      </c>
      <c r="C43" s="10" t="inlineStr">
        <is>
          <t>kg / m</t>
        </is>
      </c>
      <c r="D43" s="11" t="inlineStr">
        <is>
          <t>-</t>
        </is>
      </c>
      <c r="E43" s="12" t="inlineStr">
        <is>
          <t>Μη εφαρμόσιμο</t>
        </is>
      </c>
    </row>
    <row r="45" ht="20" customHeight="1">
      <c r="A45" s="6" t="inlineStr">
        <is>
          <t>Α.5 Αγκυρώσεις (Prestressed Tieback Anchors: Γραμμές, Βάθη, Grout, Τένοντες &amp; Κεφαλές)</t>
        </is>
      </c>
      <c r="B45" s="7" t="n"/>
      <c r="C45" s="7" t="n"/>
      <c r="D45" s="7" t="n"/>
      <c r="E45" s="7" t="n"/>
      <c r="F45" s="7" t="n"/>
    </row>
    <row r="46">
      <c r="A46" s="8" t="inlineStr">
        <is>
          <t>Πλήθος Αγκυρώσεων Σειράς 1 (15°, στάθμη -2.00m)</t>
        </is>
      </c>
      <c r="B46" s="13">
        <f>B30</f>
        <v/>
      </c>
      <c r="C46" s="10" t="inlineStr">
        <is>
          <t>τεμ.</t>
        </is>
      </c>
      <c r="D46" s="11" t="inlineStr">
        <is>
          <t>Σχέδιο Σ02.1, Τομή 1-1</t>
        </is>
      </c>
      <c r="E46" s="12" t="inlineStr">
        <is>
          <t>1 αγκύρωση ανά πάσσαλο (δυναμική σύνδεση = B30)</t>
        </is>
      </c>
    </row>
    <row r="47">
      <c r="A47" s="8" t="inlineStr">
        <is>
          <t>Μήκος / Βάθος Διάτρησης Σειράς 1</t>
        </is>
      </c>
      <c r="B47" s="15" t="n">
        <v>13</v>
      </c>
      <c r="C47" s="10" t="inlineStr">
        <is>
          <t>m</t>
        </is>
      </c>
      <c r="D47" s="11" t="inlineStr">
        <is>
          <t>Σχέδιο Σ02.1, 1η στάθμη</t>
        </is>
      </c>
      <c r="E47" s="12" t="inlineStr">
        <is>
          <t>13.00m μήκος διάτρησης 1ης σειράς</t>
        </is>
      </c>
    </row>
    <row r="48">
      <c r="A48" s="8" t="inlineStr">
        <is>
          <t>Πλήθος Αγκυρώσεων Σειράς 2 (30°, στάθμη -5.30m)</t>
        </is>
      </c>
      <c r="B48" s="13">
        <f>B30</f>
        <v/>
      </c>
      <c r="C48" s="10" t="inlineStr">
        <is>
          <t>τεμ.</t>
        </is>
      </c>
      <c r="D48" s="11" t="inlineStr">
        <is>
          <t>Σχέδιο Σ02.1, 2η στάθμη</t>
        </is>
      </c>
      <c r="E48" s="12" t="inlineStr">
        <is>
          <t>1 αγκύρωση ανά πάσσαλο (δυναμική σύνδεση = B30)</t>
        </is>
      </c>
    </row>
    <row r="49">
      <c r="A49" s="8" t="inlineStr">
        <is>
          <t>Μήκος / Βάθος Διάτρησης Σειράς 2</t>
        </is>
      </c>
      <c r="B49" s="15" t="n">
        <v>13.3</v>
      </c>
      <c r="C49" s="10" t="inlineStr">
        <is>
          <t>m</t>
        </is>
      </c>
      <c r="D49" s="11" t="inlineStr">
        <is>
          <t>Σχέδιο Σ02.1, 2η στάθμη</t>
        </is>
      </c>
      <c r="E49" s="12" t="inlineStr">
        <is>
          <t>13.00m + 0.30m επιπλέον βάθος = 13.30m</t>
        </is>
      </c>
    </row>
    <row r="50">
      <c r="A50" s="8" t="inlineStr">
        <is>
          <t>Πλήθος Αγκυρώσεων Σειράς 3 (30°, στάθμη -8.60m)</t>
        </is>
      </c>
      <c r="B50" s="13">
        <f>B30</f>
        <v/>
      </c>
      <c r="C50" s="10" t="inlineStr">
        <is>
          <t>τεμ.</t>
        </is>
      </c>
      <c r="D50" s="11" t="inlineStr">
        <is>
          <t>Σχέδιο Σ02.1, 3η στάθμη</t>
        </is>
      </c>
      <c r="E50" s="12" t="inlineStr">
        <is>
          <t>1 αγκύρωση ανά πάσσαλο (δυναμική σύνδεση = B30)</t>
        </is>
      </c>
    </row>
    <row r="51">
      <c r="A51" s="8" t="inlineStr">
        <is>
          <t>Μήκος / Βάθος Διάτρησης Σειράς 3</t>
        </is>
      </c>
      <c r="B51" s="15" t="n">
        <v>13.3</v>
      </c>
      <c r="C51" s="10" t="inlineStr">
        <is>
          <t>m</t>
        </is>
      </c>
      <c r="D51" s="11" t="inlineStr">
        <is>
          <t>Σχέδιο Σ02.1, 3η στάθμη</t>
        </is>
      </c>
      <c r="E51" s="12" t="inlineStr">
        <is>
          <t>13.00m + 0.30m επιπλέον βάθος = 13.30m</t>
        </is>
      </c>
    </row>
    <row r="52">
      <c r="A52" s="8" t="inlineStr">
        <is>
          <t>Πλήθος Αγκυρώσεων Σειράς 4 (30°, στάθμη -11.20m)</t>
        </is>
      </c>
      <c r="B52" s="13">
        <f>B30</f>
        <v/>
      </c>
      <c r="C52" s="10" t="inlineStr">
        <is>
          <t>τεμ.</t>
        </is>
      </c>
      <c r="D52" s="11" t="inlineStr">
        <is>
          <t>Σχέδιο Σ02.1, 4η στάθμη</t>
        </is>
      </c>
      <c r="E52" s="12" t="inlineStr">
        <is>
          <t>1 αγκύρωση ανά πάσσαλο (δυναμική σύνδεση = B30)</t>
        </is>
      </c>
    </row>
    <row r="53">
      <c r="A53" s="8" t="inlineStr">
        <is>
          <t>Μήκος / Βάθος Διάτρησης Σειράς 4</t>
        </is>
      </c>
      <c r="B53" s="15" t="n">
        <v>13.3</v>
      </c>
      <c r="C53" s="10" t="inlineStr">
        <is>
          <t>m</t>
        </is>
      </c>
      <c r="D53" s="11" t="inlineStr">
        <is>
          <t>Σχέδιο Σ02.1, 4η στάθμη</t>
        </is>
      </c>
      <c r="E53" s="12" t="inlineStr">
        <is>
          <t>13.00m + 0.30m επιπλέον βάθος = 13.30m</t>
        </is>
      </c>
    </row>
    <row r="54">
      <c r="A54" s="8" t="inlineStr">
        <is>
          <t>Πλήθος Τενόντων (Strands) ανά Οπή Αγκύρωσης</t>
        </is>
      </c>
      <c r="B54" s="13" t="n">
        <v>5</v>
      </c>
      <c r="C54" s="10" t="inlineStr">
        <is>
          <t>τεμ. / οπή</t>
        </is>
      </c>
      <c r="D54" s="11" t="inlineStr">
        <is>
          <t>Σχέδιο Σ02.1, Λεπτομέρειες</t>
        </is>
      </c>
      <c r="E54" s="12" t="inlineStr">
        <is>
          <t>5×14mm wire strands (0.6") ανά αγκύρωση</t>
        </is>
      </c>
    </row>
    <row r="55">
      <c r="A55" s="8" t="inlineStr">
        <is>
          <t>Επιπλέον Μήκος Τένοντα για Κεφαλή &amp; Προένταση</t>
        </is>
      </c>
      <c r="B55" s="15" t="n">
        <v>1</v>
      </c>
      <c r="C55" s="10" t="inlineStr">
        <is>
          <t>m</t>
        </is>
      </c>
      <c r="D55" s="11" t="inlineStr">
        <is>
          <t>Κανόνας Μάστρου</t>
        </is>
      </c>
      <c r="E55" s="12" t="inlineStr">
        <is>
          <t>ΠΑΝΤΑ +1.0 m επιπλέον μήκος τένοντα έξω από την οπή</t>
        </is>
      </c>
    </row>
    <row r="56">
      <c r="A56" s="8" t="inlineStr">
        <is>
          <t>Διάμετρος Οπής Διάτρησης Αγκύρωσης (D_anc)</t>
        </is>
      </c>
      <c r="B56" s="15" t="n">
        <v>0.15</v>
      </c>
      <c r="C56" s="10" t="inlineStr">
        <is>
          <t>m</t>
        </is>
      </c>
      <c r="D56" s="11" t="inlineStr">
        <is>
          <t>Σχέδιο Σ02.1 (Min Ø150mm)</t>
        </is>
      </c>
      <c r="E56" s="12" t="inlineStr">
        <is>
          <t>Minimum Drill Hole Diameter Ø150mm</t>
        </is>
      </c>
    </row>
    <row r="57">
      <c r="A57" s="8" t="inlineStr">
        <is>
          <t>Συντελεστής Απώλειας Grout στο Έδαφος</t>
        </is>
      </c>
      <c r="B57" s="15" t="n">
        <v>1.2</v>
      </c>
      <c r="C57" s="10" t="inlineStr">
        <is>
          <t>-</t>
        </is>
      </c>
      <c r="D57" s="11" t="inlineStr">
        <is>
          <t>Κανόνας Εταιρείας</t>
        </is>
      </c>
      <c r="E57" s="12" t="inlineStr">
        <is>
          <t>ΠΑΝΤΑ * 1.20 (+20% απώλεια στο έδαφος)</t>
        </is>
      </c>
    </row>
    <row r="58">
      <c r="A58" s="8" t="inlineStr">
        <is>
          <t>Θεωρητικό Βάρος Τένοντα (Strand 0.6")</t>
        </is>
      </c>
      <c r="B58" s="15" t="n">
        <v>1.1</v>
      </c>
      <c r="C58" s="10" t="inlineStr">
        <is>
          <t>kg / m</t>
        </is>
      </c>
      <c r="D58" s="11" t="inlineStr">
        <is>
          <t>Τιμοκατάλογος Εταιρείας</t>
        </is>
      </c>
      <c r="E58" s="12" t="inlineStr">
        <is>
          <t>Standard βάρος τένοντα 1.10 kg/m</t>
        </is>
      </c>
    </row>
    <row r="60" ht="25" customHeight="1">
      <c r="A60" s="16" t="inlineStr">
        <is>
          <t>⚙️ ΚΕΦΑΛΑΙΟ Β: ΟΛΟΙ ΟΙ ΥΠΟΛΟΓΙΣΜΟΙ ΦΥΣΙΚΩΝ ΜΕΓΕΘΩΝ (ΜΕ ΒΑΣΗ ΤΟ ΚΕΦΑΛΑΙΟ Α)</t>
        </is>
      </c>
      <c r="B60" s="17" t="n"/>
      <c r="C60" s="17" t="n"/>
      <c r="D60" s="17" t="n"/>
      <c r="E60" s="17" t="n"/>
      <c r="F60" s="17" t="n"/>
    </row>
    <row r="61" ht="20" customHeight="1">
      <c r="A61" s="6" t="inlineStr">
        <is>
          <t>Β.1 Υπολογισμοί Στρατών Μετακίνησης (3 Είδη)</t>
        </is>
      </c>
      <c r="B61" s="7" t="n"/>
      <c r="C61" s="7" t="n"/>
      <c r="D61" s="7" t="n"/>
      <c r="E61" s="7" t="n"/>
      <c r="F61" s="7" t="n"/>
    </row>
    <row r="62">
      <c r="A62" s="8" t="inlineStr">
        <is>
          <t>Υπολογισμός Στρατών Μεγάλου Τρυπανιού (Piling Rig)</t>
        </is>
      </c>
      <c r="B62" s="18" t="n">
        <v>1</v>
      </c>
      <c r="C62" s="10" t="inlineStr">
        <is>
          <t>στράτες</t>
        </is>
      </c>
      <c r="D62" s="12" t="inlineStr">
        <is>
          <t>1 στράτα μεταφοράς μεγάλου τρυπανιού (Λευκωσία &gt;80km)</t>
        </is>
      </c>
      <c r="E62" s="19" t="inlineStr">
        <is>
          <t>Κανόνας Μετακινήσεων Τιμοκαταλόγου</t>
        </is>
      </c>
    </row>
    <row r="63">
      <c r="A63" s="8" t="inlineStr">
        <is>
          <t>Υπολογισμός Στρατών Εξοπλισμού Αγκυρώσεων</t>
        </is>
      </c>
      <c r="B63" s="18">
        <f>B9</f>
        <v/>
      </c>
      <c r="C63" s="10" t="inlineStr">
        <is>
          <t>στράτες</t>
        </is>
      </c>
      <c r="D63" s="12">
        <f>"Όσες οριζόντιες σειρές αγκυρώσεων, τόσες στράτες (" &amp; B9 &amp; ")"</f>
        <v/>
      </c>
      <c r="E63" s="19" t="inlineStr">
        <is>
          <t>1 στράτα ανά οριζόντια σειρά</t>
        </is>
      </c>
    </row>
    <row r="64">
      <c r="A64" s="8" t="inlineStr">
        <is>
          <t>Υπολογισμός Στρατών Shotcrete (Αντλία / Συνεργείο)</t>
        </is>
      </c>
      <c r="B64" s="18">
        <f>B9+1</f>
        <v/>
      </c>
      <c r="C64" s="10" t="inlineStr">
        <is>
          <t>στράτες</t>
        </is>
      </c>
      <c r="D64" s="12">
        <f>"Σειρές αγκυρώσεων + 1 στράτα για πόδι/δάπεδο (" &amp; B9+1 &amp; ")"</f>
        <v/>
      </c>
      <c r="E64" s="19" t="inlineStr">
        <is>
          <t>Σειρές + 1 στράτα</t>
        </is>
      </c>
    </row>
    <row r="65" ht="20" customHeight="1">
      <c r="A65" s="6" t="inlineStr">
        <is>
          <t>Β.2 Υπολογισμοί Σχαρών &amp; Shotcrete Μετώπου</t>
        </is>
      </c>
      <c r="B65" s="7" t="n"/>
      <c r="C65" s="7" t="n"/>
      <c r="D65" s="7" t="n"/>
      <c r="E65" s="7" t="n"/>
      <c r="F65" s="7" t="n"/>
    </row>
    <row r="66">
      <c r="A66" s="8" t="inlineStr">
        <is>
          <t>Συνολικό Μήκος Μετώπου (L)</t>
        </is>
      </c>
      <c r="B66" s="20">
        <f>SUM(B12:B16)</f>
        <v/>
      </c>
      <c r="C66" s="10" t="inlineStr">
        <is>
          <t>m</t>
        </is>
      </c>
      <c r="D66" s="12">
        <f>"L = " &amp; B12 &amp; " + " &amp; B13 &amp; " + " &amp; B14 &amp; " + " &amp; B15 &amp; " + " &amp; B16 &amp; " = " &amp; TEXT(SUM(B12:B16), "#,##0.00") &amp; " m"</f>
        <v/>
      </c>
      <c r="E66" s="19" t="inlineStr">
        <is>
          <t>Περίμετρος εκσκαφής</t>
        </is>
      </c>
    </row>
    <row r="67">
      <c r="A67" s="8" t="inlineStr">
        <is>
          <t>ΣΥΝΟΛΙΚΟ ΕΜΒΑΔΟΝ ΜΕΤΩΠΟΥ (A = L × H_exc)</t>
        </is>
      </c>
      <c r="B67" s="21">
        <f>ROUND(B66*B17, 2)</f>
        <v/>
      </c>
      <c r="C67" s="10" t="inlineStr">
        <is>
          <t>m²</t>
        </is>
      </c>
      <c r="D67" s="12">
        <f>"Εμβαδόν A = " &amp; TEXT(B66, "#,##0.00") &amp; " m × " &amp; TEXT(B17, "0.00") &amp; " m = " &amp; TEXT(ROUND(B66*B17, 2), "#,##0.00") &amp; " m²"</f>
        <v/>
      </c>
      <c r="E67" s="19" t="inlineStr">
        <is>
          <t>Επιφάνεια shotcrete &amp; σχαρών</t>
        </is>
      </c>
    </row>
    <row r="68">
      <c r="A68" s="8" t="inlineStr">
        <is>
          <t>Τρέχοντα Μέτρα Οριζόντιων Ράβδων σε 1 m²</t>
        </is>
      </c>
      <c r="B68" s="20">
        <f>1000/B22</f>
        <v/>
      </c>
      <c r="C68" s="10" t="inlineStr">
        <is>
          <t>m / m²</t>
        </is>
      </c>
      <c r="D68" s="12">
        <f>"1000/" &amp; B22 &amp; " mm = " &amp; TEXT(1000/B22, "0.00") &amp; " m/m²"</f>
        <v/>
      </c>
      <c r="E68" s="19" t="inlineStr">
        <is>
          <t>Οριζόντιες ράβδοι Υ20</t>
        </is>
      </c>
    </row>
    <row r="69">
      <c r="A69" s="8" t="inlineStr">
        <is>
          <t>Θεωρητικό Βάρος Οριζόντιας Ράβδου ανά Μέτρο</t>
        </is>
      </c>
      <c r="B69" s="20">
        <f>(PI()*((B21/1000)^2)/4)*7850</f>
        <v/>
      </c>
      <c r="C69" s="10" t="inlineStr">
        <is>
          <t>kg / m</t>
        </is>
      </c>
      <c r="D69" s="12">
        <f>"π * (" &amp; B21 &amp; "/1000)² / 4 * 7850 = " &amp; TEXT((PI()*((B21/1000)^2)/4)*7850, "0.000") &amp; " kg/m"</f>
        <v/>
      </c>
      <c r="E69" s="19" t="inlineStr">
        <is>
          <t>Βάρος Y20</t>
        </is>
      </c>
    </row>
    <row r="70">
      <c r="A70" s="8" t="inlineStr">
        <is>
          <t>Βάρος Οριζόντιων Ράβδων ανά m²</t>
        </is>
      </c>
      <c r="B70" s="20">
        <f>ROUND(B68*B69, 3)</f>
        <v/>
      </c>
      <c r="C70" s="10" t="inlineStr">
        <is>
          <t>kg / m²</t>
        </is>
      </c>
      <c r="D70" s="12">
        <f>"Μέτρα " &amp; TEXT(B68, "0.00") &amp; " × " &amp; TEXT(B69, "0.000") &amp; " = " &amp; TEXT(ROUND(B68*B69, 3), "0.000") &amp; " kg/m²"</f>
        <v/>
      </c>
      <c r="E70" s="19" t="inlineStr">
        <is>
          <t>12.330 kg/m²</t>
        </is>
      </c>
    </row>
    <row r="71">
      <c r="A71" s="8" t="inlineStr">
        <is>
          <t>Τρέχοντα Μέτρα Κατακόρυφων Ράβδων σε 1 m²</t>
        </is>
      </c>
      <c r="B71" s="20">
        <f>1000/B24</f>
        <v/>
      </c>
      <c r="C71" s="10" t="inlineStr">
        <is>
          <t>m / m²</t>
        </is>
      </c>
      <c r="D71" s="12">
        <f>"1000/" &amp; B24 &amp; " mm = " &amp; TEXT(1000/B24, "0.00") &amp; " m/m²"</f>
        <v/>
      </c>
      <c r="E71" s="19" t="inlineStr">
        <is>
          <t>Κατακόρυφες ράβδοι Υ14</t>
        </is>
      </c>
    </row>
    <row r="72">
      <c r="A72" s="8" t="inlineStr">
        <is>
          <t>Θεωρητικό Βάρος Κατακόρυφης Ράβδου ανά Μέτρο</t>
        </is>
      </c>
      <c r="B72" s="20">
        <f>(PI()*((B23/1000)^2)/4)*7850</f>
        <v/>
      </c>
      <c r="C72" s="10" t="inlineStr">
        <is>
          <t>kg / m</t>
        </is>
      </c>
      <c r="D72" s="12">
        <f>"π * (" &amp; B23 &amp; "/1000)² / 4 * 7850 = " &amp; TEXT((PI()*((B23/1000)^2)/4)*7850, "0.000") &amp; " kg/m"</f>
        <v/>
      </c>
      <c r="E72" s="19" t="inlineStr">
        <is>
          <t>Βάρος Y14</t>
        </is>
      </c>
    </row>
    <row r="73">
      <c r="A73" s="8" t="inlineStr">
        <is>
          <t>Βάρος Κατακόρυφων Ράβδων ανά m²</t>
        </is>
      </c>
      <c r="B73" s="20">
        <f>ROUND(B71*B72, 3)</f>
        <v/>
      </c>
      <c r="C73" s="10" t="inlineStr">
        <is>
          <t>kg / m²</t>
        </is>
      </c>
      <c r="D73" s="12">
        <f>"Μέτρα " &amp; TEXT(B71, "0.00") &amp; " × " &amp; TEXT(B72, "0.000") &amp; " = " &amp; TEXT(ROUND(B71*B72, 3), "0.000") &amp; " kg/m²"</f>
        <v/>
      </c>
      <c r="E73" s="19" t="inlineStr">
        <is>
          <t>6.040 kg/m²</t>
        </is>
      </c>
    </row>
    <row r="74">
      <c r="A74" s="8" t="inlineStr">
        <is>
          <t>Υπολογιστικό Βάρος Σχάρας ανά m² (Οριζόντιες + Κατακόρυφες)</t>
        </is>
      </c>
      <c r="B74" s="20">
        <f>ROUND(B70+B73, 3)</f>
        <v/>
      </c>
      <c r="C74" s="10" t="inlineStr">
        <is>
          <t>kg / m²</t>
        </is>
      </c>
      <c r="D74" s="12">
        <f>"Οριζόντιες " &amp; TEXT(B70, "0.000") &amp; " + Κατακόρυφες " &amp; TEXT(B73, "0.000") &amp; " = " &amp; TEXT(ROUND(B70+B73, 3), "0.000") &amp; " kg/m²"</f>
        <v/>
      </c>
      <c r="E74" s="19" t="inlineStr">
        <is>
          <t>18.370 kg/m²</t>
        </is>
      </c>
    </row>
    <row r="75">
      <c r="A75" s="8" t="inlineStr">
        <is>
          <t>ΣΥΝΟΛΙΚΟ ΒΑΡΟΣ ΧΑΛΥΒΑ ΣΧΑΡΩΝ (Y20/Y14) ΕΡΓΟΥ</t>
        </is>
      </c>
      <c r="B75" s="21">
        <f>ROUND(B67*B74, 2)</f>
        <v/>
      </c>
      <c r="C75" s="10" t="inlineStr">
        <is>
          <t>kg</t>
        </is>
      </c>
      <c r="D75" s="12">
        <f>"Εμβαδόν " &amp; TEXT(B67, "#,##0.00") &amp; " m² × " &amp; TEXT(B74, "0.000") &amp; " kg/m²"</f>
        <v/>
      </c>
      <c r="E75" s="19" t="inlineStr">
        <is>
          <t>Συνολικά κιλά χάλυβα σχάρας</t>
        </is>
      </c>
    </row>
    <row r="76">
      <c r="A76" s="8" t="inlineStr">
        <is>
          <t>Ονομαστικό Πάχος Shotcrete Μελέτης</t>
        </is>
      </c>
      <c r="B76" s="20">
        <f>B26</f>
        <v/>
      </c>
      <c r="C76" s="10" t="inlineStr">
        <is>
          <t>m</t>
        </is>
      </c>
      <c r="D76" s="12">
        <f>"Ονομαστικό πάχος " &amp; TEXT(B26*1000, "0") &amp; " mm"</f>
        <v/>
      </c>
      <c r="E76" s="19" t="inlineStr">
        <is>
          <t>Χωρίς απώλεια</t>
        </is>
      </c>
    </row>
    <row r="77">
      <c r="A77" s="8" t="inlineStr">
        <is>
          <t>Ποσοστό Απώλειας επί του Ονομαστικού Πάχους</t>
        </is>
      </c>
      <c r="B77" s="22">
        <f>B27/B26</f>
        <v/>
      </c>
      <c r="C77" s="10" t="inlineStr">
        <is>
          <t>%</t>
        </is>
      </c>
      <c r="D77" s="12">
        <f>"Απώλεια " &amp; B27 &amp; "m / Ονομαστικό " &amp; B26 &amp; "m = " &amp; TEXT(B27/B26, "0.0%") &amp; " (χρεώνεται στα €/m³)"</f>
        <v/>
      </c>
      <c r="E77" s="19" t="inlineStr">
        <is>
          <t>+33.3% προσαύξηση</t>
        </is>
      </c>
    </row>
    <row r="78">
      <c r="A78" s="8" t="inlineStr">
        <is>
          <t>ΣΥΝΟΛΙΚΟΣ ΟΓΚΟΣ SHOTCRETE ΕΡΓΟΥ (ΟΝΟΜΑΣΤΙΚΟΣ)</t>
        </is>
      </c>
      <c r="B78" s="21">
        <f>ROUND(B67*B26, 2)</f>
        <v/>
      </c>
      <c r="C78" s="10" t="inlineStr">
        <is>
          <t>m³</t>
        </is>
      </c>
      <c r="D78" s="12">
        <f>"Εμβαδόν " &amp; TEXT(B67, "#,##0.00") &amp; " m² × " &amp; TEXT(B26, "0.00") &amp; " m ονομαστικό πάχος"</f>
        <v/>
      </c>
      <c r="E78" s="19" t="inlineStr">
        <is>
          <t>Ονομαστικά κυβικά σκυροδέματος</t>
        </is>
      </c>
    </row>
    <row r="79" ht="20" customHeight="1">
      <c r="A79" s="6" t="inlineStr">
        <is>
          <t>Β.3 Υπολογισμοί H-Beams (Διάτρηση, Προφίλ, Λάμες, Κουγκρί Πάκτωσης)</t>
        </is>
      </c>
      <c r="B79" s="7" t="n"/>
      <c r="C79" s="7" t="n"/>
      <c r="D79" s="7" t="n"/>
      <c r="E79" s="7" t="n"/>
      <c r="F79" s="7" t="n"/>
    </row>
    <row r="80">
      <c r="A80" s="8" t="inlineStr">
        <is>
          <t>Συνολικό Μήκος Νέφκας / Βάθος Οπής (L_beam)</t>
        </is>
      </c>
      <c r="B80" s="20">
        <f>B17+B32</f>
        <v/>
      </c>
      <c r="C80" s="10" t="inlineStr">
        <is>
          <t>m / οπή</t>
        </is>
      </c>
      <c r="D80" s="12">
        <f>"L_beam = H_exc (" &amp; B17 &amp; "m) + H_embed (" &amp; B32 &amp; "m) = " &amp; TEXT(B17+B32, "0.00") &amp; " m"</f>
        <v/>
      </c>
      <c r="E80" s="19" t="inlineStr">
        <is>
          <t>15.50m βάθος διάτρησης</t>
        </is>
      </c>
    </row>
    <row r="81">
      <c r="A81" s="8" t="inlineStr">
        <is>
          <t>ΣΥΝΟΛΙΚΑ ΜΕΤΡΑ ΔΙΑΤΡΗΣΗΣ ΜΕΓΑΛΟΥ ΤΡΥΠΑΝΙΟΥ</t>
        </is>
      </c>
      <c r="B81" s="21">
        <f>B30*B80</f>
        <v/>
      </c>
      <c r="C81" s="10" t="inlineStr">
        <is>
          <t>m</t>
        </is>
      </c>
      <c r="D81" s="12">
        <f>"Αρ. οπών " &amp; B30 &amp; " × " &amp; TEXT(B80, "0.00") &amp; " m βάθος"</f>
        <v/>
      </c>
      <c r="E81" s="19" t="inlineStr">
        <is>
          <t>109 οπές × 15.50m = 1,689.50 m</t>
        </is>
      </c>
    </row>
    <row r="82">
      <c r="A82" s="8" t="inlineStr">
        <is>
          <t>Κυβικά Εκσκαφής Οπής ανά Μέτρο (D=0.80m)</t>
        </is>
      </c>
      <c r="B82" s="20">
        <f>PI()*((B31/2)^2)</f>
        <v/>
      </c>
      <c r="C82" s="10" t="inlineStr">
        <is>
          <t>m³ / m</t>
        </is>
      </c>
      <c r="D82" s="12">
        <f>"π * (" &amp; TEXT(B31, "0.00") &amp; "/2)² = " &amp; TEXT(PI()*((B31/2)^2), "0.0000") &amp; " m³/m"</f>
        <v/>
      </c>
      <c r="E82" s="19" t="inlineStr">
        <is>
          <t>0.5027 m³/m (D=0.80m)</t>
        </is>
      </c>
    </row>
    <row r="83">
      <c r="A83" s="8" t="inlineStr">
        <is>
          <t>Συνολικά Κυβικά Εκσκαφής Οπών Μεγάλου Τρυπανιού</t>
        </is>
      </c>
      <c r="B83" s="20">
        <f>ROUND(B81*B82, 2)</f>
        <v/>
      </c>
      <c r="C83" s="10" t="inlineStr">
        <is>
          <t>m³</t>
        </is>
      </c>
      <c r="D83" s="12">
        <f>"Μέτρα διάτρησης " &amp; TEXT(B81, "#,##0.00") &amp; " × " &amp; TEXT(B82, "0.0000") &amp; " m³/m"</f>
        <v/>
      </c>
      <c r="E83" s="19" t="inlineStr">
        <is>
          <t>Όγκος εκσκαφής γεώτρησης</t>
        </is>
      </c>
    </row>
    <row r="84">
      <c r="A84" s="8" t="inlineStr">
        <is>
          <t>ΣΥΝΟΛΙΚΟ ΒΑΡΟΣ ΧΑΛΥΒΑ ΝΕΦΚΩΝ (2 UPN 350)</t>
        </is>
      </c>
      <c r="B84" s="21">
        <f>ROUND(B30*B34*B80*B35, 2)</f>
        <v/>
      </c>
      <c r="C84" s="10" t="inlineStr">
        <is>
          <t>kg</t>
        </is>
      </c>
      <c r="D84" s="12">
        <f>"Οπές " &amp; B30 &amp; " × " &amp; B34 &amp; " UPN × " &amp; TEXT(B80, "0.00") &amp; "m × " &amp; TEXT(B35, "0.0") &amp; " kg/m"</f>
        <v/>
      </c>
      <c r="E84" s="19" t="inlineStr">
        <is>
          <t>2 UPN ανά οπή</t>
        </is>
      </c>
    </row>
    <row r="85">
      <c r="A85" s="8" t="inlineStr">
        <is>
          <t>Αριθμός Επιπέδων Λαμών ανά Νέφκα (L/s)</t>
        </is>
      </c>
      <c r="B85" s="23">
        <f>ROUNDUP(B80/B36, 0)</f>
        <v/>
      </c>
      <c r="C85" s="10" t="inlineStr">
        <is>
          <t>επίπεδα/οπή</t>
        </is>
      </c>
      <c r="D85" s="12">
        <f>"Μήκος " &amp; TEXT(B80, "0.00") &amp; "m / Βήμα " &amp; TEXT(B36, "0.00") &amp; "m = " &amp; ROUNDUP(B80/B36, 0) &amp; " επίπεδα"</f>
        <v/>
      </c>
      <c r="E85" s="19" t="inlineStr">
        <is>
          <t>26 επίπεδα κατά ύψος</t>
        </is>
      </c>
    </row>
    <row r="86">
      <c r="A86" s="8" t="inlineStr">
        <is>
          <t>Συνολικό Πλήθος Λαμών Σύνδεσης (Αμφίπλευρα)</t>
        </is>
      </c>
      <c r="B86" s="20">
        <f>B30*B85*B37</f>
        <v/>
      </c>
      <c r="C86" s="10" t="inlineStr">
        <is>
          <t>τεμ.</t>
        </is>
      </c>
      <c r="D86" s="12">
        <f>"Οπές " &amp; B30 &amp; " × " &amp; B85 &amp; " επίπεδα × " &amp; B37 &amp; " πλευρές = " &amp; TEXT(B30*B85*B37, "#,##0") &amp; " λάμες"</f>
        <v/>
      </c>
      <c r="E86" s="19" t="inlineStr">
        <is>
          <t>2 λάμες ανά επίπεδο (εκατέρωθεν)</t>
        </is>
      </c>
    </row>
    <row r="87">
      <c r="A87" s="8" t="inlineStr">
        <is>
          <t>Βάρος ανά Λάμα Σύνδεσης</t>
        </is>
      </c>
      <c r="B87" s="20">
        <f>(B38/1000)*(B39/1000)*(B40/1000)*7850</f>
        <v/>
      </c>
      <c r="C87" s="10" t="inlineStr">
        <is>
          <t>kg / τεμ.</t>
        </is>
      </c>
      <c r="D87" s="12">
        <f>"(W/1000) × (L/1000) × (t/1000) × 7850 = " &amp; TEXT((B38/1000)*(B39/1000)*(B40/1000)*7850, "0.000") &amp; " kg"</f>
        <v/>
      </c>
      <c r="E87" s="19" t="inlineStr">
        <is>
          <t>3.297 kg ανά λάμα 350x100x12</t>
        </is>
      </c>
    </row>
    <row r="88">
      <c r="A88" s="8" t="inlineStr">
        <is>
          <t>ΣΥΝΟΛΙΚΟ ΒΑΡΟΣ ΛΑΜΩΝ ΣΥΝΔΕΣΗΣ</t>
        </is>
      </c>
      <c r="B88" s="21">
        <f>ROUND(B86*B87, 2)</f>
        <v/>
      </c>
      <c r="C88" s="10" t="inlineStr">
        <is>
          <t>kg</t>
        </is>
      </c>
      <c r="D88" s="12">
        <f>"Συνολικές λάμες " &amp; TEXT(B86, "#,##0") &amp; " × " &amp; TEXT(B87, "0.000") &amp; " kg/τεμ."</f>
        <v/>
      </c>
      <c r="E88" s="19" t="inlineStr">
        <is>
          <t>Κιλά λαμών ενίσχυσης</t>
        </is>
      </c>
    </row>
    <row r="89">
      <c r="A89" s="8" t="inlineStr">
        <is>
          <t>ΣΥΝΟΛΙΚΟΣ ΟΓΚΟΣ ΚΟΥΓΚΡΙΟΥ ΠΑΚΤΩΣΗΣ (C35/45)</t>
        </is>
      </c>
      <c r="B89" s="21">
        <f>ROUND(B30*B82*B32, 2)</f>
        <v/>
      </c>
      <c r="C89" s="10" t="inlineStr">
        <is>
          <t>m³</t>
        </is>
      </c>
      <c r="D89" s="12">
        <f>"Οπές " &amp; B30 &amp; " × " &amp; TEXT(B82, "0.000") &amp; " m³/m × Πάκτωση " &amp; TEXT(B32, "0.00") &amp; "m"</f>
        <v/>
      </c>
      <c r="E89" s="19" t="inlineStr">
        <is>
          <t>Σκυρόδεμα πάκτωσης H=3.0m (D=0.80m)</t>
        </is>
      </c>
    </row>
    <row r="90">
      <c r="A90" s="8" t="inlineStr">
        <is>
          <t>Συνολικό Μήκος Γωνιών Στήριξης (αν ΝΑΙ)</t>
        </is>
      </c>
      <c r="B90" s="20">
        <f>IF(B41="ΝΑΙ", B30*2*B17, 0)</f>
        <v/>
      </c>
      <c r="C90" s="10" t="inlineStr">
        <is>
          <t>m</t>
        </is>
      </c>
      <c r="D90" s="12">
        <f>"Δεν εφαρμόζεται (B41 = ΟΧΙ)"</f>
        <v/>
      </c>
      <c r="E90" s="19" t="inlineStr">
        <is>
          <t>0.00 m</t>
        </is>
      </c>
    </row>
    <row r="91">
      <c r="A91" s="8" t="inlineStr">
        <is>
          <t>ΣΥΝΟΛΙΚΟ ΒΑΡΟΣ ΓΩΝΙΩΝ ΣΤΗΡΙΞΗΣ</t>
        </is>
      </c>
      <c r="B91" s="21">
        <f>ROUND(B90*B43, 2)</f>
        <v/>
      </c>
      <c r="C91" s="10" t="inlineStr">
        <is>
          <t>kg</t>
        </is>
      </c>
      <c r="D91" s="12">
        <f>"0.00 kg"</f>
        <v/>
      </c>
      <c r="E91" s="19" t="inlineStr">
        <is>
          <t>0.00 kg</t>
        </is>
      </c>
    </row>
    <row r="92" ht="20" customHeight="1">
      <c r="A92" s="6" t="inlineStr">
        <is>
          <t>Β.4 Υπολογισμοί Αγκυρώσεων (Διάτρηση, Grout, Τένοντες, Προένταση, Κεφαλές)</t>
        </is>
      </c>
      <c r="B92" s="7" t="n"/>
      <c r="C92" s="7" t="n"/>
      <c r="D92" s="7" t="n"/>
      <c r="E92" s="7" t="n"/>
      <c r="F92" s="7" t="n"/>
    </row>
    <row r="93">
      <c r="A93" s="8" t="inlineStr">
        <is>
          <t>ΣΥΝΟΛΙΚΟ ΠΛΗΘΟΣ ΑΓΚΥΡΩΣΕΩΝ ΕΡΓΟΥ</t>
        </is>
      </c>
      <c r="B93" s="24">
        <f>SUM(B46,B48,B50,B52)</f>
        <v/>
      </c>
      <c r="C93" s="10" t="inlineStr">
        <is>
          <t>τεμ.</t>
        </is>
      </c>
      <c r="D93" s="12">
        <f>"4 σειρές × " &amp; B30 &amp; " αγκυρώσεις/σειρά = " &amp; TEXT(SUM(B46,B48,B50,B52), "#,##0") &amp; " αγκυρώσεις"</f>
        <v/>
      </c>
      <c r="E93" s="19" t="inlineStr">
        <is>
          <t>436 αγκυρώσεις (109 ανά σειρά)</t>
        </is>
      </c>
    </row>
    <row r="94">
      <c r="A94" s="8" t="inlineStr">
        <is>
          <t>Μέτρα Διάτρησης Αγκυρώσεων Σειράς 1</t>
        </is>
      </c>
      <c r="B94" s="20">
        <f>B46*B47</f>
        <v/>
      </c>
      <c r="C94" s="10" t="inlineStr">
        <is>
          <t>m</t>
        </is>
      </c>
      <c r="D94" s="12">
        <f>"=" &amp; B46 &amp; " αγκυρώσεις × " &amp; TEXT(B47, "0.00") &amp; " m"</f>
        <v/>
      </c>
      <c r="E94" s="19" t="inlineStr">
        <is>
          <t>109 × 13.00m = 1,417.00 m</t>
        </is>
      </c>
    </row>
    <row r="95">
      <c r="A95" s="8" t="inlineStr">
        <is>
          <t>Μέτρα Διάτρησης Αγκυρώσεων Σειράς 2</t>
        </is>
      </c>
      <c r="B95" s="20">
        <f>B48*B49</f>
        <v/>
      </c>
      <c r="C95" s="10" t="inlineStr">
        <is>
          <t>m</t>
        </is>
      </c>
      <c r="D95" s="12">
        <f>"=" &amp; B48 &amp; " αγκυρώσεις × " &amp; TEXT(B49, "0.00") &amp; " m"</f>
        <v/>
      </c>
      <c r="E95" s="19" t="inlineStr">
        <is>
          <t>109 × 13.30m = 1,449.70 m</t>
        </is>
      </c>
    </row>
    <row r="96">
      <c r="A96" s="8" t="inlineStr">
        <is>
          <t>Μέτρα Διάτρησης Αγκυρώσεων Σειράς 3</t>
        </is>
      </c>
      <c r="B96" s="20">
        <f>B50*B51</f>
        <v/>
      </c>
      <c r="C96" s="10" t="inlineStr">
        <is>
          <t>m</t>
        </is>
      </c>
      <c r="D96" s="12">
        <f>"=" &amp; B50 &amp; " αγκυρώσεις × " &amp; TEXT(B51, "0.00") &amp; " m"</f>
        <v/>
      </c>
      <c r="E96" s="19" t="inlineStr">
        <is>
          <t>109 × 13.30m = 1,449.70 m</t>
        </is>
      </c>
    </row>
    <row r="97">
      <c r="A97" s="8" t="inlineStr">
        <is>
          <t>Μέτρα Διάτρησης Αγκυρώσεων Σειράς 4</t>
        </is>
      </c>
      <c r="B97" s="20">
        <f>B52*B53</f>
        <v/>
      </c>
      <c r="C97" s="10" t="inlineStr">
        <is>
          <t>m</t>
        </is>
      </c>
      <c r="D97" s="12">
        <f>"=" &amp; B52 &amp; " αγκυρώσεις × " &amp; TEXT(B53, "0.00") &amp; " m"</f>
        <v/>
      </c>
      <c r="E97" s="19" t="inlineStr">
        <is>
          <t>109 × 13.30m = 1,449.70 m</t>
        </is>
      </c>
    </row>
    <row r="98">
      <c r="A98" s="8" t="inlineStr">
        <is>
          <t>ΣΥΝΟΛΙΚΑ ΜΕΤΡΑ ΔΙΑΤΡΗΣΗΣ ΑΓΚΥΡΩΣΕΩΝ</t>
        </is>
      </c>
      <c r="B98" s="21">
        <f>SUM(B94:B97)</f>
        <v/>
      </c>
      <c r="C98" s="10" t="inlineStr">
        <is>
          <t>m</t>
        </is>
      </c>
      <c r="D98" s="12">
        <f>"Άθροισμα 4 σειρών = " &amp; TEXT(SUM(B94:B97), "#,##0.00") &amp; " m διάτρησης"</f>
        <v/>
      </c>
      <c r="E98" s="19" t="inlineStr">
        <is>
          <t>5,766.10 m διάτρησης</t>
        </is>
      </c>
    </row>
    <row r="99">
      <c r="A99" s="8" t="inlineStr">
        <is>
          <t>Όγκος Grout ανά Μέτρο Διάτρησης Αγκύρωσης</t>
        </is>
      </c>
      <c r="B99" s="20">
        <f>PI()*((B56/2)^2)*B57</f>
        <v/>
      </c>
      <c r="C99" s="10" t="inlineStr">
        <is>
          <t>m³ / m</t>
        </is>
      </c>
      <c r="D99" s="12">
        <f>"π * (" &amp; TEXT(B56, "0.00") &amp; "/2)² * " &amp; TEXT(B57, "0.0") &amp; " = " &amp; TEXT(PI()*((B56/2)^2)*B57, "0.000000") &amp; " m³/m"</f>
        <v/>
      </c>
      <c r="E99" s="19" t="inlineStr">
        <is>
          <t>0.021206 m³/m (Ø150mm * 1.20)</t>
        </is>
      </c>
    </row>
    <row r="100">
      <c r="A100" s="8" t="inlineStr">
        <is>
          <t>ΣΥΝΟΛΙΚΟΣ ΟΓΚΟΣ GROUT ΑΓΚΥΡΩΣΕΩΝ</t>
        </is>
      </c>
      <c r="B100" s="21">
        <f>ROUND(B98*B99, 2)</f>
        <v/>
      </c>
      <c r="C100" s="10" t="inlineStr">
        <is>
          <t>m³</t>
        </is>
      </c>
      <c r="D100" s="12">
        <f>"Μέτρα διάτρησης " &amp; TEXT(B98, "#,##0.00") &amp; "m × " &amp; TEXT(B99, "0.0000") &amp; " m³/m"</f>
        <v/>
      </c>
      <c r="E100" s="19" t="inlineStr">
        <is>
          <t>Grout πλήρωσης οπών αγκύρωσης</t>
        </is>
      </c>
    </row>
    <row r="101">
      <c r="A101" s="8" t="inlineStr">
        <is>
          <t>ΣΥΝΟΛΙΚΟ ΜΗΚΟΣ ΤΕΝΟΝΤΩΝ (STRANDS 0.6")</t>
        </is>
      </c>
      <c r="B101" s="21">
        <f>(B46*(B47+B55)*B54)+(B48*(B49+B55)*B54)+(B50*(B51+B55)*B54)+(B52*(B53+B55)*B54)</f>
        <v/>
      </c>
      <c r="C101" s="10" t="inlineStr">
        <is>
          <t>m</t>
        </is>
      </c>
      <c r="D101" s="12">
        <f>"Σειρές 1-4: (L_drill + 1.0m) × 5 strands × 109 αγκυρώσεις"</f>
        <v/>
      </c>
      <c r="E101" s="19" t="inlineStr">
        <is>
          <t>Συνολικά μέτρα συρματόσχοινων</t>
        </is>
      </c>
    </row>
    <row r="102">
      <c r="A102" s="8" t="inlineStr">
        <is>
          <t>ΣΥΝΟΛΙΚΟ ΒΑΡΟΣ ΤΕΝΟΝΤΩΝ</t>
        </is>
      </c>
      <c r="B102" s="21">
        <f>ROUND(B101*B58, 2)</f>
        <v/>
      </c>
      <c r="C102" s="10" t="inlineStr">
        <is>
          <t>kg</t>
        </is>
      </c>
      <c r="D102" s="12">
        <f>"Μήκος " &amp; TEXT(B101, "#,##0.00") &amp; " m × " &amp; TEXT(B58, "0.0") &amp; " kg/m"</f>
        <v/>
      </c>
      <c r="E102" s="19" t="inlineStr">
        <is>
          <t>Βάρος χάλυβα προέντασης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4" customWidth="1" min="3" max="3"/>
    <col width="22" customWidth="1" min="4" max="4"/>
    <col width="22" customWidth="1" min="5" max="5"/>
    <col width="48" customWidth="1" min="6" max="6"/>
  </cols>
  <sheetData>
    <row r="1" ht="30" customHeight="1">
      <c r="A1" s="1" t="inlineStr">
        <is>
          <t>ΕΡΓΟ: TOFARCO "ΑΘΗΝΑΙΟΝ" (BERLIN WALL &amp; ΑΓΚΥΡΩΣΕΙΣ) — ΟΙΚΟΝΟΜΙΚΗ ΠΡΟΣΦΟΡΑ &amp; ΚΟΣΤΟΛΟΓΗΣΗ</t>
        </is>
      </c>
      <c r="B1" s="2" t="n"/>
      <c r="C1" s="2" t="n"/>
      <c r="D1" s="2" t="n"/>
      <c r="E1" s="2" t="n"/>
      <c r="F1" s="2" t="n"/>
    </row>
    <row r="2">
      <c r="A2" s="3" t="inlineStr">
        <is>
          <t>Οι τιμές μονάδας περιλαμβάνουν ήδη γενικά έξοδα, απρόβλεπτα &amp; εργολαβικό όφελος | [ΚΙΤΡΙΝΟ #FFF2CC] = Τιμές Μονάδας | [ΠΟΡΤΟΚΑΛΙ #FFE699] = Κουγκρί Πάκτωσης</t>
        </is>
      </c>
    </row>
    <row r="4" ht="24" customHeight="1">
      <c r="A4" s="25" t="inlineStr">
        <is>
          <t>Περιγραφή Εργασίας / Υλικού</t>
        </is>
      </c>
      <c r="B4" s="26" t="inlineStr">
        <is>
          <t>Ποσότητα</t>
        </is>
      </c>
      <c r="C4" s="26" t="inlineStr">
        <is>
          <t>Μονάδα</t>
        </is>
      </c>
      <c r="D4" s="27" t="inlineStr">
        <is>
          <t>Τιμή Μονάδας (€)</t>
        </is>
      </c>
      <c r="E4" s="27" t="inlineStr">
        <is>
          <t>Συνολικό Κόστος (€)</t>
        </is>
      </c>
      <c r="F4" s="25" t="inlineStr">
        <is>
          <t>Πηγή Ποσότητας / Τεχνικός Κανόνας</t>
        </is>
      </c>
    </row>
    <row r="5" ht="24" customHeight="1">
      <c r="A5" s="28" t="inlineStr">
        <is>
          <t>ΠΥΛΩΝΑΣ 1: ΜΕΤΑΚΙΝΗΣΕΙΣ &amp; ΣΤΡΑΤΕΣ (3 ΕΙΔΗ)</t>
        </is>
      </c>
      <c r="B5" s="29" t="n"/>
      <c r="C5" s="29" t="n"/>
      <c r="D5" s="29" t="n"/>
      <c r="E5" s="29" t="n"/>
      <c r="F5" s="29" t="n"/>
    </row>
    <row r="6">
      <c r="A6" s="8" t="inlineStr">
        <is>
          <t>Μετακίνηση Μεγάλου Τρυπανιού (Piling Rig)</t>
        </is>
      </c>
      <c r="B6" s="30">
        <f>'1_Στοιχεία_Μελέτης_&amp;_Ποσότητες'!B62</f>
        <v/>
      </c>
      <c r="C6" s="10" t="inlineStr">
        <is>
          <t>στράτες</t>
        </is>
      </c>
      <c r="D6" s="31" t="n">
        <v>3000</v>
      </c>
      <c r="E6" s="32">
        <f>B6*D6</f>
        <v/>
      </c>
      <c r="F6" s="12" t="inlineStr">
        <is>
          <t>Βάση Λευκωσία (&gt;80 km από Άγιο Συλά: 1,500€ βασική + 1,500€)</t>
        </is>
      </c>
    </row>
    <row r="7">
      <c r="A7" s="8" t="inlineStr">
        <is>
          <t>Μετακινήσεις Εξοπλισμού Αγκυρώσεων</t>
        </is>
      </c>
      <c r="B7" s="30">
        <f>'1_Στοιχεία_Μελέτης_&amp;_Ποσότητες'!B63</f>
        <v/>
      </c>
      <c r="C7" s="10" t="inlineStr">
        <is>
          <t>στράτες</t>
        </is>
      </c>
      <c r="D7" s="31" t="n">
        <v>350</v>
      </c>
      <c r="E7" s="32">
        <f>B7*D7</f>
        <v/>
      </c>
      <c r="F7" s="12" t="inlineStr">
        <is>
          <t>Από Φύλλο 1 (1 στράτα ανά οριζόντια σειρά αγκυρώσεων = 4 στράτες στα 350€)</t>
        </is>
      </c>
    </row>
    <row r="8">
      <c r="A8" s="8" t="inlineStr">
        <is>
          <t>Μετακινήσεις Συνεργείου &amp; Αντλίας Shotcrete</t>
        </is>
      </c>
      <c r="B8" s="30">
        <f>'1_Στοιχεία_Μελέτης_&amp;_Ποσότητες'!B64</f>
        <v/>
      </c>
      <c r="C8" s="10" t="inlineStr">
        <is>
          <t>στράτες</t>
        </is>
      </c>
      <c r="D8" s="31" t="n">
        <v>250</v>
      </c>
      <c r="E8" s="32">
        <f>B8*D8</f>
        <v/>
      </c>
      <c r="F8" s="12" t="inlineStr">
        <is>
          <t>Από Φύλλο 1 (Σειρές αγκυρώσεων + 1 = 5 στράτες στα 250€)</t>
        </is>
      </c>
    </row>
    <row r="9">
      <c r="A9" s="33" t="inlineStr">
        <is>
          <t>ΣΥΝΟΛΟ ΠΥΛΩΝΑ 1 (ΜΕΤΑΚΙΝΗΣΕΙΣ)</t>
        </is>
      </c>
      <c r="B9" s="34" t="n"/>
      <c r="C9" s="34" t="n"/>
      <c r="D9" s="34" t="n"/>
      <c r="E9" s="35">
        <f>SUM(E6:E8)</f>
        <v/>
      </c>
      <c r="F9" s="34" t="n"/>
    </row>
    <row r="11" ht="24" customHeight="1">
      <c r="A11" s="28" t="inlineStr">
        <is>
          <t>ΠΥΛΩΝΑΣ 2: ΣΧΑΡΕΣ &amp; ΕΚΤΟΞΕΥΟΜΕΝΟ ΣΚΥΡΟΔΕΜΑ (SHOTCRETE)</t>
        </is>
      </c>
      <c r="B11" s="29" t="n"/>
      <c r="C11" s="29" t="n"/>
      <c r="D11" s="29" t="n"/>
      <c r="E11" s="29" t="n"/>
      <c r="F11" s="29" t="n"/>
    </row>
    <row r="12">
      <c r="A12" s="8">
        <f>"Αγορά Χάλυβα Σχάρας (Y" &amp; '1_Στοιχεία_Μελέτης_&amp;_Ποσότητες'!B21 &amp; "/Y" &amp; '1_Στοιχεία_Μελέτης_&amp;_Ποσότητες'!B23 &amp; ")"</f>
        <v/>
      </c>
      <c r="B12" s="32">
        <f>'1_Στοιχεία_Μελέτης_&amp;_Ποσότητες'!B75</f>
        <v/>
      </c>
      <c r="C12" s="10" t="inlineStr">
        <is>
          <t>kg</t>
        </is>
      </c>
      <c r="D12" s="31" t="n">
        <v>2.5</v>
      </c>
      <c r="E12" s="32">
        <f>B12*D12</f>
        <v/>
      </c>
      <c r="F12" s="12">
        <f>"Από Φύλλο 1 (" &amp; TEXT(B12, "#,##0.00") &amp; " kg) × 2.50 €/kg"</f>
        <v/>
      </c>
    </row>
    <row r="13">
      <c r="A13" s="8" t="inlineStr">
        <is>
          <t>Τοποθέτηση Σχάρας / Εργατικά Μετώπου</t>
        </is>
      </c>
      <c r="B13" s="32">
        <f>'1_Στοιχεία_Μελέτης_&amp;_Ποσότητες'!B67</f>
        <v/>
      </c>
      <c r="C13" s="10" t="inlineStr">
        <is>
          <t>m²</t>
        </is>
      </c>
      <c r="D13" s="31" t="n">
        <v>15</v>
      </c>
      <c r="E13" s="32">
        <f>B13*D13</f>
        <v/>
      </c>
      <c r="F13" s="12">
        <f>"Από Φύλλο 1 (" &amp; TEXT(B13, "#,##0.00") &amp; " m²) × 15.00 €/m²"</f>
        <v/>
      </c>
    </row>
    <row r="14">
      <c r="A14" s="8">
        <f>"Αγορά Σκυροδέματος Shotcrete (" &amp; '1_Στοιχεία_Μελέτης_&amp;_Ποσότητες'!B25 &amp; ")"</f>
        <v/>
      </c>
      <c r="B14" s="32">
        <f>'1_Στοιχεία_Μελέτης_&amp;_Ποσότητες'!B78</f>
        <v/>
      </c>
      <c r="C14" s="10" t="inlineStr">
        <is>
          <t>m³</t>
        </is>
      </c>
      <c r="D14" s="31" t="n">
        <v>90</v>
      </c>
      <c r="E14" s="32">
        <f>B14*D14</f>
        <v/>
      </c>
      <c r="F14" s="12" t="inlineStr">
        <is>
          <t>Σταθερή τιμή αγοράς σκυροδέματος (90.00 €/m³)</t>
        </is>
      </c>
    </row>
    <row r="15">
      <c r="A15" s="8" t="inlineStr">
        <is>
          <t>Τοποθέτηση / Εκτόξευση / Αντλία (με προσαύξηση απώλειας)</t>
        </is>
      </c>
      <c r="B15" s="32">
        <f>'1_Στοιχεία_Μελέτης_&amp;_Ποσότητες'!B78</f>
        <v/>
      </c>
      <c r="C15" s="10" t="inlineStr">
        <is>
          <t>m³</t>
        </is>
      </c>
      <c r="D15" s="31">
        <f>ROUND((IF(B14&gt;7, 200, 250)*(1+'1_Στοιχεία_Μελέτης_&amp;_Ποσότητες'!B77))-90, 2)</f>
        <v/>
      </c>
      <c r="E15" s="32">
        <f>B15*D15</f>
        <v/>
      </c>
      <c r="F15" s="12">
        <f>"Βάση " &amp; IF(B14&gt;7,200,250) &amp; "€ × (1+" &amp; TEXT('1_Στοιχεία_Μελέτης_&amp;_Ποσότητες'!B77, "0.0%") &amp; " απώλεια) - 90€ αγορά"</f>
        <v/>
      </c>
    </row>
    <row r="16">
      <c r="A16" s="33" t="inlineStr">
        <is>
          <t>ΣΥΝΟΛΟ ΠΥΛΩΝΑ 2 (ΣΧΑΡΕΣ &amp; SHOTCRETE)</t>
        </is>
      </c>
      <c r="B16" s="34" t="n"/>
      <c r="C16" s="34" t="n"/>
      <c r="D16" s="34" t="n"/>
      <c r="E16" s="35">
        <f>SUM(E12:E15)</f>
        <v/>
      </c>
      <c r="F16" s="34" t="n"/>
    </row>
    <row r="18" ht="24" customHeight="1">
      <c r="A18" s="28" t="inlineStr">
        <is>
          <t>ΠΥΛΩΝΑΣ 3: H-BEAMS (ΝΕΦΚΕΣ / SOLDIER PILES — 5 ΕΡΓΑΣΙΕΣ/ΥΛΙΚΑ)</t>
        </is>
      </c>
      <c r="B18" s="29" t="n"/>
      <c r="C18" s="29" t="n"/>
      <c r="D18" s="29" t="n"/>
      <c r="E18" s="29" t="n"/>
      <c r="F18" s="29" t="n"/>
    </row>
    <row r="19">
      <c r="A19" s="8">
        <f>"3.1 Διάτρηση Μεγάλου Τρυπανιού (Ø" &amp; TEXT('1_Στοιχεία_Μελέτης_&amp;_Ποσότητες'!B31*1000, "0") &amp; " mm)"</f>
        <v/>
      </c>
      <c r="B19" s="32">
        <f>'1_Στοιχεία_Μελέτης_&amp;_Ποσότητες'!B81</f>
        <v/>
      </c>
      <c r="C19" s="10" t="inlineStr">
        <is>
          <t>m</t>
        </is>
      </c>
      <c r="D19" s="31" t="n">
        <v>75</v>
      </c>
      <c r="E19" s="32">
        <f>B19*D19</f>
        <v/>
      </c>
      <c r="F19" s="12" t="inlineStr">
        <is>
          <t>Εύρος 65 - 90 €/m (προεπιλογή 75.00 €/m για Ø800mm)</t>
        </is>
      </c>
    </row>
    <row r="20">
      <c r="A20" s="8">
        <f>"3.2 Νέφκες Χάλυβα (" &amp; '1_Στοιχεία_Μελέτης_&amp;_Ποσότητες'!B33 &amp; " - Αγορά + Επεξεργασία)"</f>
        <v/>
      </c>
      <c r="B20" s="32">
        <f>'1_Στοιχεία_Μελέτης_&amp;_Ποσότητες'!B84</f>
        <v/>
      </c>
      <c r="C20" s="10" t="inlineStr">
        <is>
          <t>kg</t>
        </is>
      </c>
      <c r="D20" s="31" t="n">
        <v>1.4</v>
      </c>
      <c r="E20" s="32">
        <f>B20*D20</f>
        <v/>
      </c>
      <c r="F20" s="12" t="inlineStr">
        <is>
          <t>1.00 €/kg αγορά + 0.40 €/kg επεξεργασία = 1.40 €/kg</t>
        </is>
      </c>
    </row>
    <row r="21">
      <c r="A21" s="8">
        <f>"3.3 Λάμες Σύνδεσης/Ενίσχυσης (" &amp; '1_Στοιχεία_Μελέτης_&amp;_Ποσότητες'!B38 &amp; "×" &amp; '1_Στοιχεία_Μελέτης_&amp;_Ποσότητες'!B39 &amp; "×" &amp; '1_Στοιχεία_Μελέτης_&amp;_Ποσότητες'!B40 &amp; " mm)"</f>
        <v/>
      </c>
      <c r="B21" s="32">
        <f>'1_Στοιχεία_Μελέτης_&amp;_Ποσότητες'!B88</f>
        <v/>
      </c>
      <c r="C21" s="10" t="inlineStr">
        <is>
          <t>kg</t>
        </is>
      </c>
      <c r="D21" s="31" t="n">
        <v>1.6</v>
      </c>
      <c r="E21" s="32">
        <f>B21*D21</f>
        <v/>
      </c>
      <c r="F21" s="12" t="inlineStr">
        <is>
          <t>1.00 €/kg αγορά + 0.60 €/kg τοποθέτηση = 1.60 €/kg</t>
        </is>
      </c>
    </row>
    <row r="22">
      <c r="A22" s="8" t="inlineStr">
        <is>
          <t>3.4 Κουγκρί Πάκτωσης Οπών Νέφκας (C35/45)</t>
        </is>
      </c>
      <c r="B22" s="32">
        <f>'1_Στοιχεία_Μελέτης_&amp;_Ποσότητες'!B89</f>
        <v/>
      </c>
      <c r="C22" s="10" t="inlineStr">
        <is>
          <t>m³</t>
        </is>
      </c>
      <c r="D22" s="36" t="n">
        <v>120</v>
      </c>
      <c r="E22" s="32">
        <f>B22*D22</f>
        <v/>
      </c>
      <c r="F22" s="12" t="inlineStr">
        <is>
          <t>120.00 €/m³ (Διακριτό πορτοκαλί χρώμα #FFE699 για άμεση εποπτεία)</t>
        </is>
      </c>
    </row>
    <row r="23">
      <c r="A23" s="8">
        <f>"3.5 Γωνιές Στήριξης (" &amp; '1_Στοιχεία_Μελέτης_&amp;_Ποσότητες'!B42 &amp; " - αν ζητούνται)"</f>
        <v/>
      </c>
      <c r="B23" s="32">
        <f>'1_Στοιχεία_Μελέτης_&amp;_Ποσότητες'!B91</f>
        <v/>
      </c>
      <c r="C23" s="10" t="inlineStr">
        <is>
          <t>kg</t>
        </is>
      </c>
      <c r="D23" s="31" t="n">
        <v>1.6</v>
      </c>
      <c r="E23" s="32">
        <f>B23*D23</f>
        <v/>
      </c>
      <c r="F23" s="12" t="inlineStr">
        <is>
          <t>1.00 €/kg αγορά + 0.60 €/kg επεξεργασία = 1.60 €/kg</t>
        </is>
      </c>
    </row>
    <row r="24">
      <c r="A24" s="33" t="inlineStr">
        <is>
          <t>ΣΥΝΟΛΟ ΠΥΛΩΝΑ 3 (H-BEAMS / ΝΕΦΚΕΣ)</t>
        </is>
      </c>
      <c r="B24" s="34" t="n"/>
      <c r="C24" s="34" t="n"/>
      <c r="D24" s="34" t="n"/>
      <c r="E24" s="35">
        <f>SUM(E19:E23)</f>
        <v/>
      </c>
      <c r="F24" s="34" t="n"/>
    </row>
    <row r="26" ht="24" customHeight="1">
      <c r="A26" s="28" t="inlineStr">
        <is>
          <t>ΠΥΛΩΝΑΣ 4: ΑΓΚΥΡΩΣΕΙΣ (PRESTRESSED TIEBACK ANCHORS — 5 ΕΡΓΑΣΙΕΣ/ΥΛΙΚΑ)</t>
        </is>
      </c>
      <c r="B26" s="29" t="n"/>
      <c r="C26" s="29" t="n"/>
      <c r="D26" s="29" t="n"/>
      <c r="E26" s="29" t="n"/>
      <c r="F26" s="29" t="n"/>
    </row>
    <row r="27">
      <c r="A27" s="8" t="inlineStr">
        <is>
          <t>4.1 Διάτρηση / Τρύπημα Αγκυρώσεων (Ø150mm)</t>
        </is>
      </c>
      <c r="B27" s="32">
        <f>'1_Στοιχεία_Μελέτης_&amp;_Ποσότητες'!B98</f>
        <v/>
      </c>
      <c r="C27" s="10" t="inlineStr">
        <is>
          <t>m</t>
        </is>
      </c>
      <c r="D27" s="31" t="n">
        <v>30</v>
      </c>
      <c r="E27" s="32">
        <f>B27*D27</f>
        <v/>
      </c>
      <c r="F27" s="12" t="inlineStr">
        <is>
          <t>Εύρος 25 - 35 €/m (προεπιλογή 30.00 €/m)</t>
        </is>
      </c>
    </row>
    <row r="28">
      <c r="A28" s="8" t="inlineStr">
        <is>
          <t>4.2 Grout Τσιμεντένεμα Αγκυρώσεων (με απώλεια 1.20)</t>
        </is>
      </c>
      <c r="B28" s="32">
        <f>'1_Στοιχεία_Μελέτης_&amp;_Ποσότητες'!B100</f>
        <v/>
      </c>
      <c r="C28" s="10" t="inlineStr">
        <is>
          <t>m³</t>
        </is>
      </c>
      <c r="D28" s="31" t="n">
        <v>500</v>
      </c>
      <c r="E28" s="32">
        <f>B28*D28</f>
        <v/>
      </c>
      <c r="F28" s="12" t="inlineStr">
        <is>
          <t>500.00 €/m³ grout πλήρωσης οπής</t>
        </is>
      </c>
    </row>
    <row r="29">
      <c r="A29" s="8" t="inlineStr">
        <is>
          <t>4.3 Τένοντες Προέντασης (Strands 0.6" - 1.10 kg/m)</t>
        </is>
      </c>
      <c r="B29" s="32">
        <f>'1_Στοιχεία_Μελέτης_&amp;_Ποσότητες'!B101</f>
        <v/>
      </c>
      <c r="C29" s="10" t="inlineStr">
        <is>
          <t>m</t>
        </is>
      </c>
      <c r="D29" s="31" t="n">
        <v>2.28</v>
      </c>
      <c r="E29" s="32">
        <f>B29*D29</f>
        <v/>
      </c>
      <c r="F29" s="12" t="inlineStr">
        <is>
          <t>2.28 €/m τρέχον τένοντα (συμπεριλαμβάνει +1.0m)</t>
        </is>
      </c>
    </row>
    <row r="30">
      <c r="A30" s="8" t="inlineStr">
        <is>
          <t>4.4 Προένταση Αγκυρώσεων (Stressing &amp; Lock-off)</t>
        </is>
      </c>
      <c r="B30" s="30">
        <f>'1_Στοιχεία_Μελέτης_&amp;_Ποσότητες'!B93</f>
        <v/>
      </c>
      <c r="C30" s="10" t="inlineStr">
        <is>
          <t>τεμ.</t>
        </is>
      </c>
      <c r="D30" s="31" t="n">
        <v>18</v>
      </c>
      <c r="E30" s="32">
        <f>B30*D30</f>
        <v/>
      </c>
      <c r="F30" s="12" t="inlineStr">
        <is>
          <t>18.00 € ανά οπή / αγκύρωση</t>
        </is>
      </c>
    </row>
    <row r="31">
      <c r="A31" s="8" t="inlineStr">
        <is>
          <t>4.5 Κεφαλή Αγκύρωσης (Anchor Head, Wedges, Plate)</t>
        </is>
      </c>
      <c r="B31" s="30">
        <f>'1_Στοιχεία_Μελέτης_&amp;_Ποσότητες'!B93</f>
        <v/>
      </c>
      <c r="C31" s="10" t="inlineStr">
        <is>
          <t>τεμ.</t>
        </is>
      </c>
      <c r="D31" s="31" t="n">
        <v>55</v>
      </c>
      <c r="E31" s="32">
        <f>B31*D31</f>
        <v/>
      </c>
      <c r="F31" s="12" t="inlineStr">
        <is>
          <t>55.00 € ανά οπή / αγκύρωση πλήρες σετ</t>
        </is>
      </c>
    </row>
    <row r="32">
      <c r="A32" s="33" t="inlineStr">
        <is>
          <t>ΣΥΝΟΛΟ ΠΥΛΩΝΑ 4 (ΑΓΚΥΡΩΣΕΙΣ)</t>
        </is>
      </c>
      <c r="B32" s="34" t="n"/>
      <c r="C32" s="34" t="n"/>
      <c r="D32" s="34" t="n"/>
      <c r="E32" s="35">
        <f>SUM(E27:E31)</f>
        <v/>
      </c>
      <c r="F32" s="34" t="n"/>
    </row>
    <row r="34" ht="24" customHeight="1">
      <c r="A34" s="28" t="inlineStr">
        <is>
          <t>ΤΕΛΙΚΑ ΣΥΝΟΛΑ ΠΡΟΣΦΟΡΑΣ (ΓΕΝΙΚΑ ΕΞΟΔΑ &amp; ΚΕΡΔΟΣ ΕΝΣΩΜΑΤΩΜΕΝΑ ΣΤΙΣ ΤΙΜΕΣ)</t>
        </is>
      </c>
      <c r="B34" s="29" t="n"/>
      <c r="C34" s="29" t="n"/>
      <c r="D34" s="29" t="n"/>
      <c r="E34" s="29" t="n"/>
      <c r="F34" s="29" t="n"/>
    </row>
    <row r="35">
      <c r="A35" s="33" t="inlineStr">
        <is>
          <t>ΚΑΘΑΡΟ ΣΥΝΟΛΟ ΠΡΟΣΦΟΡΑΣ (ΠΡΟ Φ.Π.Α.)</t>
        </is>
      </c>
      <c r="B35" s="34" t="n"/>
      <c r="C35" s="34" t="n"/>
      <c r="D35" s="34" t="n"/>
      <c r="E35" s="37">
        <f>E9+E16+E24+E32</f>
        <v/>
      </c>
      <c r="F35" s="38" t="inlineStr">
        <is>
          <t>Άθροισμα 4 Πυλώνων (Περιλαμβάνει Γενικά Έξοδα &amp; Όφελος)</t>
        </is>
      </c>
    </row>
    <row r="36">
      <c r="A36" s="33" t="inlineStr">
        <is>
          <t>Φ.Π.Α. (19%)</t>
        </is>
      </c>
      <c r="B36" s="34" t="n"/>
      <c r="C36" s="34" t="n"/>
      <c r="D36" s="34" t="n"/>
      <c r="E36" s="37">
        <f>ROUND(E35*0.19, 2)</f>
        <v/>
      </c>
      <c r="F36" s="38" t="inlineStr">
        <is>
          <t>Νόμιμος Φ.Π.Α. Κύπρου (19%)</t>
        </is>
      </c>
    </row>
    <row r="37">
      <c r="A37" s="33" t="inlineStr">
        <is>
          <t>ΤΕΛΙΚΟ ΠΛΗΡΩΤΕΟ ΠΟΣΟ (ΜΕ Φ.Π.Α.)</t>
        </is>
      </c>
      <c r="B37" s="34" t="n"/>
      <c r="C37" s="34" t="n"/>
      <c r="D37" s="34" t="n"/>
      <c r="E37" s="37">
        <f>E35+E36</f>
        <v/>
      </c>
      <c r="F37" s="38" t="inlineStr">
        <is>
          <t>Τελικό πληρωτέο ποσό έργου</t>
        </is>
      </c>
    </row>
    <row r="39" ht="24" customHeight="1">
      <c r="A39" s="28" t="inlineStr">
        <is>
          <t>ΒΑΣΙΚΟΙ ΔΕΙΚΤΕΣ ΚΟΣΤΟΥΣ &amp; VALUE ENGINEERING (KPIs)</t>
        </is>
      </c>
      <c r="B39" s="29" t="n"/>
      <c r="C39" s="29" t="n"/>
      <c r="D39" s="29" t="n"/>
      <c r="E39" s="29" t="n"/>
      <c r="F39" s="29" t="n"/>
    </row>
    <row r="40">
      <c r="A40" s="8" t="inlineStr">
        <is>
          <t>KPI 1: Συνολικό Κόστος ανά m² Μετώπου Εκσκαφής</t>
        </is>
      </c>
      <c r="B40" s="39" t="n"/>
      <c r="C40" s="39" t="n"/>
      <c r="D40" s="39" t="n"/>
      <c r="E40" s="40">
        <f>ROUND(E35/'1_Στοιχεία_Μελέτης_&amp;_Ποσότητες'!B67, 2)</f>
        <v/>
      </c>
      <c r="F40" s="12">
        <f>"Καθαρό σύνολο / " &amp; TEXT('1_Στοιχεία_Μελέτης_&amp;_Ποσότητες'!B67, "#,##0.00") &amp; " m²"</f>
        <v/>
      </c>
    </row>
    <row r="41">
      <c r="A41" s="8" t="inlineStr">
        <is>
          <t>KPI 2: Συνολικό Κόστος ανά Αγκύρωση (Πλήρες Σύστημα)</t>
        </is>
      </c>
      <c r="B41" s="39" t="n"/>
      <c r="C41" s="39" t="n"/>
      <c r="D41" s="39" t="n"/>
      <c r="E41" s="40">
        <f>ROUND(E32/'1_Στοιχεία_Μελέτης_&amp;_Ποσότητες'!B93, 2)</f>
        <v/>
      </c>
      <c r="F41" s="12">
        <f>"Σύνολο Πυλώνα 4 / " &amp; '1_Στοιχεία_Μελέτης_&amp;_Ποσότητες'!B93 &amp; " αγκυρώσεις"</f>
        <v/>
      </c>
    </row>
    <row r="42">
      <c r="A42" s="8" t="inlineStr">
        <is>
          <t>KPI 3: Συνολικό Κόστος Σχαρών &amp; Shotcrete ανά m² Μετώπου</t>
        </is>
      </c>
      <c r="B42" s="39" t="n"/>
      <c r="C42" s="39" t="n"/>
      <c r="D42" s="39" t="n"/>
      <c r="E42" s="40">
        <f>ROUND(E16/'1_Στοιχεία_Μελέτης_&amp;_Ποσότητες'!B67, 2)</f>
        <v/>
      </c>
      <c r="F42" s="12">
        <f>"Σύνολο Πυλώνα 2 / " &amp; TEXT('1_Στοιχεία_Μελέτης_&amp;_Ποσότητες'!B67, "#,##0.00") &amp; " m²"</f>
        <v/>
      </c>
    </row>
    <row r="43">
      <c r="A43" s="8" t="inlineStr">
        <is>
          <t>KPI 4: Συνολικό Κόστος H-Beams ανά Πάσσαλο / Οπή</t>
        </is>
      </c>
      <c r="B43" s="39" t="n"/>
      <c r="C43" s="39" t="n"/>
      <c r="D43" s="39" t="n"/>
      <c r="E43" s="40">
        <f>ROUND(E24/'1_Στοιχεία_Μελέτης_&amp;_Ποσότητες'!B30, 2)</f>
        <v/>
      </c>
      <c r="F43" s="12">
        <f>"Σύνολο Πυλώνα 3 / " &amp; '1_Στοιχεία_Μελέτης_&amp;_Ποσότητες'!B30 &amp; " οπές"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25" customWidth="1" min="7" max="7"/>
  </cols>
  <sheetData>
    <row r="1">
      <c r="A1" s="41" t="inlineStr">
        <is>
          <t>ΒΙΒΛΙΟΘΗΚΗ ΔΙΑΤΟΜΩΝ ΧΑΛΥΒΑ (EUROPEAN STRUCTURAL STEEL PROFILES)</t>
        </is>
      </c>
    </row>
    <row r="2">
      <c r="A2" s="42" t="inlineStr">
        <is>
          <t>Τεχνικά χαρακτηριστικά &amp; βάρη ανά μέτρο για διατομές HEA, HEB, UPN &amp; Γωνιών (L)</t>
        </is>
      </c>
    </row>
    <row r="3"/>
    <row r="4">
      <c r="A4" s="43" t="inlineStr">
        <is>
          <t>1. ΔΙΑΤΟΜΕΣ HEA (Ευρωπαϊκά Πλατύπελμα Ελαφρού Τύπου)</t>
        </is>
      </c>
    </row>
    <row r="5">
      <c r="A5" s="26" t="inlineStr">
        <is>
          <t>Ονομασία Διατομής</t>
        </is>
      </c>
      <c r="B5" s="26" t="inlineStr">
        <is>
          <t>Ύψος h (mm)</t>
        </is>
      </c>
      <c r="C5" s="26" t="inlineStr">
        <is>
          <t>Πλάτος b (mm)</t>
        </is>
      </c>
      <c r="D5" s="26" t="inlineStr">
        <is>
          <t>Πάχος tw (mm)</t>
        </is>
      </c>
      <c r="E5" s="26" t="inlineStr">
        <is>
          <t>Πάχος tf (mm)</t>
        </is>
      </c>
      <c r="F5" s="26" t="inlineStr">
        <is>
          <t>Διατομή A (cm²)</t>
        </is>
      </c>
      <c r="G5" s="26" t="inlineStr">
        <is>
          <t>Βάρος (kg / m)</t>
        </is>
      </c>
    </row>
    <row r="6">
      <c r="A6" s="44" t="inlineStr">
        <is>
          <t>HEA 140</t>
        </is>
      </c>
      <c r="B6" s="45" t="n">
        <v>133</v>
      </c>
      <c r="C6" s="45" t="n">
        <v>140</v>
      </c>
      <c r="D6" s="45" t="n">
        <v>5.5</v>
      </c>
      <c r="E6" s="45" t="n">
        <v>8.5</v>
      </c>
      <c r="F6" s="45" t="n">
        <v>31.4</v>
      </c>
      <c r="G6" s="46" t="n">
        <v>24.7</v>
      </c>
    </row>
    <row r="7">
      <c r="A7" s="44" t="inlineStr">
        <is>
          <t>HEA 160</t>
        </is>
      </c>
      <c r="B7" s="45" t="n">
        <v>152</v>
      </c>
      <c r="C7" s="45" t="n">
        <v>160</v>
      </c>
      <c r="D7" s="45" t="n">
        <v>6</v>
      </c>
      <c r="E7" s="45" t="n">
        <v>9</v>
      </c>
      <c r="F7" s="45" t="n">
        <v>38.8</v>
      </c>
      <c r="G7" s="46" t="n">
        <v>30.4</v>
      </c>
    </row>
    <row r="8">
      <c r="A8" s="44" t="inlineStr">
        <is>
          <t>HEA 180</t>
        </is>
      </c>
      <c r="B8" s="45" t="n">
        <v>171</v>
      </c>
      <c r="C8" s="45" t="n">
        <v>180</v>
      </c>
      <c r="D8" s="45" t="n">
        <v>6</v>
      </c>
      <c r="E8" s="45" t="n">
        <v>9.5</v>
      </c>
      <c r="F8" s="45" t="n">
        <v>45.3</v>
      </c>
      <c r="G8" s="46" t="n">
        <v>35.5</v>
      </c>
    </row>
    <row r="9">
      <c r="A9" s="44" t="inlineStr">
        <is>
          <t>HEA 200</t>
        </is>
      </c>
      <c r="B9" s="45" t="n">
        <v>190</v>
      </c>
      <c r="C9" s="45" t="n">
        <v>200</v>
      </c>
      <c r="D9" s="45" t="n">
        <v>6.5</v>
      </c>
      <c r="E9" s="45" t="n">
        <v>10</v>
      </c>
      <c r="F9" s="45" t="n">
        <v>53.8</v>
      </c>
      <c r="G9" s="46" t="n">
        <v>42.3</v>
      </c>
    </row>
    <row r="10">
      <c r="A10" s="44" t="inlineStr">
        <is>
          <t>HEA 220</t>
        </is>
      </c>
      <c r="B10" s="45" t="n">
        <v>210</v>
      </c>
      <c r="C10" s="45" t="n">
        <v>220</v>
      </c>
      <c r="D10" s="45" t="n">
        <v>7</v>
      </c>
      <c r="E10" s="45" t="n">
        <v>11</v>
      </c>
      <c r="F10" s="45" t="n">
        <v>64.3</v>
      </c>
      <c r="G10" s="46" t="n">
        <v>50.5</v>
      </c>
    </row>
    <row r="11">
      <c r="A11" s="44" t="inlineStr">
        <is>
          <t>HEA 240</t>
        </is>
      </c>
      <c r="B11" s="45" t="n">
        <v>230</v>
      </c>
      <c r="C11" s="45" t="n">
        <v>240</v>
      </c>
      <c r="D11" s="45" t="n">
        <v>7.5</v>
      </c>
      <c r="E11" s="45" t="n">
        <v>12</v>
      </c>
      <c r="F11" s="45" t="n">
        <v>76.8</v>
      </c>
      <c r="G11" s="46" t="n">
        <v>60.3</v>
      </c>
    </row>
    <row r="12">
      <c r="A12" s="44" t="inlineStr">
        <is>
          <t>HEA 260</t>
        </is>
      </c>
      <c r="B12" s="45" t="n">
        <v>250</v>
      </c>
      <c r="C12" s="45" t="n">
        <v>260</v>
      </c>
      <c r="D12" s="45" t="n">
        <v>7.5</v>
      </c>
      <c r="E12" s="45" t="n">
        <v>12.5</v>
      </c>
      <c r="F12" s="45" t="n">
        <v>86.8</v>
      </c>
      <c r="G12" s="46" t="n">
        <v>68.2</v>
      </c>
    </row>
    <row r="13">
      <c r="A13" s="44" t="inlineStr">
        <is>
          <t>HEA 280</t>
        </is>
      </c>
      <c r="B13" s="45" t="n">
        <v>270</v>
      </c>
      <c r="C13" s="45" t="n">
        <v>280</v>
      </c>
      <c r="D13" s="45" t="n">
        <v>8</v>
      </c>
      <c r="E13" s="45" t="n">
        <v>13</v>
      </c>
      <c r="F13" s="45" t="n">
        <v>97.3</v>
      </c>
      <c r="G13" s="46" t="n">
        <v>76.40000000000001</v>
      </c>
    </row>
    <row r="14">
      <c r="A14" s="44" t="inlineStr">
        <is>
          <t>HEA 300</t>
        </is>
      </c>
      <c r="B14" s="45" t="n">
        <v>290</v>
      </c>
      <c r="C14" s="45" t="n">
        <v>300</v>
      </c>
      <c r="D14" s="45" t="n">
        <v>8.5</v>
      </c>
      <c r="E14" s="45" t="n">
        <v>14</v>
      </c>
      <c r="F14" s="45" t="n">
        <v>112.5</v>
      </c>
      <c r="G14" s="46" t="n">
        <v>88.3</v>
      </c>
    </row>
    <row r="15"/>
    <row r="16">
      <c r="A16" s="43" t="inlineStr">
        <is>
          <t>2. ΔΙΑΤΟΜΕΣ HEB (Ευρωπαϊκά Πλατύπελμα Κανονικού Τύπου)</t>
        </is>
      </c>
    </row>
    <row r="17">
      <c r="A17" s="26" t="inlineStr">
        <is>
          <t>Ονομασία Διατομής</t>
        </is>
      </c>
      <c r="B17" s="26" t="inlineStr">
        <is>
          <t>Ύψος h (mm)</t>
        </is>
      </c>
      <c r="C17" s="26" t="inlineStr">
        <is>
          <t>Πλάτος b (mm)</t>
        </is>
      </c>
      <c r="D17" s="26" t="inlineStr">
        <is>
          <t>Πάχος tw (mm)</t>
        </is>
      </c>
      <c r="E17" s="26" t="inlineStr">
        <is>
          <t>Πάχος tf (mm)</t>
        </is>
      </c>
      <c r="F17" s="26" t="inlineStr">
        <is>
          <t>Διατομή A (cm²)</t>
        </is>
      </c>
      <c r="G17" s="26" t="inlineStr">
        <is>
          <t>Βάρος (kg / m)</t>
        </is>
      </c>
    </row>
    <row r="18">
      <c r="A18" s="44" t="inlineStr">
        <is>
          <t>HEB 140</t>
        </is>
      </c>
      <c r="B18" s="45" t="n">
        <v>140</v>
      </c>
      <c r="C18" s="45" t="n">
        <v>140</v>
      </c>
      <c r="D18" s="45" t="n">
        <v>7</v>
      </c>
      <c r="E18" s="45" t="n">
        <v>12</v>
      </c>
      <c r="F18" s="45" t="n">
        <v>43</v>
      </c>
      <c r="G18" s="46" t="n">
        <v>33.7</v>
      </c>
    </row>
    <row r="19">
      <c r="A19" s="44" t="inlineStr">
        <is>
          <t>HEB 160</t>
        </is>
      </c>
      <c r="B19" s="45" t="n">
        <v>160</v>
      </c>
      <c r="C19" s="45" t="n">
        <v>160</v>
      </c>
      <c r="D19" s="45" t="n">
        <v>8</v>
      </c>
      <c r="E19" s="45" t="n">
        <v>13</v>
      </c>
      <c r="F19" s="45" t="n">
        <v>54.3</v>
      </c>
      <c r="G19" s="46" t="n">
        <v>42.6</v>
      </c>
    </row>
    <row r="20">
      <c r="A20" s="44" t="inlineStr">
        <is>
          <t>HEB 180</t>
        </is>
      </c>
      <c r="B20" s="45" t="n">
        <v>180</v>
      </c>
      <c r="C20" s="45" t="n">
        <v>180</v>
      </c>
      <c r="D20" s="45" t="n">
        <v>8.5</v>
      </c>
      <c r="E20" s="45" t="n">
        <v>14</v>
      </c>
      <c r="F20" s="45" t="n">
        <v>65.3</v>
      </c>
      <c r="G20" s="46" t="n">
        <v>51.2</v>
      </c>
    </row>
    <row r="21">
      <c r="A21" s="44" t="inlineStr">
        <is>
          <t>HEB 200</t>
        </is>
      </c>
      <c r="B21" s="45" t="n">
        <v>200</v>
      </c>
      <c r="C21" s="45" t="n">
        <v>200</v>
      </c>
      <c r="D21" s="45" t="n">
        <v>9</v>
      </c>
      <c r="E21" s="45" t="n">
        <v>15</v>
      </c>
      <c r="F21" s="45" t="n">
        <v>78.09999999999999</v>
      </c>
      <c r="G21" s="46" t="n">
        <v>61.3</v>
      </c>
    </row>
    <row r="22">
      <c r="A22" s="44" t="inlineStr">
        <is>
          <t>HEB 220</t>
        </is>
      </c>
      <c r="B22" s="45" t="n">
        <v>220</v>
      </c>
      <c r="C22" s="45" t="n">
        <v>220</v>
      </c>
      <c r="D22" s="45" t="n">
        <v>9.5</v>
      </c>
      <c r="E22" s="45" t="n">
        <v>16</v>
      </c>
      <c r="F22" s="45" t="n">
        <v>91</v>
      </c>
      <c r="G22" s="46" t="n">
        <v>71.5</v>
      </c>
    </row>
    <row r="23">
      <c r="A23" s="44" t="inlineStr">
        <is>
          <t>HEB 240</t>
        </is>
      </c>
      <c r="B23" s="45" t="n">
        <v>240</v>
      </c>
      <c r="C23" s="45" t="n">
        <v>240</v>
      </c>
      <c r="D23" s="45" t="n">
        <v>10</v>
      </c>
      <c r="E23" s="45" t="n">
        <v>17</v>
      </c>
      <c r="F23" s="45" t="n">
        <v>106</v>
      </c>
      <c r="G23" s="46" t="n">
        <v>83.2</v>
      </c>
    </row>
    <row r="24">
      <c r="A24" s="44" t="inlineStr">
        <is>
          <t>HEB 260</t>
        </is>
      </c>
      <c r="B24" s="45" t="n">
        <v>260</v>
      </c>
      <c r="C24" s="45" t="n">
        <v>260</v>
      </c>
      <c r="D24" s="45" t="n">
        <v>10</v>
      </c>
      <c r="E24" s="45" t="n">
        <v>17.5</v>
      </c>
      <c r="F24" s="45" t="n">
        <v>118.4</v>
      </c>
      <c r="G24" s="46" t="n">
        <v>93</v>
      </c>
    </row>
    <row r="25">
      <c r="A25" s="44" t="inlineStr">
        <is>
          <t>HEB 280</t>
        </is>
      </c>
      <c r="B25" s="45" t="n">
        <v>280</v>
      </c>
      <c r="C25" s="45" t="n">
        <v>280</v>
      </c>
      <c r="D25" s="45" t="n">
        <v>10.5</v>
      </c>
      <c r="E25" s="45" t="n">
        <v>18</v>
      </c>
      <c r="F25" s="45" t="n">
        <v>131.4</v>
      </c>
      <c r="G25" s="46" t="n">
        <v>103</v>
      </c>
    </row>
    <row r="26">
      <c r="A26" s="44" t="inlineStr">
        <is>
          <t>HEB 300</t>
        </is>
      </c>
      <c r="B26" s="45" t="n">
        <v>300</v>
      </c>
      <c r="C26" s="45" t="n">
        <v>300</v>
      </c>
      <c r="D26" s="45" t="n">
        <v>11</v>
      </c>
      <c r="E26" s="45" t="n">
        <v>19</v>
      </c>
      <c r="F26" s="45" t="n">
        <v>149.1</v>
      </c>
      <c r="G26" s="46" t="n">
        <v>117</v>
      </c>
    </row>
    <row r="27"/>
    <row r="28">
      <c r="A28" s="43" t="inlineStr">
        <is>
          <t>3. ΔΙΑΤΟΜΕΣ UPN (Ευρωπαϊκά Κοίλα Προφίλ U)</t>
        </is>
      </c>
    </row>
    <row r="29">
      <c r="A29" s="26" t="inlineStr">
        <is>
          <t>Ονομασία Διατομής</t>
        </is>
      </c>
      <c r="B29" s="26" t="inlineStr">
        <is>
          <t>Ύψος h (mm)</t>
        </is>
      </c>
      <c r="C29" s="26" t="inlineStr">
        <is>
          <t>Πλάτος b (mm)</t>
        </is>
      </c>
      <c r="D29" s="26" t="inlineStr">
        <is>
          <t>Πάχος tw (mm)</t>
        </is>
      </c>
      <c r="E29" s="26" t="inlineStr">
        <is>
          <t>Πάχος tf (mm)</t>
        </is>
      </c>
      <c r="F29" s="26" t="inlineStr">
        <is>
          <t>Διατομή A (cm²)</t>
        </is>
      </c>
      <c r="G29" s="26" t="inlineStr">
        <is>
          <t>Βάρος (kg / m)</t>
        </is>
      </c>
    </row>
    <row r="30">
      <c r="A30" s="44" t="inlineStr">
        <is>
          <t>UPN 140</t>
        </is>
      </c>
      <c r="B30" s="45" t="n">
        <v>140</v>
      </c>
      <c r="C30" s="45" t="n">
        <v>60</v>
      </c>
      <c r="D30" s="45" t="n">
        <v>7</v>
      </c>
      <c r="E30" s="45" t="n">
        <v>10</v>
      </c>
      <c r="F30" s="45" t="n">
        <v>20.4</v>
      </c>
      <c r="G30" s="46" t="n">
        <v>16</v>
      </c>
    </row>
    <row r="31">
      <c r="A31" s="44" t="inlineStr">
        <is>
          <t>UPN 160</t>
        </is>
      </c>
      <c r="B31" s="45" t="n">
        <v>160</v>
      </c>
      <c r="C31" s="45" t="n">
        <v>65</v>
      </c>
      <c r="D31" s="45" t="n">
        <v>7.5</v>
      </c>
      <c r="E31" s="45" t="n">
        <v>10.5</v>
      </c>
      <c r="F31" s="45" t="n">
        <v>24</v>
      </c>
      <c r="G31" s="46" t="n">
        <v>18.8</v>
      </c>
    </row>
    <row r="32">
      <c r="A32" s="44" t="inlineStr">
        <is>
          <t>UPN 180</t>
        </is>
      </c>
      <c r="B32" s="45" t="n">
        <v>180</v>
      </c>
      <c r="C32" s="45" t="n">
        <v>70</v>
      </c>
      <c r="D32" s="45" t="n">
        <v>8</v>
      </c>
      <c r="E32" s="45" t="n">
        <v>11</v>
      </c>
      <c r="F32" s="45" t="n">
        <v>28</v>
      </c>
      <c r="G32" s="46" t="n">
        <v>22</v>
      </c>
    </row>
    <row r="33">
      <c r="A33" s="44" t="inlineStr">
        <is>
          <t>UPN 200</t>
        </is>
      </c>
      <c r="B33" s="45" t="n">
        <v>200</v>
      </c>
      <c r="C33" s="45" t="n">
        <v>75</v>
      </c>
      <c r="D33" s="45" t="n">
        <v>8.5</v>
      </c>
      <c r="E33" s="45" t="n">
        <v>11.5</v>
      </c>
      <c r="F33" s="45" t="n">
        <v>32.2</v>
      </c>
      <c r="G33" s="46" t="n">
        <v>25.3</v>
      </c>
    </row>
    <row r="34">
      <c r="A34" s="44" t="inlineStr">
        <is>
          <t>UPN 220</t>
        </is>
      </c>
      <c r="B34" s="45" t="n">
        <v>220</v>
      </c>
      <c r="C34" s="45" t="n">
        <v>80</v>
      </c>
      <c r="D34" s="45" t="n">
        <v>9</v>
      </c>
      <c r="E34" s="45" t="n">
        <v>12.5</v>
      </c>
      <c r="F34" s="45" t="n">
        <v>37.4</v>
      </c>
      <c r="G34" s="46" t="n">
        <v>29.4</v>
      </c>
    </row>
    <row r="35">
      <c r="A35" s="44" t="inlineStr">
        <is>
          <t>UPN 240</t>
        </is>
      </c>
      <c r="B35" s="45" t="n">
        <v>240</v>
      </c>
      <c r="C35" s="45" t="n">
        <v>85</v>
      </c>
      <c r="D35" s="45" t="n">
        <v>9.5</v>
      </c>
      <c r="E35" s="45" t="n">
        <v>13</v>
      </c>
      <c r="F35" s="45" t="n">
        <v>42.3</v>
      </c>
      <c r="G35" s="46" t="n">
        <v>33.2</v>
      </c>
    </row>
    <row r="36">
      <c r="A36" s="44" t="inlineStr">
        <is>
          <t>UPN 260</t>
        </is>
      </c>
      <c r="B36" s="45" t="n">
        <v>260</v>
      </c>
      <c r="C36" s="45" t="n">
        <v>90</v>
      </c>
      <c r="D36" s="45" t="n">
        <v>10</v>
      </c>
      <c r="E36" s="45" t="n">
        <v>14</v>
      </c>
      <c r="F36" s="45" t="n">
        <v>48.3</v>
      </c>
      <c r="G36" s="46" t="n">
        <v>37.9</v>
      </c>
    </row>
    <row r="37">
      <c r="A37" s="44" t="inlineStr">
        <is>
          <t>UPN 280</t>
        </is>
      </c>
      <c r="B37" s="45" t="n">
        <v>280</v>
      </c>
      <c r="C37" s="45" t="n">
        <v>95</v>
      </c>
      <c r="D37" s="45" t="n">
        <v>10</v>
      </c>
      <c r="E37" s="45" t="n">
        <v>15</v>
      </c>
      <c r="F37" s="45" t="n">
        <v>53.3</v>
      </c>
      <c r="G37" s="46" t="n">
        <v>41.8</v>
      </c>
    </row>
    <row r="38">
      <c r="A38" s="44" t="inlineStr">
        <is>
          <t>UPN 300</t>
        </is>
      </c>
      <c r="B38" s="45" t="n">
        <v>300</v>
      </c>
      <c r="C38" s="45" t="n">
        <v>100</v>
      </c>
      <c r="D38" s="45" t="n">
        <v>10</v>
      </c>
      <c r="E38" s="45" t="n">
        <v>16</v>
      </c>
      <c r="F38" s="45" t="n">
        <v>58.8</v>
      </c>
      <c r="G38" s="46" t="n">
        <v>46.2</v>
      </c>
    </row>
    <row r="39"/>
    <row r="40">
      <c r="A40" s="43" t="inlineStr">
        <is>
          <t>4. ΙΣΟΣΚΕΛΕΙΣ ΓΩΝΙΕΣ (Equal Angles L)</t>
        </is>
      </c>
    </row>
    <row r="41">
      <c r="A41" s="26" t="inlineStr">
        <is>
          <t>Ονομασία Διατομής</t>
        </is>
      </c>
      <c r="B41" s="26" t="inlineStr">
        <is>
          <t>Ύψος h (mm)</t>
        </is>
      </c>
      <c r="C41" s="26" t="inlineStr">
        <is>
          <t>Πλάτος b (mm)</t>
        </is>
      </c>
      <c r="D41" s="26" t="inlineStr">
        <is>
          <t>Πάχος tw (mm)</t>
        </is>
      </c>
      <c r="E41" s="26" t="inlineStr">
        <is>
          <t>Πάχος tf (mm)</t>
        </is>
      </c>
      <c r="F41" s="26" t="inlineStr">
        <is>
          <t>Διατομή A (cm²)</t>
        </is>
      </c>
      <c r="G41" s="26" t="inlineStr">
        <is>
          <t>Βάρος (kg / m)</t>
        </is>
      </c>
    </row>
    <row r="42">
      <c r="A42" s="44" t="inlineStr">
        <is>
          <t>L 50x50x5</t>
        </is>
      </c>
      <c r="B42" s="45" t="n">
        <v>50</v>
      </c>
      <c r="C42" s="45" t="n">
        <v>50</v>
      </c>
      <c r="D42" s="45" t="n">
        <v>5</v>
      </c>
      <c r="E42" s="45" t="n">
        <v>5</v>
      </c>
      <c r="F42" s="45" t="n">
        <v>4.8</v>
      </c>
      <c r="G42" s="46" t="n">
        <v>3.77</v>
      </c>
    </row>
    <row r="43">
      <c r="A43" s="44" t="inlineStr">
        <is>
          <t>L 60x60x6</t>
        </is>
      </c>
      <c r="B43" s="45" t="n">
        <v>60</v>
      </c>
      <c r="C43" s="45" t="n">
        <v>60</v>
      </c>
      <c r="D43" s="45" t="n">
        <v>6</v>
      </c>
      <c r="E43" s="45" t="n">
        <v>6</v>
      </c>
      <c r="F43" s="45" t="n">
        <v>6.91</v>
      </c>
      <c r="G43" s="46" t="n">
        <v>5.42</v>
      </c>
    </row>
    <row r="44">
      <c r="A44" s="44" t="inlineStr">
        <is>
          <t>L 70x70x6</t>
        </is>
      </c>
      <c r="B44" s="45" t="n">
        <v>70</v>
      </c>
      <c r="C44" s="45" t="n">
        <v>70</v>
      </c>
      <c r="D44" s="45" t="n">
        <v>6</v>
      </c>
      <c r="E44" s="45" t="n">
        <v>6</v>
      </c>
      <c r="F44" s="45" t="n">
        <v>8.130000000000001</v>
      </c>
      <c r="G44" s="46" t="n">
        <v>6.38</v>
      </c>
    </row>
    <row r="45">
      <c r="A45" s="44" t="inlineStr">
        <is>
          <t>L 70x70x7</t>
        </is>
      </c>
      <c r="B45" s="45" t="n">
        <v>70</v>
      </c>
      <c r="C45" s="45" t="n">
        <v>70</v>
      </c>
      <c r="D45" s="45" t="n">
        <v>7</v>
      </c>
      <c r="E45" s="45" t="n">
        <v>7</v>
      </c>
      <c r="F45" s="45" t="n">
        <v>9.4</v>
      </c>
      <c r="G45" s="46" t="n">
        <v>7.38</v>
      </c>
    </row>
    <row r="46">
      <c r="A46" s="44" t="inlineStr">
        <is>
          <t>L 80x80x8</t>
        </is>
      </c>
      <c r="B46" s="45" t="n">
        <v>80</v>
      </c>
      <c r="C46" s="45" t="n">
        <v>80</v>
      </c>
      <c r="D46" s="45" t="n">
        <v>8</v>
      </c>
      <c r="E46" s="45" t="n">
        <v>8</v>
      </c>
      <c r="F46" s="45" t="n">
        <v>12.3</v>
      </c>
      <c r="G46" s="46" t="n">
        <v>9.630000000000001</v>
      </c>
    </row>
    <row r="47">
      <c r="A47" s="44" t="inlineStr">
        <is>
          <t>L 90x90x9</t>
        </is>
      </c>
      <c r="B47" s="45" t="n">
        <v>90</v>
      </c>
      <c r="C47" s="45" t="n">
        <v>90</v>
      </c>
      <c r="D47" s="45" t="n">
        <v>9</v>
      </c>
      <c r="E47" s="45" t="n">
        <v>9</v>
      </c>
      <c r="F47" s="45" t="n">
        <v>15.5</v>
      </c>
      <c r="G47" s="46" t="n">
        <v>12.2</v>
      </c>
    </row>
    <row r="48">
      <c r="A48" s="44" t="inlineStr">
        <is>
          <t>L 100x100x10</t>
        </is>
      </c>
      <c r="B48" s="45" t="n">
        <v>100</v>
      </c>
      <c r="C48" s="45" t="n">
        <v>100</v>
      </c>
      <c r="D48" s="45" t="n">
        <v>10</v>
      </c>
      <c r="E48" s="45" t="n">
        <v>10</v>
      </c>
      <c r="F48" s="45" t="n">
        <v>19.2</v>
      </c>
      <c r="G48" s="4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2026-10-15T08:00:18Z</dcterms:created>
  <dcterms:modified xmlns:dcterms="http://purl.org/dc/terms/" xmlns:xsi="http://www.w3.org/2001/XMLSchema-instance" xsi:type="dcterms:W3CDTF">2026-10-15T08:00:18Z</dcterms:modified>
</cp:coreProperties>
</file>