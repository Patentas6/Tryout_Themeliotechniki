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hemeliotechniki-my.sharepoint.com/personal/polysth_themeliotechniki_onmicrosoft_com/Documents/NIKOLAS TRY/"/>
    </mc:Choice>
  </mc:AlternateContent>
  <xr:revisionPtr revIDLastSave="3" documentId="13_ncr:1_{5E7EAB50-E25E-42B7-8D87-6113A3985EE1}" xr6:coauthVersionLast="47" xr6:coauthVersionMax="47" xr10:uidLastSave="{697CCF84-5957-4DD4-B040-45A72D8EB32B}"/>
  <bookViews>
    <workbookView xWindow="-110" yWindow="-110" windowWidth="25820" windowHeight="15500" activeTab="1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  <c r="B44" i="2"/>
  <c r="A44" i="2"/>
  <c r="C43" i="2"/>
  <c r="B43" i="2"/>
  <c r="A43" i="2"/>
  <c r="A25" i="2"/>
  <c r="A23" i="2"/>
  <c r="A16" i="2"/>
  <c r="A11" i="2"/>
  <c r="A74" i="1"/>
  <c r="D71" i="1"/>
  <c r="B71" i="1"/>
  <c r="B72" i="1" s="1"/>
  <c r="B69" i="1"/>
  <c r="A68" i="1"/>
  <c r="D67" i="1"/>
  <c r="B67" i="1"/>
  <c r="A67" i="1"/>
  <c r="D64" i="1"/>
  <c r="D61" i="1"/>
  <c r="A57" i="1"/>
  <c r="D56" i="1"/>
  <c r="B56" i="1"/>
  <c r="B55" i="1"/>
  <c r="A53" i="1"/>
  <c r="D51" i="1"/>
  <c r="B51" i="1"/>
  <c r="A51" i="1"/>
  <c r="D50" i="1"/>
  <c r="B50" i="1"/>
  <c r="A50" i="1"/>
  <c r="B48" i="1"/>
  <c r="B46" i="1"/>
  <c r="B7" i="2" s="1"/>
  <c r="E7" i="2" s="1"/>
  <c r="B45" i="1"/>
  <c r="B6" i="2" s="1"/>
  <c r="E6" i="2" s="1"/>
  <c r="E8" i="2" s="1"/>
  <c r="B52" i="1" l="1"/>
  <c r="D62" i="1"/>
  <c r="B62" i="1"/>
  <c r="B63" i="1" s="1"/>
  <c r="D59" i="1"/>
  <c r="B59" i="1"/>
  <c r="B60" i="1" s="1"/>
  <c r="D49" i="1"/>
  <c r="B49" i="1"/>
  <c r="D44" i="2"/>
  <c r="E44" i="2" s="1"/>
  <c r="D43" i="2"/>
  <c r="B64" i="1" l="1"/>
  <c r="F44" i="2"/>
  <c r="B65" i="1"/>
  <c r="F43" i="2"/>
  <c r="B61" i="1"/>
  <c r="B66" i="1" s="1"/>
  <c r="B53" i="1"/>
  <c r="B11" i="2" s="1"/>
  <c r="B57" i="1"/>
  <c r="D57" i="1"/>
  <c r="B12" i="2"/>
  <c r="F36" i="2"/>
  <c r="D45" i="2"/>
  <c r="E43" i="2"/>
  <c r="E45" i="2" s="1"/>
  <c r="B24" i="2" l="1"/>
  <c r="F37" i="2"/>
  <c r="B73" i="1"/>
  <c r="B74" i="1" s="1"/>
  <c r="B25" i="2" s="1"/>
  <c r="B75" i="1"/>
  <c r="B26" i="2" s="1"/>
  <c r="F45" i="2"/>
  <c r="B68" i="1"/>
  <c r="B23" i="2" s="1"/>
  <c r="B70" i="1"/>
  <c r="B22" i="2" s="1"/>
  <c r="D70" i="1"/>
  <c r="B21" i="2"/>
  <c r="E11" i="2"/>
  <c r="F11" i="2"/>
  <c r="B16" i="2"/>
  <c r="B17" i="2"/>
  <c r="E12" i="2"/>
  <c r="F12" i="2"/>
  <c r="E24" i="2" l="1"/>
  <c r="F24" i="2"/>
  <c r="E25" i="2"/>
  <c r="F25" i="2"/>
  <c r="E26" i="2"/>
  <c r="F26" i="2"/>
  <c r="E23" i="2"/>
  <c r="F23" i="2"/>
  <c r="E22" i="2"/>
  <c r="F22" i="2"/>
  <c r="E21" i="2"/>
  <c r="E27" i="2" s="1"/>
  <c r="F21" i="2"/>
  <c r="D17" i="2"/>
  <c r="E17" i="2" s="1"/>
  <c r="F17" i="2"/>
  <c r="E16" i="2"/>
  <c r="E13" i="2"/>
  <c r="E18" i="2" l="1"/>
  <c r="E30" i="2" l="1"/>
  <c r="G44" i="2"/>
  <c r="G43" i="2"/>
  <c r="G45" i="2" l="1"/>
  <c r="E31" i="2"/>
  <c r="E32" i="2"/>
  <c r="E33" i="2" l="1"/>
  <c r="E37" i="2" l="1"/>
  <c r="E36" i="2"/>
  <c r="E34" i="2"/>
  <c r="E35" i="2" s="1"/>
</calcChain>
</file>

<file path=xl/sharedStrings.xml><?xml version="1.0" encoding="utf-8"?>
<sst xmlns="http://schemas.openxmlformats.org/spreadsheetml/2006/main" count="228" uniqueCount="179">
  <si>
    <t>ΕΡΓΟ: ALDO SQ1 — ΣΤΟΙΧΕΙΑ ΜΕΛΕΤΗΣ &amp; ΦΥΣΙΚΕΣ ΠΟΣΟΤΗΤΕΣ (ΧΩΡΙΣ ΕΥΡΩ)</t>
  </si>
  <si>
    <t>ΧΩΡΙΣΜΕΝΟ ΣΕ 2 ΜΕΓΑΛΑ ΚΕΦΑΛΑΙΑ: [ΚΕΦΑΛΑΙΟ Α] = ΜΟΝΟ ΣΤΟΙΧΕΙΑ ΜΕΛΕΤΗΣ | [ΚΕΦΑΛΑΙΟ Β] = ΟΛΟΙ ΟΙ ΥΠΟΛΟΓΙΣΜΟΙ</t>
  </si>
  <si>
    <t>🏛️ ΚΕΦΑΛΑΙΟ Α: ΜΟΝΟ ΣΤΟΙΧΕΙΑ ΠΟΥ ΔΙΑΒΑΣΤΗΚΑΝ ΑΠΟ ΤΗ ΜΕΛΕΤΗ (RAW INPUTS)</t>
  </si>
  <si>
    <t>Α.1 Τοποθεσία Εργοταξίου, Έδρα &amp; Σειρές Μελέτης</t>
  </si>
  <si>
    <t>Έδρα Εταιρείας (Αφετηρία)</t>
  </si>
  <si>
    <t>Άγιος Συλάς, Σπύρου Κυπριανού 32, Λεμεσός</t>
  </si>
  <si>
    <t>-</t>
  </si>
  <si>
    <t>Σταθερή βάση εκκίνησης συνεργείων</t>
  </si>
  <si>
    <t>Τοποθεσία Εργοταξίου</t>
  </si>
  <si>
    <t>Κάτω Πολεμίδια, Λεμεσός</t>
  </si>
  <si>
    <t>Από σχέδιο CB1.0</t>
  </si>
  <si>
    <t>Χιλιομετρική Απόσταση από Έδρα</t>
  </si>
  <si>
    <t>km</t>
  </si>
  <si>
    <t>Απόσταση από εργοστάσιο στον Άγιο Συλά</t>
  </si>
  <si>
    <t>Πλήθος Οριζόντιων Σειρών Ήλων Μελέτης</t>
  </si>
  <si>
    <t>σειρές</t>
  </si>
  <si>
    <t>Από τομή σχεδίου CB1.0 (6 σειρές ήλων)</t>
  </si>
  <si>
    <t>Α.2 Γεωμετρία Μετώπου Εκσκαφής</t>
  </si>
  <si>
    <t>Μήκος Τμήματος 1 (L1)</t>
  </si>
  <si>
    <t>m</t>
  </si>
  <si>
    <t>Από κάτοψη σχεδίου CB1.0 (2107 cm)</t>
  </si>
  <si>
    <t>Μήκος Τμήματος 2 (L2)</t>
  </si>
  <si>
    <t>Από κάτοψη σχεδίου CB1.0 (550 cm)</t>
  </si>
  <si>
    <t>Μήκος Τμήματος 3 (L3)</t>
  </si>
  <si>
    <t>Από κάτοψη σχεδίου CB1.0 (1410 cm)</t>
  </si>
  <si>
    <t>Βάθος / Ύψος Εκσκαφής Μετώπου (H)</t>
  </si>
  <si>
    <t>Από τομή σχεδίου CB1.0 (10.00 m βάθος)</t>
  </si>
  <si>
    <t>Α.3 Σχάρες Μετώπου (Wire Mesh Grid)</t>
  </si>
  <si>
    <t>Τύπος Χάλυβα Σχάρας</t>
  </si>
  <si>
    <t>B500A Δομικό Πλέγμα</t>
  </si>
  <si>
    <t>Από Note 4.2 μελέτης</t>
  </si>
  <si>
    <t>Διάμετρος Ράβδων Σχάρας (mm)</t>
  </si>
  <si>
    <t>mm</t>
  </si>
  <si>
    <t>Αλλάξτε αυτό το νούμερο (π.χ. 8, 10, 12) και αλλάζει παντού!</t>
  </si>
  <si>
    <t>Οριζόντιο Βήμα Ράβδων (s_horiz)</t>
  </si>
  <si>
    <t>Απόσταση οριζόντιων ράβδων σε mm (Note 4.2)</t>
  </si>
  <si>
    <t>Κάθετο Βήμα Ράβδων (s_vert)</t>
  </si>
  <si>
    <t>Απόσταση κάθετων ράβδων σε mm (Note 4.2)</t>
  </si>
  <si>
    <t>Α.4 Εκτοξευόμενο Σκυρόδεμα (Shotcrete)</t>
  </si>
  <si>
    <t>Κατηγορία Σκυροδέματος Shotcrete</t>
  </si>
  <si>
    <t>C30/37</t>
  </si>
  <si>
    <t>Από Note 4.1 μελέτης</t>
  </si>
  <si>
    <t>Ονομαστικό Πάχος Σκυροδέματος Μελέτης</t>
  </si>
  <si>
    <t>120 mm ονομαστικό πάχος σχεδίου CB1.0</t>
  </si>
  <si>
    <t>Πάγια Απώλεια / Αναπήδηση Εταιρείας</t>
  </si>
  <si>
    <t>+5 cm πάγια προσαύξηση εταιρείας (χρεώνεται στα €/m³)</t>
  </si>
  <si>
    <t>Α.5 Εδαφοηλώσεις (Ράβδοι, Διατάξεις, Grout, Πλάκες &amp; Nuts)</t>
  </si>
  <si>
    <t>Διάμετρος Ράβδων Ήλωσης B500C (mm)</t>
  </si>
  <si>
    <t>Αλλάξτε αυτό το νούμερο (π.χ. 20, 25, 28) και αλλάζει παντού!</t>
  </si>
  <si>
    <t>Μήκος Ήλων Σειρών 1, 2, 3</t>
  </si>
  <si>
    <t>Από τομή CB1.0 (3 σειρές των 7m)</t>
  </si>
  <si>
    <t>Οριζόντιο Βήμα Σειρών 1, 2, 3</t>
  </si>
  <si>
    <t>Από κάτοψη/τομή CB1.0 (ανά 1.0m)</t>
  </si>
  <si>
    <t>Μήκος Ήλων Σειρών 4, 5, 6</t>
  </si>
  <si>
    <t>Από τομή CB1.0 (3 σειρές των 6m)</t>
  </si>
  <si>
    <t>Οριζόντιο Βήμα Σειρών 4, 5, 6</t>
  </si>
  <si>
    <t>Από κάτοψη/τομή CB1.0 (ανά 2.0m)</t>
  </si>
  <si>
    <t>Διάμετρος Οπής Διάτρησης (D)</t>
  </si>
  <si>
    <t>ΠΑΝΤΑ 12 cm (ακτίνα R = 0.06 m) κανόνας μάστρου</t>
  </si>
  <si>
    <t>Συντελεστής Απώλειας Grout στο Έδαφος</t>
  </si>
  <si>
    <t>ΠΑΝΤΑ * 1.20 (+20% απώλεια) κανόνας μάστρου</t>
  </si>
  <si>
    <t>Μήκος Πλάκας Έδρασης (mm)</t>
  </si>
  <si>
    <t>200 mm μήκος πλάκας (Note 5 μελέτης)</t>
  </si>
  <si>
    <t>Πλάτος Πλάκας Έδρασης (mm)</t>
  </si>
  <si>
    <t>200 mm πλάτος πλάκας (Note 5 μελέτης)</t>
  </si>
  <si>
    <t>Πάχος Πλάκας Έδρασης (mm)</t>
  </si>
  <si>
    <t>12 mm πάχος πλάκας (Note 5 μελέτης)</t>
  </si>
  <si>
    <t>Nuts &amp; Ροδέλες ανά Ήλο</t>
  </si>
  <si>
    <t>σετ / ήλο</t>
  </si>
  <si>
    <t>1 κοχλιωτό nut &amp; ροδέλα σύσφιξης ανά ήλο (Note 5)</t>
  </si>
  <si>
    <t>⚙️ ΚΕΦΑΛΑΙΟ Β: ΟΛΟΙ ΟΙ ΥΠΟΛΟΓΙΣΜΟΙ ΦΥΣΙΚΩΝ ΜΕΓΕΘΩΝ (ΜΕ ΒΑΣΗ ΤΟ ΚΕΦΑΛΑΙΟ Α)</t>
  </si>
  <si>
    <t>Β.1 Υπολογισμοί Στρατών Μετακίνησης</t>
  </si>
  <si>
    <t>Ζώνη Μετακίνησης (ακτίνα 50km)</t>
  </si>
  <si>
    <t>Ζώνη 1 (0 – 50 km)</t>
  </si>
  <si>
    <t>Απόσταση &lt;= 50 km από Άγιο Συλά</t>
  </si>
  <si>
    <t>Υπολογισμός Στρατών Shotcrete</t>
  </si>
  <si>
    <t>στράτες</t>
  </si>
  <si>
    <t>Σειρές ήλων + 1 στράτα για πόδι/δάπεδο (6 + 1 = 7)</t>
  </si>
  <si>
    <t>Υπολογισμός Στρατών Εδαφοηλώσεων</t>
  </si>
  <si>
    <t>1 στράτα ανά οριζόντια σειρά ήλων (6 στράτες υλικών)</t>
  </si>
  <si>
    <t>Β.2 Υπολογισμοί Σχαρών (Μήκος, Εμβαδόν &amp; Κιλά Χάλυβα)</t>
  </si>
  <si>
    <t>Συνολικό Μήκος Μετώπου (L)</t>
  </si>
  <si>
    <t>L = 21.07 + 5.50 + 14.10 = 40.67 m</t>
  </si>
  <si>
    <t>ΣΥΝΟΛΙΚΟ ΕΜΒΑΔΟΝ ΜΕΤΩΠΟΥ (A = L × H)</t>
  </si>
  <si>
    <t>m²</t>
  </si>
  <si>
    <t>m / m²</t>
  </si>
  <si>
    <t>kg / m</t>
  </si>
  <si>
    <t>Υπολογιστικό Βάρος Σχάρας ανά m²</t>
  </si>
  <si>
    <t>kg / m²</t>
  </si>
  <si>
    <t>Μέτρα ανά m² × Βάρος ανά μέτρο</t>
  </si>
  <si>
    <t>kg</t>
  </si>
  <si>
    <t>Εμβαδόν A × Υπολογιστικό βάρος σχάρας/m²</t>
  </si>
  <si>
    <t>Β.3 Υπολογισμοί Εκτοξευόμενου Σκυροδέματος (Shotcrete) — ΧΩΡΙΣ ΑΠΩΛΕΙΑ ΣΤΑ ΚΥΒΙΚΑ</t>
  </si>
  <si>
    <t>120 mm ονομαστικό πάχος μελέτης</t>
  </si>
  <si>
    <t>Ποσοστό Απώλειας επί του Ονομαστικού Πάχους</t>
  </si>
  <si>
    <t>%</t>
  </si>
  <si>
    <t>m³</t>
  </si>
  <si>
    <t>Β.4 Υπολογισμοί Εδαφοηλώσεων (Ήλοι, Μέτρα, Grout, Σίδηρο, Πλάκες &amp; Nuts)</t>
  </si>
  <si>
    <t>Πλήθος Ήλων ανά Σειρά 1–3</t>
  </si>
  <si>
    <t>τεμ. / σειρά</t>
  </si>
  <si>
    <t>Συνολικό Πλήθος Ήλων Σειρών 1–3 (3 σειρές)</t>
  </si>
  <si>
    <t>τεμ.</t>
  </si>
  <si>
    <t>3 σειρές × 41 = 123 ήλοι</t>
  </si>
  <si>
    <t>Μέτρα Διάτρησης Σειρών 1–3</t>
  </si>
  <si>
    <t>Πλήθος Ήλων ανά Σειρά 4–6</t>
  </si>
  <si>
    <t>Συνολικό Πλήθος Ήλων Σειρών 4–6 (3 σειρές)</t>
  </si>
  <si>
    <t>3 σειρές × 21 = 63 ήλοι</t>
  </si>
  <si>
    <t>Μέτρα Διάτρησης Σειρών 4–6</t>
  </si>
  <si>
    <t>ΣΥΝΟΛΙΚΟ ΠΛΗΘΟΣ ΕΔΑΦΟΗΛΩΣΕΩΝ ΕΡΓΟΥ</t>
  </si>
  <si>
    <t>123 + 63 = 186 εδαφοηλώσεις</t>
  </si>
  <si>
    <t>ΣΥΝΟΛΙΚΑ ΜΕΤΡΑ ΔΙΑΤΡΗΣΗΣ ΕΡΓΟΥ</t>
  </si>
  <si>
    <t>861.00 + 378.00 = 1,239.00 m διάτρησης</t>
  </si>
  <si>
    <t>Συνολικά μέτρα × Βάρος/m</t>
  </si>
  <si>
    <t>Όγκος Grout ανά Τρέχον Μέτρο Διάτρησης</t>
  </si>
  <si>
    <t>m³ / m</t>
  </si>
  <si>
    <t>π * (0.06)² * 1.20 = 0.013572 m³/m</t>
  </si>
  <si>
    <t>ΣΥΝΟΛΙΚΟΣ ΟΓΚΟΣ GROUT ΕΡΓΟΥ</t>
  </si>
  <si>
    <t>Όγκος ανά Πλάκα Έδρασης</t>
  </si>
  <si>
    <t>m³ / τεμ.</t>
  </si>
  <si>
    <t>Βάρος ανά Πλάκα Έδρασης</t>
  </si>
  <si>
    <t>kg / τεμ.</t>
  </si>
  <si>
    <t>Όγκος × 7850 kg/m³</t>
  </si>
  <si>
    <t>Συνολικό Πλήθος Πλακών Έργου</t>
  </si>
  <si>
    <t>186 ήλοι × 1 = 186 πλάκες έδρασης</t>
  </si>
  <si>
    <t>186 πλάκες × 3.768 kg = 700.85 kg</t>
  </si>
  <si>
    <t>ΣΥΝΟΛΙΚΟ ΠΛΗΘΟΣ NUTS &amp; ΡΟΔΕΛΩΝ ΕΡΓΟΥ</t>
  </si>
  <si>
    <t>186 ήλοι × 1 nut = 186 σετ nuts</t>
  </si>
  <si>
    <t>ΕΡΓΟ: ALDO SQ1 — ΥΠΟΛΟΓΙΣΜΟΙ ΕΥΡΩ (€) &amp; ΟΙΚΟΝΟΜΙΚΗ ΠΡΟΣΦΟΡΑ</t>
  </si>
  <si>
    <t>Οι ποσότητες αντλούνται από το Κεφάλαιο Β του Φύλλου 1 | [Χ %] = Ποσοστά προς συμπλήρωση από τον Μάστρο | Νέος Κανόνας Shotcrete</t>
  </si>
  <si>
    <t>Περιγραφή Εργασίας / Υλικού</t>
  </si>
  <si>
    <t>Ποσότητα</t>
  </si>
  <si>
    <t>Μονάδα</t>
  </si>
  <si>
    <t>Τιμή Μονάδας (€)</t>
  </si>
  <si>
    <t>Συνολικό Κόστος (€)</t>
  </si>
  <si>
    <t>Πηγή Ποσότητας / Τεχνικός Κανόνας</t>
  </si>
  <si>
    <t>ΠΥΛΩΝΑΣ 1: ΜΕΤΑΚΙΝΗΣΕΙΣ &amp; ΣΤΡΑΤΕΣ</t>
  </si>
  <si>
    <t>Στράτες Shotcrete (Ζώνη 1: 0–50km)</t>
  </si>
  <si>
    <t>Από Φύλλο 1 (6 σειρές + 1 = 7 στράτες)</t>
  </si>
  <si>
    <t>Στράτες Εδαφοηλώσεων (Ζώνη 1: 0–50km)</t>
  </si>
  <si>
    <t>Από Φύλλο 1 (1 στράτα ανά σειρά = 6 στράτες)</t>
  </si>
  <si>
    <t>ΣΥΝΟΛΟ ΠΥΛΩΝΑ 1 (ΜΕΤΑΚΙΝΗΣΕΙΣ)</t>
  </si>
  <si>
    <t>ΠΥΛΩΝΑΣ 2: ΣΧΑΡΕΣ (WIRE MESH GRID)</t>
  </si>
  <si>
    <t>Τοποθέτηση Σχάρας / Εργατικά Μετώπου</t>
  </si>
  <si>
    <t>ΣΥΝΟΛΟ ΠΥΛΩΝΑ 2 (ΣΧΑΡΕΣ)</t>
  </si>
  <si>
    <t>ΠΥΛΩΝΑΣ 3: ΕΚΤΟΞΕΥΟΜΕΝΟ ΣΚΥΡΟΔΕΜΑ (SHOTCRETE) — ΟΝΟΜΑΣΤΙΚΑ m³ ΧΩΡΙΣ ΑΠΩΛΕΙΑ</t>
  </si>
  <si>
    <t>Σταθερή τιμή αγοράς κουγκριού C30/37 (90 €/m³)</t>
  </si>
  <si>
    <t>Τοποθέτηση / Εκτόξευση / Αντλία (με προσαύξηση απώλειας)</t>
  </si>
  <si>
    <t>ΣΥΝΟΛΟ ΠΥΛΩΝΑ 3 (SHOTCRETE)</t>
  </si>
  <si>
    <t>ΠΥΛΩΝΑΣ 4: ΕΔΑΦΟΗΛΩΣΕΙΣ (SOIL NAILS)</t>
  </si>
  <si>
    <t>4.1 Διάτρηση / Τρύπημα (L &gt;= 6m)</t>
  </si>
  <si>
    <t>4.2 Grout Τσιμεντένεμα (με απώλεια 1.20)</t>
  </si>
  <si>
    <t>4.4 Διαμόρφωση Πάσου (Σπείρωμα Κεφαλής)</t>
  </si>
  <si>
    <t>4.6 Nuts (Περικόχλια) &amp; Ροδέλες</t>
  </si>
  <si>
    <t>ΣΥΝΟΛΟ ΠΥΛΩΝΑ 4 (ΕΔΑΦΟΗΛΩΣΕΙΣ)</t>
  </si>
  <si>
    <t>ΤΕΛΙΚΑ ΣΥΝΟΛΑ ΠΡΟΣΦΟΡΑΣ &amp; ΕΠΙΒΑΡΥΝΣΕΙΣ ΜΑΣΤΡΟΥ [Χ %]</t>
  </si>
  <si>
    <t>ΑΜΕΣΟ ΚΟΣΤΟΣ ΕΡΓΟΥ (ΑΘΡΟΙΣΜΑ 4 ΠΥΛΩΝΩΝ)</t>
  </si>
  <si>
    <t>Άμεσο κόστος εργασιών &amp; υλικών</t>
  </si>
  <si>
    <t>Γενικά Έξοδα &amp; Απρόβλεπτα [Χ %]</t>
  </si>
  <si>
    <t>Πράσινο κελί D31: Συμπληρώνει ο Μάστρος το % που θέλει</t>
  </si>
  <si>
    <t>Όφελος / Κέρδος Εργολάβου [Χ %]</t>
  </si>
  <si>
    <t>Πράσινο κελί D32: Συμπληρώνει ο Μάστρος το % που θέλει</t>
  </si>
  <si>
    <t>ΚΑΘΑΡΟ ΣΥΝΟΛΟ ΠΡΟΣΦΟΡΑΣ (ΠΡΟ Φ.Π.Α.)</t>
  </si>
  <si>
    <t>Καθαρή αξία προσφοράς προς ανάδοχο</t>
  </si>
  <si>
    <t>Φ.Π.Α. (19%)</t>
  </si>
  <si>
    <t>Νόμιμος Φ.Π.Α. Κύπρου (19%)</t>
  </si>
  <si>
    <t>ΤΕΛΙΚΟ ΠΛΗΡΩΤΕΟ ΠΟΣΟ (ΜΕ Φ.Π.Α.)</t>
  </si>
  <si>
    <t>Τελικό πληρωτέο ποσό έργου</t>
  </si>
  <si>
    <t>Γενικό KPI: Κόστος ανά m² Μετώπου Εκσκαφής</t>
  </si>
  <si>
    <t>Γενικό KPI: Κόστος ανά Εδαφοήλωση</t>
  </si>
  <si>
    <t>5. ΣΥΓΚΡΙΤΙΚΗ ΑΝΑΛΥΣΗ ΔΙΑΤΑΞΕΩΝ / VALUE ENGINEERING (ΑΝΑ ΖΩΝΗ &amp; ΒΑΘΟΣ)</t>
  </si>
  <si>
    <t>Εργαλείο Value Engineering για Μελετητές: Σύγκριση κόστους ανά τεμάχιο ήλου (€/τεμ), ανά μέτρο διάτρησης (€/m) και ανά m² μετώπου (€/m²)</t>
  </si>
  <si>
    <t>Διάταξη / Ζώνη Ήλων</t>
  </si>
  <si>
    <t>Μήκος (L)
[m]</t>
  </si>
  <si>
    <t>Βήμα (s)
[m]</t>
  </si>
  <si>
    <t>Άμεσο Κόστος
ανά Ήλο (€/τεμ)</t>
  </si>
  <si>
    <t>Κόστος ανά Τρέχον
Μέτρο (€/m)</t>
  </si>
  <si>
    <t>Κόστος Ήλων ανά
m² Μετώπου (€/m²)</t>
  </si>
  <si>
    <t>Συνολικό Σύστημα
ανά m² Μετώπου (€/m²)</t>
  </si>
  <si>
    <t>ΔΙΑΦΟΡΑ / ΕΞΟΙΚΟΝΟΜΗΣΗ (ΖΩΝΗ 2 vs ΖΩΝΗ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</si>
</sst>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%"/>
    <numFmt numFmtId="166" formatCode="#,##0.0000"/>
    <numFmt numFmtId="167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b/>
      <sz val="10"/>
      <color rgb="FF1F4E78"/>
      <name val="Calibri"/>
      <family val="2"/>
    </font>
    <font>
      <b/>
      <sz val="11"/>
      <color rgb="FF000000"/>
      <name val="Calibri"/>
      <family val="2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E4D2B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F5597"/>
      </patternFill>
    </fill>
    <fill>
      <patternFill patternType="solid">
        <fgColor rgb="FFC6EFCE"/>
      </patternFill>
    </fill>
    <fill>
      <patternFill patternType="solid">
        <fgColor rgb="FF305496"/>
      </patternFill>
    </fill>
    <fill>
      <patternFill patternType="solid">
        <fgColor rgb="FF41719C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5" fillId="0" borderId="1" xfId="0" applyFont="1" applyBorder="1"/>
    <xf numFmtId="49" fontId="5" fillId="5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4" fontId="5" fillId="6" borderId="1" xfId="0" applyNumberFormat="1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49" fontId="5" fillId="6" borderId="1" xfId="0" applyNumberFormat="1" applyFont="1" applyFill="1" applyBorder="1" applyAlignment="1">
      <alignment horizontal="left"/>
    </xf>
    <xf numFmtId="4" fontId="5" fillId="5" borderId="1" xfId="0" applyNumberFormat="1" applyFont="1" applyFill="1" applyBorder="1" applyAlignment="1">
      <alignment horizontal="right"/>
    </xf>
    <xf numFmtId="3" fontId="5" fillId="5" borderId="1" xfId="0" applyNumberFormat="1" applyFont="1" applyFill="1" applyBorder="1" applyAlignment="1">
      <alignment horizontal="right"/>
    </xf>
    <xf numFmtId="4" fontId="5" fillId="8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3" fontId="5" fillId="8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0" fontId="7" fillId="9" borderId="2" xfId="0" applyFont="1" applyFill="1" applyBorder="1" applyAlignment="1">
      <alignment horizontal="center" vertical="center"/>
    </xf>
    <xf numFmtId="167" fontId="5" fillId="11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0" fontId="0" fillId="4" borderId="1" xfId="0" applyFill="1" applyBorder="1"/>
    <xf numFmtId="167" fontId="5" fillId="4" borderId="1" xfId="0" applyNumberFormat="1" applyFont="1" applyFill="1" applyBorder="1" applyAlignment="1">
      <alignment horizontal="right"/>
    </xf>
    <xf numFmtId="165" fontId="5" fillId="6" borderId="1" xfId="0" applyNumberFormat="1" applyFont="1" applyFill="1" applyBorder="1" applyAlignment="1">
      <alignment horizontal="right"/>
    </xf>
    <xf numFmtId="167" fontId="5" fillId="8" borderId="3" xfId="0" applyNumberFormat="1" applyFont="1" applyFill="1" applyBorder="1" applyAlignment="1">
      <alignment horizontal="right"/>
    </xf>
    <xf numFmtId="0" fontId="6" fillId="8" borderId="3" xfId="0" applyFont="1" applyFill="1" applyBorder="1"/>
    <xf numFmtId="0" fontId="7" fillId="9" borderId="2" xfId="0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167" fontId="5" fillId="12" borderId="1" xfId="0" applyNumberFormat="1" applyFont="1" applyFill="1" applyBorder="1" applyAlignment="1">
      <alignment horizontal="right"/>
    </xf>
    <xf numFmtId="167" fontId="5" fillId="8" borderId="1" xfId="0" applyNumberFormat="1" applyFont="1" applyFill="1" applyBorder="1" applyAlignment="1">
      <alignment horizontal="right"/>
    </xf>
    <xf numFmtId="167" fontId="5" fillId="4" borderId="3" xfId="0" applyNumberFormat="1" applyFont="1" applyFill="1" applyBorder="1" applyAlignment="1">
      <alignment horizontal="right"/>
    </xf>
    <xf numFmtId="0" fontId="6" fillId="0" borderId="1" xfId="0" applyFont="1" applyBorder="1"/>
    <xf numFmtId="0" fontId="0" fillId="0" borderId="1" xfId="0" applyBorder="1"/>
    <xf numFmtId="0" fontId="4" fillId="4" borderId="0" xfId="0" applyFont="1" applyFill="1" applyAlignment="1">
      <alignment horizontal="left" vertical="center" indent="1"/>
    </xf>
    <xf numFmtId="0" fontId="0" fillId="4" borderId="0" xfId="0" applyFill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3" fillId="7" borderId="0" xfId="0" applyFont="1" applyFill="1" applyAlignment="1">
      <alignment horizontal="left" vertical="center" indent="1"/>
    </xf>
    <xf numFmtId="0" fontId="0" fillId="7" borderId="0" xfId="0" applyFill="1"/>
    <xf numFmtId="0" fontId="5" fillId="4" borderId="3" xfId="0" applyFont="1" applyFill="1" applyBorder="1" applyAlignment="1">
      <alignment horizontal="right"/>
    </xf>
    <xf numFmtId="0" fontId="0" fillId="4" borderId="3" xfId="0" applyFill="1" applyBorder="1"/>
    <xf numFmtId="0" fontId="5" fillId="8" borderId="3" xfId="0" applyFont="1" applyFill="1" applyBorder="1" applyAlignment="1">
      <alignment horizontal="right"/>
    </xf>
    <xf numFmtId="0" fontId="0" fillId="8" borderId="3" xfId="0" applyFill="1" applyBorder="1"/>
    <xf numFmtId="0" fontId="5" fillId="5" borderId="1" xfId="0" applyFont="1" applyFill="1" applyBorder="1" applyAlignment="1">
      <alignment horizontal="right"/>
    </xf>
    <xf numFmtId="0" fontId="0" fillId="5" borderId="1" xfId="0" applyFill="1" applyBorder="1"/>
    <xf numFmtId="0" fontId="2" fillId="0" borderId="0" xfId="0" applyFont="1"/>
    <xf numFmtId="0" fontId="8" fillId="10" borderId="0" xfId="0" applyFont="1" applyFill="1" applyAlignment="1">
      <alignment horizontal="left" vertical="center" indent="1"/>
    </xf>
    <xf numFmtId="0" fontId="0" fillId="10" borderId="0" xfId="0" applyFill="1"/>
    <xf numFmtId="0" fontId="5" fillId="4" borderId="1" xfId="0" applyFont="1" applyFill="1" applyBorder="1" applyAlignment="1">
      <alignment horizontal="right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opLeftCell="A13" workbookViewId="0">
      <selection activeCell="B22" sqref="B22"/>
    </sheetView>
  </sheetViews>
  <sheetFormatPr defaultRowHeight="14.5" x14ac:dyDescent="0.35"/>
  <cols>
    <col min="1" max="1" width="48" customWidth="1"/>
    <col min="2" max="2" width="18" customWidth="1"/>
    <col min="3" max="3" width="14" customWidth="1"/>
    <col min="4" max="6" width="22" customWidth="1"/>
  </cols>
  <sheetData>
    <row r="1" spans="1:6" ht="30" customHeight="1" x14ac:dyDescent="0.35">
      <c r="A1" s="34" t="s">
        <v>0</v>
      </c>
      <c r="B1" s="35"/>
      <c r="C1" s="35"/>
      <c r="D1" s="35"/>
      <c r="E1" s="35"/>
      <c r="F1" s="35"/>
    </row>
    <row r="2" spans="1:6" x14ac:dyDescent="0.35">
      <c r="A2" s="1" t="s">
        <v>1</v>
      </c>
    </row>
    <row r="4" spans="1:6" ht="26" customHeight="1" x14ac:dyDescent="0.35">
      <c r="A4" s="36" t="s">
        <v>2</v>
      </c>
      <c r="B4" s="37"/>
      <c r="C4" s="37"/>
      <c r="D4" s="37"/>
      <c r="E4" s="37"/>
      <c r="F4" s="37"/>
    </row>
    <row r="5" spans="1:6" ht="20" customHeight="1" x14ac:dyDescent="0.35">
      <c r="A5" s="32" t="s">
        <v>3</v>
      </c>
      <c r="B5" s="33"/>
      <c r="C5" s="33"/>
      <c r="D5" s="33"/>
      <c r="E5" s="33"/>
      <c r="F5" s="33"/>
    </row>
    <row r="6" spans="1:6" x14ac:dyDescent="0.35">
      <c r="A6" s="2" t="s">
        <v>4</v>
      </c>
      <c r="B6" s="3" t="s">
        <v>5</v>
      </c>
      <c r="C6" s="4" t="s">
        <v>6</v>
      </c>
      <c r="D6" s="30" t="s">
        <v>7</v>
      </c>
      <c r="E6" s="31"/>
      <c r="F6" s="31"/>
    </row>
    <row r="7" spans="1:6" x14ac:dyDescent="0.35">
      <c r="A7" s="2" t="s">
        <v>8</v>
      </c>
      <c r="B7" s="3" t="s">
        <v>9</v>
      </c>
      <c r="C7" s="4" t="s">
        <v>6</v>
      </c>
      <c r="D7" s="30" t="s">
        <v>10</v>
      </c>
      <c r="E7" s="31"/>
      <c r="F7" s="31"/>
    </row>
    <row r="8" spans="1:6" x14ac:dyDescent="0.35">
      <c r="A8" s="2" t="s">
        <v>11</v>
      </c>
      <c r="B8" s="6">
        <v>12</v>
      </c>
      <c r="C8" s="4" t="s">
        <v>12</v>
      </c>
      <c r="D8" s="30" t="s">
        <v>13</v>
      </c>
      <c r="E8" s="31"/>
      <c r="F8" s="31"/>
    </row>
    <row r="9" spans="1:6" x14ac:dyDescent="0.35">
      <c r="A9" s="2" t="s">
        <v>14</v>
      </c>
      <c r="B9" s="7">
        <v>6</v>
      </c>
      <c r="C9" s="4" t="s">
        <v>15</v>
      </c>
      <c r="D9" s="30" t="s">
        <v>16</v>
      </c>
      <c r="E9" s="31"/>
      <c r="F9" s="31"/>
    </row>
    <row r="11" spans="1:6" ht="20" customHeight="1" x14ac:dyDescent="0.35">
      <c r="A11" s="32" t="s">
        <v>17</v>
      </c>
      <c r="B11" s="33"/>
      <c r="C11" s="33"/>
      <c r="D11" s="33"/>
      <c r="E11" s="33"/>
      <c r="F11" s="33"/>
    </row>
    <row r="12" spans="1:6" x14ac:dyDescent="0.35">
      <c r="A12" s="2" t="s">
        <v>18</v>
      </c>
      <c r="B12" s="6">
        <v>21.07</v>
      </c>
      <c r="C12" s="4" t="s">
        <v>19</v>
      </c>
      <c r="D12" s="30" t="s">
        <v>20</v>
      </c>
      <c r="E12" s="31"/>
      <c r="F12" s="31"/>
    </row>
    <row r="13" spans="1:6" x14ac:dyDescent="0.35">
      <c r="A13" s="2" t="s">
        <v>21</v>
      </c>
      <c r="B13" s="6">
        <v>5.5</v>
      </c>
      <c r="C13" s="4" t="s">
        <v>19</v>
      </c>
      <c r="D13" s="30" t="s">
        <v>22</v>
      </c>
      <c r="E13" s="31"/>
      <c r="F13" s="31"/>
    </row>
    <row r="14" spans="1:6" x14ac:dyDescent="0.35">
      <c r="A14" s="2" t="s">
        <v>23</v>
      </c>
      <c r="B14" s="6">
        <v>14.1</v>
      </c>
      <c r="C14" s="4" t="s">
        <v>19</v>
      </c>
      <c r="D14" s="30" t="s">
        <v>24</v>
      </c>
      <c r="E14" s="31"/>
      <c r="F14" s="31"/>
    </row>
    <row r="15" spans="1:6" x14ac:dyDescent="0.35">
      <c r="A15" s="2" t="s">
        <v>25</v>
      </c>
      <c r="B15" s="6">
        <v>10</v>
      </c>
      <c r="C15" s="4" t="s">
        <v>19</v>
      </c>
      <c r="D15" s="30" t="s">
        <v>26</v>
      </c>
      <c r="E15" s="31"/>
      <c r="F15" s="31"/>
    </row>
    <row r="17" spans="1:6" ht="20" customHeight="1" x14ac:dyDescent="0.35">
      <c r="A17" s="32" t="s">
        <v>27</v>
      </c>
      <c r="B17" s="33"/>
      <c r="C17" s="33"/>
      <c r="D17" s="33"/>
      <c r="E17" s="33"/>
      <c r="F17" s="33"/>
    </row>
    <row r="18" spans="1:6" x14ac:dyDescent="0.35">
      <c r="A18" s="2" t="s">
        <v>28</v>
      </c>
      <c r="B18" s="3" t="s">
        <v>29</v>
      </c>
      <c r="C18" s="4" t="s">
        <v>6</v>
      </c>
      <c r="D18" s="30" t="s">
        <v>30</v>
      </c>
      <c r="E18" s="31"/>
      <c r="F18" s="31"/>
    </row>
    <row r="19" spans="1:6" x14ac:dyDescent="0.35">
      <c r="A19" s="2" t="s">
        <v>31</v>
      </c>
      <c r="B19" s="7">
        <v>8</v>
      </c>
      <c r="C19" s="4" t="s">
        <v>32</v>
      </c>
      <c r="D19" s="30" t="s">
        <v>33</v>
      </c>
      <c r="E19" s="31"/>
      <c r="F19" s="31"/>
    </row>
    <row r="20" spans="1:6" x14ac:dyDescent="0.35">
      <c r="A20" s="2" t="s">
        <v>34</v>
      </c>
      <c r="B20" s="7">
        <v>200</v>
      </c>
      <c r="C20" s="4" t="s">
        <v>32</v>
      </c>
      <c r="D20" s="30" t="s">
        <v>35</v>
      </c>
      <c r="E20" s="31"/>
      <c r="F20" s="31"/>
    </row>
    <row r="21" spans="1:6" x14ac:dyDescent="0.35">
      <c r="A21" s="2" t="s">
        <v>36</v>
      </c>
      <c r="B21" s="7">
        <v>200</v>
      </c>
      <c r="C21" s="4" t="s">
        <v>32</v>
      </c>
      <c r="D21" s="30" t="s">
        <v>37</v>
      </c>
      <c r="E21" s="31"/>
      <c r="F21" s="31"/>
    </row>
    <row r="23" spans="1:6" ht="20" customHeight="1" x14ac:dyDescent="0.35">
      <c r="A23" s="32" t="s">
        <v>38</v>
      </c>
      <c r="B23" s="33"/>
      <c r="C23" s="33"/>
      <c r="D23" s="33"/>
      <c r="E23" s="33"/>
      <c r="F23" s="33"/>
    </row>
    <row r="24" spans="1:6" x14ac:dyDescent="0.35">
      <c r="A24" s="2" t="s">
        <v>39</v>
      </c>
      <c r="B24" s="8" t="s">
        <v>40</v>
      </c>
      <c r="C24" s="4" t="s">
        <v>6</v>
      </c>
      <c r="D24" s="30" t="s">
        <v>41</v>
      </c>
      <c r="E24" s="31"/>
      <c r="F24" s="31"/>
    </row>
    <row r="25" spans="1:6" x14ac:dyDescent="0.35">
      <c r="A25" s="2" t="s">
        <v>42</v>
      </c>
      <c r="B25" s="6">
        <v>0.12</v>
      </c>
      <c r="C25" s="4" t="s">
        <v>19</v>
      </c>
      <c r="D25" s="30" t="s">
        <v>43</v>
      </c>
      <c r="E25" s="31"/>
      <c r="F25" s="31"/>
    </row>
    <row r="26" spans="1:6" x14ac:dyDescent="0.35">
      <c r="A26" s="2" t="s">
        <v>44</v>
      </c>
      <c r="B26" s="9">
        <v>0.05</v>
      </c>
      <c r="C26" s="4" t="s">
        <v>19</v>
      </c>
      <c r="D26" s="30" t="s">
        <v>45</v>
      </c>
      <c r="E26" s="31"/>
      <c r="F26" s="31"/>
    </row>
    <row r="28" spans="1:6" ht="20" customHeight="1" x14ac:dyDescent="0.35">
      <c r="A28" s="32" t="s">
        <v>46</v>
      </c>
      <c r="B28" s="33"/>
      <c r="C28" s="33"/>
      <c r="D28" s="33"/>
      <c r="E28" s="33"/>
      <c r="F28" s="33"/>
    </row>
    <row r="29" spans="1:6" x14ac:dyDescent="0.35">
      <c r="A29" s="2" t="s">
        <v>47</v>
      </c>
      <c r="B29" s="7">
        <v>25</v>
      </c>
      <c r="C29" s="4" t="s">
        <v>32</v>
      </c>
      <c r="D29" s="30" t="s">
        <v>48</v>
      </c>
      <c r="E29" s="31"/>
      <c r="F29" s="31"/>
    </row>
    <row r="30" spans="1:6" x14ac:dyDescent="0.35">
      <c r="A30" s="2" t="s">
        <v>49</v>
      </c>
      <c r="B30" s="6">
        <v>7</v>
      </c>
      <c r="C30" s="4" t="s">
        <v>19</v>
      </c>
      <c r="D30" s="30" t="s">
        <v>50</v>
      </c>
      <c r="E30" s="31"/>
      <c r="F30" s="31"/>
    </row>
    <row r="31" spans="1:6" x14ac:dyDescent="0.35">
      <c r="A31" s="2" t="s">
        <v>51</v>
      </c>
      <c r="B31" s="6">
        <v>1</v>
      </c>
      <c r="C31" s="4" t="s">
        <v>19</v>
      </c>
      <c r="D31" s="30" t="s">
        <v>52</v>
      </c>
      <c r="E31" s="31"/>
      <c r="F31" s="31"/>
    </row>
    <row r="32" spans="1:6" x14ac:dyDescent="0.35">
      <c r="A32" s="2" t="s">
        <v>53</v>
      </c>
      <c r="B32" s="6">
        <v>6</v>
      </c>
      <c r="C32" s="4" t="s">
        <v>19</v>
      </c>
      <c r="D32" s="30" t="s">
        <v>54</v>
      </c>
      <c r="E32" s="31"/>
      <c r="F32" s="31"/>
    </row>
    <row r="33" spans="1:6" x14ac:dyDescent="0.35">
      <c r="A33" s="2" t="s">
        <v>55</v>
      </c>
      <c r="B33" s="6">
        <v>1.5</v>
      </c>
      <c r="C33" s="4" t="s">
        <v>19</v>
      </c>
      <c r="D33" s="30" t="s">
        <v>56</v>
      </c>
      <c r="E33" s="31"/>
      <c r="F33" s="31"/>
    </row>
    <row r="34" spans="1:6" x14ac:dyDescent="0.35">
      <c r="A34" s="2" t="s">
        <v>57</v>
      </c>
      <c r="B34" s="9">
        <v>0.12</v>
      </c>
      <c r="C34" s="4" t="s">
        <v>19</v>
      </c>
      <c r="D34" s="30" t="s">
        <v>58</v>
      </c>
      <c r="E34" s="31"/>
      <c r="F34" s="31"/>
    </row>
    <row r="35" spans="1:6" x14ac:dyDescent="0.35">
      <c r="A35" s="2" t="s">
        <v>59</v>
      </c>
      <c r="B35" s="9">
        <v>1.2</v>
      </c>
      <c r="C35" s="4" t="s">
        <v>6</v>
      </c>
      <c r="D35" s="30" t="s">
        <v>60</v>
      </c>
      <c r="E35" s="31"/>
      <c r="F35" s="31"/>
    </row>
    <row r="36" spans="1:6" x14ac:dyDescent="0.35">
      <c r="A36" s="2" t="s">
        <v>61</v>
      </c>
      <c r="B36" s="7">
        <v>200</v>
      </c>
      <c r="C36" s="4" t="s">
        <v>32</v>
      </c>
      <c r="D36" s="30" t="s">
        <v>62</v>
      </c>
      <c r="E36" s="31"/>
      <c r="F36" s="31"/>
    </row>
    <row r="37" spans="1:6" x14ac:dyDescent="0.35">
      <c r="A37" s="2" t="s">
        <v>63</v>
      </c>
      <c r="B37" s="7">
        <v>200</v>
      </c>
      <c r="C37" s="4" t="s">
        <v>32</v>
      </c>
      <c r="D37" s="30" t="s">
        <v>64</v>
      </c>
      <c r="E37" s="31"/>
      <c r="F37" s="31"/>
    </row>
    <row r="38" spans="1:6" x14ac:dyDescent="0.35">
      <c r="A38" s="2" t="s">
        <v>65</v>
      </c>
      <c r="B38" s="7">
        <v>12</v>
      </c>
      <c r="C38" s="4" t="s">
        <v>32</v>
      </c>
      <c r="D38" s="30" t="s">
        <v>66</v>
      </c>
      <c r="E38" s="31"/>
      <c r="F38" s="31"/>
    </row>
    <row r="39" spans="1:6" x14ac:dyDescent="0.35">
      <c r="A39" s="2" t="s">
        <v>67</v>
      </c>
      <c r="B39" s="7">
        <v>1</v>
      </c>
      <c r="C39" s="4" t="s">
        <v>68</v>
      </c>
      <c r="D39" s="30" t="s">
        <v>69</v>
      </c>
      <c r="E39" s="31"/>
      <c r="F39" s="31"/>
    </row>
    <row r="42" spans="1:6" ht="26" customHeight="1" x14ac:dyDescent="0.35">
      <c r="A42" s="38" t="s">
        <v>70</v>
      </c>
      <c r="B42" s="39"/>
      <c r="C42" s="39"/>
      <c r="D42" s="39"/>
      <c r="E42" s="39"/>
      <c r="F42" s="39"/>
    </row>
    <row r="43" spans="1:6" ht="20" customHeight="1" x14ac:dyDescent="0.35">
      <c r="A43" s="32" t="s">
        <v>71</v>
      </c>
      <c r="B43" s="33"/>
      <c r="C43" s="33"/>
      <c r="D43" s="33"/>
      <c r="E43" s="33"/>
      <c r="F43" s="33"/>
    </row>
    <row r="44" spans="1:6" x14ac:dyDescent="0.35">
      <c r="A44" s="2" t="s">
        <v>72</v>
      </c>
      <c r="B44" s="3" t="s">
        <v>73</v>
      </c>
      <c r="C44" s="4" t="s">
        <v>6</v>
      </c>
      <c r="D44" s="30" t="s">
        <v>74</v>
      </c>
      <c r="E44" s="31"/>
      <c r="F44" s="31"/>
    </row>
    <row r="45" spans="1:6" x14ac:dyDescent="0.35">
      <c r="A45" s="2" t="s">
        <v>75</v>
      </c>
      <c r="B45" s="10">
        <f>B9+1</f>
        <v>7</v>
      </c>
      <c r="C45" s="4" t="s">
        <v>76</v>
      </c>
      <c r="D45" s="30" t="s">
        <v>77</v>
      </c>
      <c r="E45" s="31"/>
      <c r="F45" s="31"/>
    </row>
    <row r="46" spans="1:6" x14ac:dyDescent="0.35">
      <c r="A46" s="2" t="s">
        <v>78</v>
      </c>
      <c r="B46" s="10">
        <f>B9</f>
        <v>6</v>
      </c>
      <c r="C46" s="4" t="s">
        <v>76</v>
      </c>
      <c r="D46" s="30" t="s">
        <v>79</v>
      </c>
      <c r="E46" s="31"/>
      <c r="F46" s="31"/>
    </row>
    <row r="47" spans="1:6" ht="20" customHeight="1" x14ac:dyDescent="0.35">
      <c r="A47" s="32" t="s">
        <v>80</v>
      </c>
      <c r="B47" s="33"/>
      <c r="C47" s="33"/>
      <c r="D47" s="33"/>
      <c r="E47" s="33"/>
      <c r="F47" s="33"/>
    </row>
    <row r="48" spans="1:6" x14ac:dyDescent="0.35">
      <c r="A48" s="2" t="s">
        <v>81</v>
      </c>
      <c r="B48" s="9">
        <f>SUM(B12:B14)</f>
        <v>40.67</v>
      </c>
      <c r="C48" s="4" t="s">
        <v>19</v>
      </c>
      <c r="D48" s="30" t="s">
        <v>82</v>
      </c>
      <c r="E48" s="31"/>
      <c r="F48" s="31"/>
    </row>
    <row r="49" spans="1:6" x14ac:dyDescent="0.35">
      <c r="A49" s="2" t="s">
        <v>83</v>
      </c>
      <c r="B49" s="11">
        <f>ROUND(B48*B15, 2)</f>
        <v>406.7</v>
      </c>
      <c r="C49" s="4" t="s">
        <v>84</v>
      </c>
      <c r="D49" s="30" t="str">
        <f>"Εμβαδόν A = " &amp; B48 &amp; " m × " &amp; B15 &amp; " m"</f>
        <v>Εμβαδόν A = 40.67 m × 10 m</v>
      </c>
      <c r="E49" s="31"/>
      <c r="F49" s="31"/>
    </row>
    <row r="50" spans="1:6" x14ac:dyDescent="0.35">
      <c r="A50" s="2" t="str">
        <f>"Τρέχοντα Μέτρα Ράβδων (" &amp; B20 &amp; "×" &amp; B21 &amp; " mm) σε 1 m²"</f>
        <v>Τρέχοντα Μέτρα Ράβδων (200×200 mm) σε 1 m²</v>
      </c>
      <c r="B50" s="9">
        <f>(1000/B20)+(1000/B21)</f>
        <v>10</v>
      </c>
      <c r="C50" s="4" t="s">
        <v>85</v>
      </c>
      <c r="D50" s="30" t="str">
        <f>"1000/" &amp; B20 &amp; " + 1000/" &amp; B21 &amp; " m/m²"</f>
        <v>1000/200 + 1000/200 m/m²</v>
      </c>
      <c r="E50" s="31"/>
      <c r="F50" s="31"/>
    </row>
    <row r="51" spans="1:6" x14ac:dyDescent="0.35">
      <c r="A51" s="2" t="str">
        <f>"Θεωρητικό Βάρος Ράβδου Y" &amp; B19 &amp; " ανά Μέτρο"</f>
        <v>Θεωρητικό Βάρος Ράβδου Y8 ανά Μέτρο</v>
      </c>
      <c r="B51" s="12">
        <f>(PI()*((B19/1000)^2)/4)*7850</f>
        <v>0.39458403729087799</v>
      </c>
      <c r="C51" s="4" t="s">
        <v>86</v>
      </c>
      <c r="D51" s="30" t="str">
        <f>"π * (" &amp; B19 &amp; "/1000)² / 4 * 7850"</f>
        <v>π * (8/1000)² / 4 * 7850</v>
      </c>
      <c r="E51" s="31"/>
      <c r="F51" s="31"/>
    </row>
    <row r="52" spans="1:6" x14ac:dyDescent="0.35">
      <c r="A52" s="2" t="s">
        <v>87</v>
      </c>
      <c r="B52" s="12">
        <f>ROUND(B50*B51, 3)</f>
        <v>3.9460000000000002</v>
      </c>
      <c r="C52" s="4" t="s">
        <v>88</v>
      </c>
      <c r="D52" s="30" t="s">
        <v>89</v>
      </c>
      <c r="E52" s="31"/>
      <c r="F52" s="31"/>
    </row>
    <row r="53" spans="1:6" x14ac:dyDescent="0.35">
      <c r="A53" s="2" t="str">
        <f>"ΣΥΝΟΛΙΚΟ ΒΑΡΟΣ ΧΑΛΥΒΑ ΣΧΑΡΩΝ (Y" &amp; B19 &amp; ") ΕΡΓΟΥ"</f>
        <v>ΣΥΝΟΛΙΚΟ ΒΑΡΟΣ ΧΑΛΥΒΑ ΣΧΑΡΩΝ (Y8) ΕΡΓΟΥ</v>
      </c>
      <c r="B53" s="11">
        <f>ROUND(B49*B52, 2)</f>
        <v>1604.84</v>
      </c>
      <c r="C53" s="4" t="s">
        <v>90</v>
      </c>
      <c r="D53" s="30" t="s">
        <v>91</v>
      </c>
      <c r="E53" s="31"/>
      <c r="F53" s="31"/>
    </row>
    <row r="54" spans="1:6" ht="20" customHeight="1" x14ac:dyDescent="0.35">
      <c r="A54" s="32" t="s">
        <v>92</v>
      </c>
      <c r="B54" s="33"/>
      <c r="C54" s="33"/>
      <c r="D54" s="33"/>
      <c r="E54" s="33"/>
      <c r="F54" s="33"/>
    </row>
    <row r="55" spans="1:6" x14ac:dyDescent="0.35">
      <c r="A55" s="2" t="s">
        <v>42</v>
      </c>
      <c r="B55" s="9">
        <f>B25</f>
        <v>0.12</v>
      </c>
      <c r="C55" s="4" t="s">
        <v>19</v>
      </c>
      <c r="D55" s="30" t="s">
        <v>93</v>
      </c>
      <c r="E55" s="31"/>
      <c r="F55" s="31"/>
    </row>
    <row r="56" spans="1:6" x14ac:dyDescent="0.35">
      <c r="A56" s="2" t="s">
        <v>94</v>
      </c>
      <c r="B56" s="13">
        <f>B26/B25</f>
        <v>0.41666666666666669</v>
      </c>
      <c r="C56" s="4" t="s">
        <v>95</v>
      </c>
      <c r="D56" s="30" t="str">
        <f>"Απώλεια " &amp; B26 &amp; "m / Ονομαστικό " &amp; B25 &amp; "m = +41.67% (χρεώνεται στα €/m³)"</f>
        <v>Απώλεια 0.05m / Ονομαστικό 0.12m = +41.67% (χρεώνεται στα €/m³)</v>
      </c>
      <c r="E56" s="31"/>
      <c r="F56" s="31"/>
    </row>
    <row r="57" spans="1:6" x14ac:dyDescent="0.35">
      <c r="A57" s="2" t="str">
        <f>"ΣΥΝΟΛΙΚΟΣ ΟΓΚΟΣ SHOTCRETE (" &amp; B24 &amp; ") ΕΡΓΟΥ (ΟΝΟΜΑΣΤΙΚΟΣ)"</f>
        <v>ΣΥΝΟΛΙΚΟΣ ΟΓΚΟΣ SHOTCRETE (C30/37) ΕΡΓΟΥ (ΟΝΟΜΑΣΤΙΚΟΣ)</v>
      </c>
      <c r="B57" s="11">
        <f>ROUND(B49*B25, 2)</f>
        <v>48.8</v>
      </c>
      <c r="C57" s="4" t="s">
        <v>96</v>
      </c>
      <c r="D57" s="30" t="str">
        <f>"Εμβαδόν " &amp; B49 &amp; " m² × " &amp; B25 &amp; " m ονομαστικό πάχος (η απώλεια χρεώνεται στα €)"</f>
        <v>Εμβαδόν 406.7 m² × 0.12 m ονομαστικό πάχος (η απώλεια χρεώνεται στα €)</v>
      </c>
      <c r="E57" s="31"/>
      <c r="F57" s="31"/>
    </row>
    <row r="58" spans="1:6" ht="20" customHeight="1" x14ac:dyDescent="0.35">
      <c r="A58" s="32" t="s">
        <v>97</v>
      </c>
      <c r="B58" s="33"/>
      <c r="C58" s="33"/>
      <c r="D58" s="33"/>
      <c r="E58" s="33"/>
      <c r="F58" s="33"/>
    </row>
    <row r="59" spans="1:6" x14ac:dyDescent="0.35">
      <c r="A59" s="2" t="s">
        <v>98</v>
      </c>
      <c r="B59" s="10">
        <f>ROUNDUP(B48/B31, 0)</f>
        <v>41</v>
      </c>
      <c r="C59" s="4" t="s">
        <v>99</v>
      </c>
      <c r="D59" s="30" t="str">
        <f>"Μήκος " &amp; B48 &amp; "m / Βήμα " &amp; B31 &amp; "m"</f>
        <v>Μήκος 40.67m / Βήμα 1m</v>
      </c>
      <c r="E59" s="31"/>
      <c r="F59" s="31"/>
    </row>
    <row r="60" spans="1:6" x14ac:dyDescent="0.35">
      <c r="A60" s="2" t="s">
        <v>100</v>
      </c>
      <c r="B60" s="10">
        <f>B59*3</f>
        <v>123</v>
      </c>
      <c r="C60" s="4" t="s">
        <v>101</v>
      </c>
      <c r="D60" s="30" t="s">
        <v>102</v>
      </c>
      <c r="E60" s="31"/>
      <c r="F60" s="31"/>
    </row>
    <row r="61" spans="1:6" x14ac:dyDescent="0.35">
      <c r="A61" s="2" t="s">
        <v>103</v>
      </c>
      <c r="B61" s="9">
        <f>B60*B30</f>
        <v>861</v>
      </c>
      <c r="C61" s="4" t="s">
        <v>19</v>
      </c>
      <c r="D61" s="30" t="str">
        <f>"123 ήλοι × " &amp; B30 &amp; " m"</f>
        <v>123 ήλοι × 7 m</v>
      </c>
      <c r="E61" s="31"/>
      <c r="F61" s="31"/>
    </row>
    <row r="62" spans="1:6" x14ac:dyDescent="0.35">
      <c r="A62" s="2" t="s">
        <v>104</v>
      </c>
      <c r="B62" s="10">
        <f>ROUNDUP(B48/B33, 0)</f>
        <v>28</v>
      </c>
      <c r="C62" s="4" t="s">
        <v>99</v>
      </c>
      <c r="D62" s="30" t="str">
        <f>"Μήκος " &amp; B48 &amp; "m / Βήμα " &amp; B33 &amp; "m"</f>
        <v>Μήκος 40.67m / Βήμα 1.5m</v>
      </c>
      <c r="E62" s="31"/>
      <c r="F62" s="31"/>
    </row>
    <row r="63" spans="1:6" x14ac:dyDescent="0.35">
      <c r="A63" s="2" t="s">
        <v>105</v>
      </c>
      <c r="B63" s="10">
        <f>B62*3</f>
        <v>84</v>
      </c>
      <c r="C63" s="4" t="s">
        <v>101</v>
      </c>
      <c r="D63" s="30" t="s">
        <v>106</v>
      </c>
      <c r="E63" s="31"/>
      <c r="F63" s="31"/>
    </row>
    <row r="64" spans="1:6" x14ac:dyDescent="0.35">
      <c r="A64" s="2" t="s">
        <v>107</v>
      </c>
      <c r="B64" s="9">
        <f>B63*B32</f>
        <v>504</v>
      </c>
      <c r="C64" s="4" t="s">
        <v>19</v>
      </c>
      <c r="D64" s="30" t="str">
        <f>"63 ήλοι × " &amp; B32 &amp; " m"</f>
        <v>63 ήλοι × 6 m</v>
      </c>
      <c r="E64" s="31"/>
      <c r="F64" s="31"/>
    </row>
    <row r="65" spans="1:6" x14ac:dyDescent="0.35">
      <c r="A65" s="2" t="s">
        <v>108</v>
      </c>
      <c r="B65" s="14">
        <f>B60+B63</f>
        <v>207</v>
      </c>
      <c r="C65" s="4" t="s">
        <v>101</v>
      </c>
      <c r="D65" s="30" t="s">
        <v>109</v>
      </c>
      <c r="E65" s="31"/>
      <c r="F65" s="31"/>
    </row>
    <row r="66" spans="1:6" x14ac:dyDescent="0.35">
      <c r="A66" s="2" t="s">
        <v>110</v>
      </c>
      <c r="B66" s="11">
        <f>B61+B64</f>
        <v>1365</v>
      </c>
      <c r="C66" s="4" t="s">
        <v>19</v>
      </c>
      <c r="D66" s="30" t="s">
        <v>111</v>
      </c>
      <c r="E66" s="31"/>
      <c r="F66" s="31"/>
    </row>
    <row r="67" spans="1:6" x14ac:dyDescent="0.35">
      <c r="A67" s="2" t="str">
        <f>"Θεωρητικό Βάρος Ράβδου Y" &amp; B29 &amp; " ανά Μέτρο"</f>
        <v>Θεωρητικό Βάρος Ράβδου Y25 ανά Μέτρο</v>
      </c>
      <c r="B67" s="12">
        <f>(PI()*((B29/1000)^2)/4)*7850</f>
        <v>3.8533597391687309</v>
      </c>
      <c r="C67" s="4" t="s">
        <v>86</v>
      </c>
      <c r="D67" s="30" t="str">
        <f>"π * (" &amp; B29 &amp; "/1000)² / 4 * 7850"</f>
        <v>π * (25/1000)² / 4 * 7850</v>
      </c>
      <c r="E67" s="31"/>
      <c r="F67" s="31"/>
    </row>
    <row r="68" spans="1:6" x14ac:dyDescent="0.35">
      <c r="A68" s="2" t="str">
        <f>"ΣΥΝΟΛΙΚΟ ΒΑΡΟΣ ΧΑΛΥΒΑ ΗΛΩΝ (Y" &amp; B29 &amp; ") ΕΡΓΟΥ"</f>
        <v>ΣΥΝΟΛΙΚΟ ΒΑΡΟΣ ΧΑΛΥΒΑ ΗΛΩΝ (Y25) ΕΡΓΟΥ</v>
      </c>
      <c r="B68" s="11">
        <f>ROUND(B66*B67, 2)</f>
        <v>5259.84</v>
      </c>
      <c r="C68" s="4" t="s">
        <v>90</v>
      </c>
      <c r="D68" s="30" t="s">
        <v>112</v>
      </c>
      <c r="E68" s="31"/>
      <c r="F68" s="31"/>
    </row>
    <row r="69" spans="1:6" x14ac:dyDescent="0.35">
      <c r="A69" s="2" t="s">
        <v>113</v>
      </c>
      <c r="B69" s="15">
        <f>PI()*((B34/2)^2)*B35</f>
        <v>1.3571680263507906E-2</v>
      </c>
      <c r="C69" s="4" t="s">
        <v>114</v>
      </c>
      <c r="D69" s="30" t="s">
        <v>115</v>
      </c>
      <c r="E69" s="31"/>
      <c r="F69" s="31"/>
    </row>
    <row r="70" spans="1:6" x14ac:dyDescent="0.35">
      <c r="A70" s="2" t="s">
        <v>116</v>
      </c>
      <c r="B70" s="11">
        <f>ROUND(B66*B69, 2)</f>
        <v>18.53</v>
      </c>
      <c r="C70" s="4" t="s">
        <v>96</v>
      </c>
      <c r="D70" s="30" t="str">
        <f>"Μέτρα " &amp; B66 &amp; " m × " &amp; TEXT(B69, "0.0000") &amp; " m³/m"</f>
        <v>Μέτρα 1365 m × 0.0136 m³/m</v>
      </c>
      <c r="E70" s="31"/>
      <c r="F70" s="31"/>
    </row>
    <row r="71" spans="1:6" x14ac:dyDescent="0.35">
      <c r="A71" s="2" t="s">
        <v>117</v>
      </c>
      <c r="B71" s="10">
        <f>(B36/1000)*(B37/1000)*(B38/1000)</f>
        <v>4.8000000000000012E-4</v>
      </c>
      <c r="C71" s="4" t="s">
        <v>118</v>
      </c>
      <c r="D71" s="30" t="str">
        <f>"V = (" &amp; B36 &amp; "/1000) × (" &amp; B37 &amp; "/1000) × (" &amp; B38 &amp; "/1000)"</f>
        <v>V = (200/1000) × (200/1000) × (12/1000)</v>
      </c>
      <c r="E71" s="31"/>
      <c r="F71" s="31"/>
    </row>
    <row r="72" spans="1:6" x14ac:dyDescent="0.35">
      <c r="A72" s="2" t="s">
        <v>119</v>
      </c>
      <c r="B72" s="10">
        <f>ROUND(B71*7850, 3)</f>
        <v>3.7679999999999998</v>
      </c>
      <c r="C72" s="4" t="s">
        <v>120</v>
      </c>
      <c r="D72" s="30" t="s">
        <v>121</v>
      </c>
      <c r="E72" s="31"/>
      <c r="F72" s="31"/>
    </row>
    <row r="73" spans="1:6" x14ac:dyDescent="0.35">
      <c r="A73" s="2" t="s">
        <v>122</v>
      </c>
      <c r="B73" s="10">
        <f>B65</f>
        <v>207</v>
      </c>
      <c r="C73" s="4" t="s">
        <v>101</v>
      </c>
      <c r="D73" s="30" t="s">
        <v>123</v>
      </c>
      <c r="E73" s="31"/>
      <c r="F73" s="31"/>
    </row>
    <row r="74" spans="1:6" x14ac:dyDescent="0.35">
      <c r="A74" s="2" t="str">
        <f>"ΣΥΝΟΛΙΚΟ ΒΑΡΟΣ ΠΛΑΚΩΝ (" &amp; B36 &amp; "×" &amp; B37 &amp; "×" &amp; B38 &amp; "mm) ΕΡΓΟΥ"</f>
        <v>ΣΥΝΟΛΙΚΟ ΒΑΡΟΣ ΠΛΑΚΩΝ (200×200×12mm) ΕΡΓΟΥ</v>
      </c>
      <c r="B74" s="11">
        <f>ROUND(B73*B72, 2)</f>
        <v>779.98</v>
      </c>
      <c r="C74" s="4" t="s">
        <v>90</v>
      </c>
      <c r="D74" s="30" t="s">
        <v>124</v>
      </c>
      <c r="E74" s="31"/>
      <c r="F74" s="31"/>
    </row>
    <row r="75" spans="1:6" x14ac:dyDescent="0.35">
      <c r="A75" s="2" t="s">
        <v>125</v>
      </c>
      <c r="B75" s="14">
        <f>B65*B39</f>
        <v>207</v>
      </c>
      <c r="C75" s="4" t="s">
        <v>101</v>
      </c>
      <c r="D75" s="30" t="s">
        <v>126</v>
      </c>
      <c r="E75" s="31"/>
      <c r="F75" s="31"/>
    </row>
  </sheetData>
  <mergeCells count="67">
    <mergeCell ref="D32:F32"/>
    <mergeCell ref="D61:F61"/>
    <mergeCell ref="D70:F70"/>
    <mergeCell ref="D48:F48"/>
    <mergeCell ref="D66:F66"/>
    <mergeCell ref="D60:F60"/>
    <mergeCell ref="D69:F69"/>
    <mergeCell ref="D34:F34"/>
    <mergeCell ref="D63:F63"/>
    <mergeCell ref="D75:F75"/>
    <mergeCell ref="D7:F7"/>
    <mergeCell ref="D53:F53"/>
    <mergeCell ref="D68:F68"/>
    <mergeCell ref="D72:F72"/>
    <mergeCell ref="A47:F47"/>
    <mergeCell ref="A42:F42"/>
    <mergeCell ref="D37:F37"/>
    <mergeCell ref="D71:F71"/>
    <mergeCell ref="D74:F74"/>
    <mergeCell ref="D64:F64"/>
    <mergeCell ref="D67:F67"/>
    <mergeCell ref="A58:F58"/>
    <mergeCell ref="D44:F44"/>
    <mergeCell ref="D57:F57"/>
    <mergeCell ref="D59:F59"/>
    <mergeCell ref="D62:F62"/>
    <mergeCell ref="D12:F12"/>
    <mergeCell ref="D18:F18"/>
    <mergeCell ref="D56:F56"/>
    <mergeCell ref="D9:F9"/>
    <mergeCell ref="A17:F17"/>
    <mergeCell ref="D33:F33"/>
    <mergeCell ref="D39:F39"/>
    <mergeCell ref="D55:F55"/>
    <mergeCell ref="A43:F43"/>
    <mergeCell ref="D51:F51"/>
    <mergeCell ref="D38:F38"/>
    <mergeCell ref="D35:F35"/>
    <mergeCell ref="D50:F50"/>
    <mergeCell ref="A54:F54"/>
    <mergeCell ref="D13:F13"/>
    <mergeCell ref="D29:F29"/>
    <mergeCell ref="D26:F26"/>
    <mergeCell ref="D20:F20"/>
    <mergeCell ref="A5:F5"/>
    <mergeCell ref="A23:F23"/>
    <mergeCell ref="D25:F25"/>
    <mergeCell ref="D15:F15"/>
    <mergeCell ref="D24:F24"/>
    <mergeCell ref="D14:F14"/>
    <mergeCell ref="A28:F28"/>
    <mergeCell ref="D73:F73"/>
    <mergeCell ref="A11:F11"/>
    <mergeCell ref="D19:F19"/>
    <mergeCell ref="D31:F31"/>
    <mergeCell ref="A1:F1"/>
    <mergeCell ref="D46:F46"/>
    <mergeCell ref="D65:F65"/>
    <mergeCell ref="D36:F36"/>
    <mergeCell ref="D45:F45"/>
    <mergeCell ref="D52:F52"/>
    <mergeCell ref="D21:F21"/>
    <mergeCell ref="D6:F6"/>
    <mergeCell ref="D49:F49"/>
    <mergeCell ref="A4:F4"/>
    <mergeCell ref="D30:F30"/>
    <mergeCell ref="D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abSelected="1" topLeftCell="A4" workbookViewId="0">
      <selection activeCell="B16" sqref="B16"/>
    </sheetView>
  </sheetViews>
  <sheetFormatPr defaultRowHeight="14.5" x14ac:dyDescent="0.35"/>
  <cols>
    <col min="1" max="1" width="44" customWidth="1"/>
    <col min="2" max="2" width="18" customWidth="1"/>
    <col min="3" max="3" width="14" customWidth="1"/>
    <col min="4" max="5" width="22" customWidth="1"/>
    <col min="6" max="6" width="26" customWidth="1"/>
    <col min="7" max="7" width="28" customWidth="1"/>
  </cols>
  <sheetData>
    <row r="1" spans="1:7" ht="30" customHeight="1" x14ac:dyDescent="0.35">
      <c r="A1" s="34" t="s">
        <v>127</v>
      </c>
      <c r="B1" s="35"/>
      <c r="C1" s="35"/>
      <c r="D1" s="35"/>
      <c r="E1" s="35"/>
      <c r="F1" s="35"/>
      <c r="G1" s="35"/>
    </row>
    <row r="2" spans="1:7" x14ac:dyDescent="0.35">
      <c r="A2" s="1" t="s">
        <v>128</v>
      </c>
    </row>
    <row r="4" spans="1:7" ht="22" customHeight="1" x14ac:dyDescent="0.35">
      <c r="A4" s="16" t="s">
        <v>129</v>
      </c>
      <c r="B4" s="16" t="s">
        <v>130</v>
      </c>
      <c r="C4" s="16" t="s">
        <v>131</v>
      </c>
      <c r="D4" s="16" t="s">
        <v>132</v>
      </c>
      <c r="E4" s="16" t="s">
        <v>133</v>
      </c>
      <c r="F4" s="16" t="s">
        <v>134</v>
      </c>
    </row>
    <row r="5" spans="1:7" ht="24" customHeight="1" x14ac:dyDescent="0.35">
      <c r="A5" s="47" t="s">
        <v>135</v>
      </c>
      <c r="B5" s="48"/>
      <c r="C5" s="48"/>
      <c r="D5" s="48"/>
      <c r="E5" s="48"/>
      <c r="F5" s="48"/>
    </row>
    <row r="6" spans="1:7" x14ac:dyDescent="0.35">
      <c r="A6" s="2" t="s">
        <v>136</v>
      </c>
      <c r="B6" s="10">
        <f>'1_Στοιχεία_Μελέτης_&amp;_Ποσότητες'!B45</f>
        <v>7</v>
      </c>
      <c r="C6" s="4" t="s">
        <v>76</v>
      </c>
      <c r="D6" s="17">
        <v>200</v>
      </c>
      <c r="E6" s="18">
        <f>B6*D6</f>
        <v>1400</v>
      </c>
      <c r="F6" s="5" t="s">
        <v>137</v>
      </c>
    </row>
    <row r="7" spans="1:7" x14ac:dyDescent="0.35">
      <c r="A7" s="2" t="s">
        <v>138</v>
      </c>
      <c r="B7" s="10">
        <f>'1_Στοιχεία_Μελέτης_&amp;_Ποσότητες'!B46</f>
        <v>6</v>
      </c>
      <c r="C7" s="4" t="s">
        <v>76</v>
      </c>
      <c r="D7" s="17">
        <v>300</v>
      </c>
      <c r="E7" s="18">
        <f>B7*D7</f>
        <v>1800</v>
      </c>
      <c r="F7" s="5" t="s">
        <v>139</v>
      </c>
    </row>
    <row r="8" spans="1:7" x14ac:dyDescent="0.35">
      <c r="A8" s="49" t="s">
        <v>140</v>
      </c>
      <c r="B8" s="50"/>
      <c r="C8" s="50"/>
      <c r="D8" s="50"/>
      <c r="E8" s="20">
        <f>SUM(E6:E7)</f>
        <v>3200</v>
      </c>
      <c r="F8" s="19"/>
    </row>
    <row r="10" spans="1:7" ht="24" customHeight="1" x14ac:dyDescent="0.35">
      <c r="A10" s="47" t="s">
        <v>141</v>
      </c>
      <c r="B10" s="48"/>
      <c r="C10" s="48"/>
      <c r="D10" s="48"/>
      <c r="E10" s="48"/>
      <c r="F10" s="48"/>
    </row>
    <row r="11" spans="1:7" x14ac:dyDescent="0.35">
      <c r="A11" s="2" t="str">
        <f>"Αγορά Χάλυβα Σχάρας (Y" &amp; '1_Στοιχεία_Μελέτης_&amp;_Ποσότητες'!B19 &amp; " " &amp; '1_Στοιχεία_Μελέτης_&amp;_Ποσότητες'!B18 &amp; ")"</f>
        <v>Αγορά Χάλυβα Σχάρας (Y8 B500A Δομικό Πλέγμα)</v>
      </c>
      <c r="B11" s="9">
        <f>'1_Στοιχεία_Μελέτης_&amp;_Ποσότητες'!B53</f>
        <v>1604.84</v>
      </c>
      <c r="C11" s="4" t="s">
        <v>90</v>
      </c>
      <c r="D11" s="17">
        <v>2.5</v>
      </c>
      <c r="E11" s="18">
        <f>B11*D11</f>
        <v>4012.1</v>
      </c>
      <c r="F11" s="5" t="str">
        <f>"Από Φύλλο 1 (" &amp; TEXT(B11, "#,##0.00") &amp; " kg) × 2.50 €/kg"</f>
        <v>Από Φύλλο 1 (1,604.84 kg) × 2.50 €/kg</v>
      </c>
    </row>
    <row r="12" spans="1:7" x14ac:dyDescent="0.35">
      <c r="A12" s="2" t="s">
        <v>142</v>
      </c>
      <c r="B12" s="9">
        <f>'1_Στοιχεία_Μελέτης_&amp;_Ποσότητες'!B49</f>
        <v>406.7</v>
      </c>
      <c r="C12" s="4" t="s">
        <v>84</v>
      </c>
      <c r="D12" s="17">
        <v>15</v>
      </c>
      <c r="E12" s="18">
        <f>B12*D12</f>
        <v>6100.5</v>
      </c>
      <c r="F12" s="5" t="str">
        <f>"Από Φύλλο 1 (" &amp; TEXT(B12, "#,##0.00") &amp; " m²) × 15.00 €/m²"</f>
        <v>Από Φύλλο 1 (406.70 m²) × 15.00 €/m²</v>
      </c>
    </row>
    <row r="13" spans="1:7" x14ac:dyDescent="0.35">
      <c r="A13" s="49" t="s">
        <v>143</v>
      </c>
      <c r="B13" s="50"/>
      <c r="C13" s="50"/>
      <c r="D13" s="50"/>
      <c r="E13" s="20">
        <f>SUM(E11:E12)</f>
        <v>10112.6</v>
      </c>
      <c r="F13" s="19"/>
    </row>
    <row r="15" spans="1:7" ht="24" customHeight="1" x14ac:dyDescent="0.35">
      <c r="A15" s="47" t="s">
        <v>144</v>
      </c>
      <c r="B15" s="48"/>
      <c r="C15" s="48"/>
      <c r="D15" s="48"/>
      <c r="E15" s="48"/>
      <c r="F15" s="48"/>
    </row>
    <row r="16" spans="1:7" x14ac:dyDescent="0.35">
      <c r="A16" s="2" t="str">
        <f>"Αγορά Σκυροδέματος Shotcrete (" &amp; '1_Στοιχεία_Μελέτης_&amp;_Ποσότητες'!B24 &amp; ")"</f>
        <v>Αγορά Σκυροδέματος Shotcrete (C30/37)</v>
      </c>
      <c r="B16" s="9">
        <f>'1_Στοιχεία_Μελέτης_&amp;_Ποσότητες'!B57</f>
        <v>48.8</v>
      </c>
      <c r="C16" s="4" t="s">
        <v>96</v>
      </c>
      <c r="D16" s="17">
        <v>90</v>
      </c>
      <c r="E16" s="18">
        <f>B16*D16</f>
        <v>4392</v>
      </c>
      <c r="F16" s="5" t="s">
        <v>145</v>
      </c>
    </row>
    <row r="17" spans="1:6" x14ac:dyDescent="0.35">
      <c r="A17" s="2" t="s">
        <v>146</v>
      </c>
      <c r="B17" s="9">
        <f>'1_Στοιχεία_Μελέτης_&amp;_Ποσότητες'!B57</f>
        <v>48.8</v>
      </c>
      <c r="C17" s="4" t="s">
        <v>96</v>
      </c>
      <c r="D17" s="17">
        <f>ROUND((IF(B16&gt;7, 200, 250)*(1+'1_Στοιχεία_Μελέτης_&amp;_Ποσότητες'!B56))-90, 2)</f>
        <v>193.33</v>
      </c>
      <c r="E17" s="18">
        <f>B17*D17</f>
        <v>9434.5040000000008</v>
      </c>
      <c r="F17" s="5" t="str">
        <f>"Βάση " &amp; IF(B16&gt;7,200,250) &amp; "€ × (1+" &amp; TEXT('1_Στοιχεία_Μελέτης_&amp;_Ποσότητες'!B56, "0.0%") &amp; " απώλεια) - 90€ αγορά"</f>
        <v>Βάση 200€ × (1+41.7% απώλεια) - 90€ αγορά</v>
      </c>
    </row>
    <row r="18" spans="1:6" x14ac:dyDescent="0.35">
      <c r="A18" s="49" t="s">
        <v>147</v>
      </c>
      <c r="B18" s="50"/>
      <c r="C18" s="50"/>
      <c r="D18" s="50"/>
      <c r="E18" s="20">
        <f>SUM(E16:E17)</f>
        <v>13826.504000000001</v>
      </c>
      <c r="F18" s="19"/>
    </row>
    <row r="20" spans="1:6" ht="24" customHeight="1" x14ac:dyDescent="0.35">
      <c r="A20" s="47" t="s">
        <v>148</v>
      </c>
      <c r="B20" s="48"/>
      <c r="C20" s="48"/>
      <c r="D20" s="48"/>
      <c r="E20" s="48"/>
      <c r="F20" s="48"/>
    </row>
    <row r="21" spans="1:6" x14ac:dyDescent="0.35">
      <c r="A21" s="2" t="s">
        <v>149</v>
      </c>
      <c r="B21" s="9">
        <f>'1_Στοιχεία_Μελέτης_&amp;_Ποσότητες'!B66</f>
        <v>1365</v>
      </c>
      <c r="C21" s="4" t="s">
        <v>19</v>
      </c>
      <c r="D21" s="17">
        <v>25</v>
      </c>
      <c r="E21" s="18">
        <f t="shared" ref="E21:E26" si="0">B21*D21</f>
        <v>34125</v>
      </c>
      <c r="F21" s="5" t="str">
        <f>"Από Φύλλο 1 (" &amp; TEXT(B21, "#,##0.00") &amp; " m) × 25.00 €/m"</f>
        <v>Από Φύλλο 1 (1,365.00 m) × 25.00 €/m</v>
      </c>
    </row>
    <row r="22" spans="1:6" x14ac:dyDescent="0.35">
      <c r="A22" s="2" t="s">
        <v>150</v>
      </c>
      <c r="B22" s="9">
        <f>'1_Στοιχεία_Μελέτης_&amp;_Ποσότητες'!B70</f>
        <v>18.53</v>
      </c>
      <c r="C22" s="4" t="s">
        <v>96</v>
      </c>
      <c r="D22" s="17">
        <v>500</v>
      </c>
      <c r="E22" s="18">
        <f t="shared" si="0"/>
        <v>9265</v>
      </c>
      <c r="F22" s="5" t="str">
        <f>"Από Φύλλο 1 (" &amp; TEXT(B22, "#,##0.00") &amp; " m³) × 500.00 €/m³"</f>
        <v>Από Φύλλο 1 (18.53 m³) × 500.00 €/m³</v>
      </c>
    </row>
    <row r="23" spans="1:6" x14ac:dyDescent="0.35">
      <c r="A23" s="2" t="str">
        <f>"4.3 Χάλυβας Ήλων B500C (Y" &amp; '1_Στοιχεία_Μελέτης_&amp;_Ποσότητες'!B29 &amp; ")"</f>
        <v>4.3 Χάλυβας Ήλων B500C (Y25)</v>
      </c>
      <c r="B23" s="9">
        <f>'1_Στοιχεία_Μελέτης_&amp;_Ποσότητες'!B68</f>
        <v>5259.84</v>
      </c>
      <c r="C23" s="4" t="s">
        <v>90</v>
      </c>
      <c r="D23" s="17">
        <v>1.5</v>
      </c>
      <c r="E23" s="18">
        <f t="shared" si="0"/>
        <v>7889.76</v>
      </c>
      <c r="F23" s="5" t="str">
        <f>"Από Φύλλο 1 (" &amp; TEXT(B23, "#,##0.00") &amp; " kg) × 1.50 €/kg"</f>
        <v>Από Φύλλο 1 (5,259.84 kg) × 1.50 €/kg</v>
      </c>
    </row>
    <row r="24" spans="1:6" x14ac:dyDescent="0.35">
      <c r="A24" s="2" t="s">
        <v>151</v>
      </c>
      <c r="B24" s="10">
        <f>'1_Στοιχεία_Μελέτης_&amp;_Ποσότητες'!B65</f>
        <v>207</v>
      </c>
      <c r="C24" s="4" t="s">
        <v>101</v>
      </c>
      <c r="D24" s="17">
        <v>20</v>
      </c>
      <c r="E24" s="18">
        <f t="shared" si="0"/>
        <v>4140</v>
      </c>
      <c r="F24" s="5" t="str">
        <f>"Από Φύλλο 1 (" &amp; TEXT(B24, "#,##0") &amp; " ήλοι) × 20.00 €/τεμ"</f>
        <v>Από Φύλλο 1 (207 ήλοι) × 20.00 €/τεμ</v>
      </c>
    </row>
    <row r="25" spans="1:6" x14ac:dyDescent="0.35">
      <c r="A25" s="2" t="str">
        <f>"4.5 Πλάκες Έδρασης (" &amp; '1_Στοιχεία_Μελέτης_&amp;_Ποσότητες'!B36 &amp; "×" &amp; '1_Στοιχεία_Μελέτης_&amp;_Ποσότητες'!B37 &amp; "×" &amp; '1_Στοιχεία_Μελέτης_&amp;_Ποσότητες'!B38 &amp; "mm)"</f>
        <v>4.5 Πλάκες Έδρασης (200×200×12mm)</v>
      </c>
      <c r="B25" s="9">
        <f>'1_Στοιχεία_Μελέτης_&amp;_Ποσότητες'!B74</f>
        <v>779.98</v>
      </c>
      <c r="C25" s="4" t="s">
        <v>90</v>
      </c>
      <c r="D25" s="17">
        <v>2</v>
      </c>
      <c r="E25" s="18">
        <f t="shared" si="0"/>
        <v>1559.96</v>
      </c>
      <c r="F25" s="5" t="str">
        <f>"Από Φύλλο 1 (" &amp; TEXT(B25, "#,##0.00") &amp; " kg) × 2.00 €/kg"</f>
        <v>Από Φύλλο 1 (779.98 kg) × 2.00 €/kg</v>
      </c>
    </row>
    <row r="26" spans="1:6" x14ac:dyDescent="0.35">
      <c r="A26" s="2" t="s">
        <v>152</v>
      </c>
      <c r="B26" s="10">
        <f>'1_Στοιχεία_Μελέτης_&amp;_Ποσότητες'!B75</f>
        <v>207</v>
      </c>
      <c r="C26" s="4" t="s">
        <v>101</v>
      </c>
      <c r="D26" s="17">
        <v>5</v>
      </c>
      <c r="E26" s="18">
        <f t="shared" si="0"/>
        <v>1035</v>
      </c>
      <c r="F26" s="5" t="str">
        <f>"Από Φύλλο 1 (" &amp; TEXT(B26, "#,##0") &amp; " nuts) × 5.00 €/τεμ"</f>
        <v>Από Φύλλο 1 (207 nuts) × 5.00 €/τεμ</v>
      </c>
    </row>
    <row r="27" spans="1:6" x14ac:dyDescent="0.35">
      <c r="A27" s="49" t="s">
        <v>153</v>
      </c>
      <c r="B27" s="50"/>
      <c r="C27" s="50"/>
      <c r="D27" s="50"/>
      <c r="E27" s="20">
        <f>SUM(E21:E26)</f>
        <v>58014.720000000001</v>
      </c>
      <c r="F27" s="19"/>
    </row>
    <row r="29" spans="1:6" ht="24" customHeight="1" x14ac:dyDescent="0.35">
      <c r="A29" s="47" t="s">
        <v>154</v>
      </c>
      <c r="B29" s="48"/>
      <c r="C29" s="48"/>
      <c r="D29" s="48"/>
      <c r="E29" s="48"/>
      <c r="F29" s="48"/>
    </row>
    <row r="30" spans="1:6" x14ac:dyDescent="0.35">
      <c r="A30" s="44" t="s">
        <v>155</v>
      </c>
      <c r="B30" s="45"/>
      <c r="C30" s="45"/>
      <c r="D30" s="45"/>
      <c r="E30" s="18">
        <f>E8+E13+E18+E27</f>
        <v>85153.823999999993</v>
      </c>
      <c r="F30" s="5" t="s">
        <v>156</v>
      </c>
    </row>
    <row r="31" spans="1:6" x14ac:dyDescent="0.35">
      <c r="A31" s="44" t="s">
        <v>157</v>
      </c>
      <c r="B31" s="45"/>
      <c r="C31" s="45"/>
      <c r="D31" s="21">
        <v>0.1</v>
      </c>
      <c r="E31" s="18">
        <f>ROUND(E30*D31, 2)</f>
        <v>8515.3799999999992</v>
      </c>
      <c r="F31" s="5" t="s">
        <v>158</v>
      </c>
    </row>
    <row r="32" spans="1:6" x14ac:dyDescent="0.35">
      <c r="A32" s="44" t="s">
        <v>159</v>
      </c>
      <c r="B32" s="45"/>
      <c r="C32" s="45"/>
      <c r="D32" s="21">
        <v>0.15</v>
      </c>
      <c r="E32" s="18">
        <f>ROUND(E30*D32, 2)</f>
        <v>12773.07</v>
      </c>
      <c r="F32" s="5" t="s">
        <v>160</v>
      </c>
    </row>
    <row r="33" spans="1:7" x14ac:dyDescent="0.35">
      <c r="A33" s="42" t="s">
        <v>161</v>
      </c>
      <c r="B33" s="43"/>
      <c r="C33" s="43"/>
      <c r="D33" s="43"/>
      <c r="E33" s="22">
        <f>E30+E31+E32</f>
        <v>106442.274</v>
      </c>
      <c r="F33" s="23" t="s">
        <v>162</v>
      </c>
    </row>
    <row r="34" spans="1:7" x14ac:dyDescent="0.35">
      <c r="A34" s="44" t="s">
        <v>163</v>
      </c>
      <c r="B34" s="45"/>
      <c r="C34" s="45"/>
      <c r="D34" s="45"/>
      <c r="E34" s="18">
        <f>ROUND(E33*0.19, 2)</f>
        <v>20224.03</v>
      </c>
      <c r="F34" s="5" t="s">
        <v>164</v>
      </c>
    </row>
    <row r="35" spans="1:7" x14ac:dyDescent="0.35">
      <c r="A35" s="42" t="s">
        <v>165</v>
      </c>
      <c r="B35" s="43"/>
      <c r="C35" s="43"/>
      <c r="D35" s="43"/>
      <c r="E35" s="22">
        <f>E33+E34</f>
        <v>126666.304</v>
      </c>
      <c r="F35" s="23" t="s">
        <v>166</v>
      </c>
    </row>
    <row r="36" spans="1:7" x14ac:dyDescent="0.35">
      <c r="A36" s="44" t="s">
        <v>167</v>
      </c>
      <c r="B36" s="45"/>
      <c r="C36" s="45"/>
      <c r="D36" s="45"/>
      <c r="E36" s="18">
        <f>ROUND(E33/'1_Στοιχεία_Μελέτης_&amp;_Ποσότητες'!B49, 2)</f>
        <v>261.72000000000003</v>
      </c>
      <c r="F36" s="5" t="str">
        <f>"Καθαρό σύνολο / " &amp; '1_Στοιχεία_Μελέτης_&amp;_Ποσότητες'!B49 &amp; " m²"</f>
        <v>Καθαρό σύνολο / 406.7 m²</v>
      </c>
    </row>
    <row r="37" spans="1:7" x14ac:dyDescent="0.35">
      <c r="A37" s="44" t="s">
        <v>168</v>
      </c>
      <c r="B37" s="45"/>
      <c r="C37" s="45"/>
      <c r="D37" s="45"/>
      <c r="E37" s="18">
        <f>ROUND(E33/'1_Στοιχεία_Μελέτης_&amp;_Ποσότητες'!B65, 2)</f>
        <v>514.21</v>
      </c>
      <c r="F37" s="5" t="str">
        <f>"Καθαρό σύνολο / " &amp; '1_Στοιχεία_Μελέτης_&amp;_Ποσότητες'!B65 &amp; " ήλοι"</f>
        <v>Καθαρό σύνολο / 207 ήλοι</v>
      </c>
    </row>
    <row r="40" spans="1:7" ht="24" customHeight="1" x14ac:dyDescent="0.35">
      <c r="A40" s="47" t="s">
        <v>169</v>
      </c>
      <c r="B40" s="48"/>
      <c r="C40" s="48"/>
      <c r="D40" s="48"/>
      <c r="E40" s="48"/>
      <c r="F40" s="48"/>
      <c r="G40" s="48"/>
    </row>
    <row r="41" spans="1:7" x14ac:dyDescent="0.35">
      <c r="A41" s="46" t="s">
        <v>170</v>
      </c>
      <c r="B41" s="35"/>
      <c r="C41" s="35"/>
      <c r="D41" s="35"/>
      <c r="E41" s="35"/>
      <c r="F41" s="35"/>
      <c r="G41" s="35"/>
    </row>
    <row r="42" spans="1:7" ht="28" customHeight="1" x14ac:dyDescent="0.35">
      <c r="A42" s="24" t="s">
        <v>171</v>
      </c>
      <c r="B42" s="24" t="s">
        <v>172</v>
      </c>
      <c r="C42" s="24" t="s">
        <v>173</v>
      </c>
      <c r="D42" s="24" t="s">
        <v>174</v>
      </c>
      <c r="E42" s="24" t="s">
        <v>175</v>
      </c>
      <c r="F42" s="24" t="s">
        <v>176</v>
      </c>
      <c r="G42" s="24" t="s">
        <v>177</v>
      </c>
    </row>
    <row r="43" spans="1:7" x14ac:dyDescent="0.35">
      <c r="A43" s="2" t="str">
        <f>"Ζώνη 1 (Σειρές 1–3): " &amp; '1_Στοιχεία_Μελέτης_&amp;_Ποσότητες'!B30 &amp; "m @ " &amp; '1_Στοιχεία_Μελέτης_&amp;_Ποσότητες'!B31 &amp; "m"</f>
        <v>Ζώνη 1 (Σειρές 1–3): 7m @ 1m</v>
      </c>
      <c r="B43" s="25">
        <f>'1_Στοιχεία_Μελέτης_&amp;_Ποσότητες'!B30</f>
        <v>7</v>
      </c>
      <c r="C43" s="25">
        <f>'1_Στοιχεία_Μελέτης_&amp;_Ποσότητες'!B31</f>
        <v>1</v>
      </c>
      <c r="D43" s="17">
        <f>(B43*$D$21)+(B43*'1_Στοιχεία_Μελέτης_&amp;_Ποσότητες'!$B$69*$D$22)+(B43*'1_Στοιχεία_Μελέτης_&amp;_Ποσότητες'!$B$67*$D$23)+$D$24+('1_Στοιχεία_Μελέτης_&amp;_Ποσότητες'!$B$72*$D$25)+$D$26</f>
        <v>295.49715818354935</v>
      </c>
      <c r="E43" s="26">
        <f>D43/B43</f>
        <v>42.213879740507046</v>
      </c>
      <c r="F43" s="27">
        <f>('1_Στοιχεία_Μελέτης_&amp;_Ποσότητες'!$B$60*D43)/('1_Στοιχεία_Μελέτης_&amp;_Ποσότητες'!$B$49/2)</f>
        <v>178.73690905619165</v>
      </c>
      <c r="G43" s="28">
        <f>F43+($E$8+$E$13+$E$18)/'1_Στοιχεία_Μελέτης_&amp;_Ποσότητες'!$B$49</f>
        <v>245.4669410207847</v>
      </c>
    </row>
    <row r="44" spans="1:7" x14ac:dyDescent="0.35">
      <c r="A44" s="2" t="str">
        <f>"Ζώνη 2 (Σειρές 4–6): " &amp; '1_Στοιχεία_Μελέτης_&amp;_Ποσότητες'!B32 &amp; "m @ " &amp; '1_Στοιχεία_Μελέτης_&amp;_Ποσότητες'!B33 &amp; "m"</f>
        <v>Ζώνη 2 (Σειρές 4–6): 6m @ 1.5m</v>
      </c>
      <c r="B44" s="25">
        <f>'1_Στοιχεία_Μελέτης_&amp;_Ποσότητες'!B32</f>
        <v>6</v>
      </c>
      <c r="C44" s="25">
        <f>'1_Στοιχεία_Μελέτης_&amp;_Ποσότητες'!B33</f>
        <v>1.5</v>
      </c>
      <c r="D44" s="17">
        <f>(B44*$D$21)+(B44*'1_Στοιχεία_Μελέτης_&amp;_Ποσότητες'!$B$69*$D$22)+(B44*'1_Στοιχεία_Μελέτης_&amp;_Ποσότητες'!$B$67*$D$23)+$D$24+('1_Στοιχεία_Μελέτης_&amp;_Ποσότητες'!$B$72*$D$25)+$D$26</f>
        <v>257.93127844304229</v>
      </c>
      <c r="E44" s="26">
        <f>D44/B44</f>
        <v>42.988546407173715</v>
      </c>
      <c r="F44" s="27">
        <f>('1_Στοιχεία_Μελέτης_&amp;_Ποσότητες'!$B$63*D44)/('1_Στοιχεία_Μελέτης_&amp;_Ποσότητες'!$B$49/2)</f>
        <v>106.54648334996584</v>
      </c>
      <c r="G44" s="28">
        <f>F44+($E$8+$E$13+$E$18)/'1_Στοιχεία_Μελέτης_&amp;_Ποσότητες'!$B$49</f>
        <v>173.27651531455891</v>
      </c>
    </row>
    <row r="45" spans="1:7" x14ac:dyDescent="0.35">
      <c r="A45" s="40" t="s">
        <v>178</v>
      </c>
      <c r="B45" s="41"/>
      <c r="C45" s="41"/>
      <c r="D45" s="29">
        <f>D43-D44</f>
        <v>37.565879740507057</v>
      </c>
      <c r="E45" s="29">
        <f>E43-E44</f>
        <v>-0.77466666666666839</v>
      </c>
      <c r="F45" s="29">
        <f>F43-F44</f>
        <v>72.19042570622581</v>
      </c>
      <c r="G45" s="29">
        <f>G43-G44</f>
        <v>72.190425706225795</v>
      </c>
    </row>
  </sheetData>
  <mergeCells count="21">
    <mergeCell ref="A35:D35"/>
    <mergeCell ref="A13:D13"/>
    <mergeCell ref="A40:G40"/>
    <mergeCell ref="A34:D34"/>
    <mergeCell ref="A32:C32"/>
    <mergeCell ref="A45:C45"/>
    <mergeCell ref="A33:D33"/>
    <mergeCell ref="A1:G1"/>
    <mergeCell ref="A31:C31"/>
    <mergeCell ref="A41:G41"/>
    <mergeCell ref="A15:F15"/>
    <mergeCell ref="A37:D37"/>
    <mergeCell ref="A18:D18"/>
    <mergeCell ref="A27:D27"/>
    <mergeCell ref="A5:F5"/>
    <mergeCell ref="A30:D30"/>
    <mergeCell ref="A20:F20"/>
    <mergeCell ref="A29:F29"/>
    <mergeCell ref="A36:D36"/>
    <mergeCell ref="A10:F10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1_Στοιχεία_Μελέτης_&amp;_Ποσότητες</vt:lpstr>
      <vt:lpstr>2_Υπολογισμοί_&amp;_Κοστολόγηση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2026-10-09T08:08:50Z</dcterms:created>
  <dcterms:modified xsi:type="dcterms:W3CDTF">2026-10-09T08:38:39Z</dcterms:modified>
</cp:coreProperties>
</file>