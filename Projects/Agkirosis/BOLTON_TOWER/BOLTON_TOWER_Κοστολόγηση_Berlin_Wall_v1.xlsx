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b val="1"/>
      <color rgb="007F6000"/>
      <sz val="10"/>
    </font>
    <font>
      <name val="Calibri"/>
      <b val="1"/>
      <color rgb="00C65911"/>
      <sz val="10"/>
    </font>
    <font>
      <name val="Calibri"/>
      <b val="1"/>
      <color rgb="001F4E78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7" borderId="0" pivotButton="0" quotePrefix="0" xfId="0"/>
    <xf numFmtId="0" fontId="9" fillId="8" borderId="2" pivotButton="0" quotePrefix="0" xfId="0"/>
    <xf numFmtId="0" fontId="6" fillId="0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right" vertical="center"/>
    </xf>
    <xf numFmtId="4" fontId="5" fillId="12" borderId="2" applyAlignment="1" pivotButton="0" quotePrefix="0" xfId="0">
      <alignment horizontal="right" vertical="center"/>
    </xf>
    <xf numFmtId="4" fontId="5" fillId="10" borderId="2" applyAlignment="1" pivotButton="0" quotePrefix="0" xfId="0">
      <alignment horizontal="right" vertical="center"/>
    </xf>
    <xf numFmtId="0" fontId="0" fillId="0" borderId="2" pivotButton="0" quotePrefix="0" xfId="0"/>
    <xf numFmtId="4" fontId="5" fillId="11" borderId="2" applyAlignment="1" pivotButton="0" quotePrefix="0" xfId="0">
      <alignment horizontal="right" vertical="center"/>
    </xf>
    <xf numFmtId="4" fontId="5" fillId="13" borderId="2" applyAlignment="1" pivotButton="0" quotePrefix="0" xfId="0">
      <alignment horizontal="right" vertical="center"/>
    </xf>
    <xf numFmtId="164" fontId="12" fillId="11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0" fillId="0" borderId="3" pivotButton="0" quotePrefix="0" xfId="0"/>
    <xf numFmtId="164" fontId="12" fillId="11" borderId="3" applyAlignment="1" pivotButton="0" quotePrefix="0" xfId="0">
      <alignment horizontal="right" vertical="center"/>
    </xf>
    <xf numFmtId="0" fontId="2" fillId="0" borderId="3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9" fillId="10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indent="1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/>
    </xf>
    <xf numFmtId="3" fontId="6" fillId="0" borderId="2" applyAlignment="1" pivotButton="0" quotePrefix="0" xfId="0">
      <alignment horizontal="right"/>
    </xf>
    <xf numFmtId="4" fontId="6" fillId="0" borderId="2" applyAlignment="1" pivotButton="0" quotePrefix="0" xfId="0">
      <alignment horizontal="right"/>
    </xf>
    <xf numFmtId="4" fontId="5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2" customWidth="1" min="2" max="2"/>
    <col width="15" customWidth="1" min="3" max="3"/>
    <col width="46" customWidth="1" min="4" max="4"/>
    <col width="55" customWidth="1" min="5" max="5"/>
  </cols>
  <sheetData>
    <row r="1">
      <c r="A1" s="1" t="inlineStr">
        <is>
          <t>ΕΡΓΟ: BOLTON TOWER (BERLIN WALL &amp; ΑΓΚΥΡΩΣΕΙΣ) — ΣΤΟΙΧΕΙΑ ΜΕΛΕΤΗΣ &amp; ΦΥΣΙΚΕΣ ΠΟΣΟΤΗΤΕΣ (ΧΩΡΙΣ ΕΥΡΩ)</t>
        </is>
      </c>
    </row>
    <row r="2">
      <c r="A2" s="2" t="inlineStr">
        <is>
          <t>ΧΩΡΙΣΜΕΝΟ ΣΕ 2 ΜΕΓΑΛΑ ΚΕΦΑΛΑΙΑ: [ΚΕΦΑΛΑΙΟ Α] = ΜΟΝΟ ΣΤΟΙΧΕΙΑ ΜΕΛΕΤΗΣ | [ΚΕΦΑΛΑΙΟ Β] = ΟΛΟΙ ΟΙ ΥΠΟΛΟΓΙΣΜΟΙ</t>
        </is>
      </c>
    </row>
    <row r="4" ht="24" customHeight="1">
      <c r="A4" s="3" t="inlineStr">
        <is>
          <t>🏛️ ΚΕΦΑΛΑΙΟ Α: ΜΟΝΟ ΣΤΟΙΧΕΙΑ ΠΟΥ ΔΙΑΒΑΣΤΗΚΑΝ ΑΠΟ ΤΗ ΜΕΛΕΤΗ (RAW INPUTS)</t>
        </is>
      </c>
      <c r="B4" s="3" t="n"/>
      <c r="C4" s="3" t="n"/>
      <c r="D4" s="3" t="n"/>
      <c r="E4" s="3" t="n"/>
    </row>
    <row r="5" ht="20" customHeight="1">
      <c r="A5" s="4" t="inlineStr">
        <is>
          <t>Α.1 Τοποθεσία Εργοταξίου, Έδρα &amp; Σειρές Αγκυρώσεων</t>
        </is>
      </c>
      <c r="B5" s="4" t="inlineStr"/>
      <c r="C5" s="4" t="inlineStr"/>
      <c r="D5" s="4" t="inlineStr"/>
      <c r="E5" s="4" t="inlineStr"/>
    </row>
    <row r="6" ht="19" customHeight="1">
      <c r="A6" s="5" t="inlineStr">
        <is>
          <t>Έδρα Εταιρείας (Αφετηρία)</t>
        </is>
      </c>
      <c r="B6" s="6" t="inlineStr">
        <is>
          <t>Άγιος Συλάς, Σπύρου Κυπριανού 32, Λεμεσός</t>
        </is>
      </c>
      <c r="C6" s="7" t="inlineStr">
        <is>
          <t>-</t>
        </is>
      </c>
      <c r="D6" s="8" t="inlineStr">
        <is>
          <t>Βάση Εταιρείας</t>
        </is>
      </c>
      <c r="E6" s="8" t="inlineStr">
        <is>
          <t>Σταθερή βάση εκκίνησης συνεργείων &amp; μηχανημάτων</t>
        </is>
      </c>
    </row>
    <row r="7" ht="19" customHeight="1">
      <c r="A7" s="5" t="inlineStr">
        <is>
          <t>Τοποθεσία Εργοταξίου</t>
        </is>
      </c>
      <c r="B7" s="6" t="inlineStr">
        <is>
          <t>Λεμεσός (Bolton Tower)</t>
        </is>
      </c>
      <c r="C7" s="7" t="inlineStr">
        <is>
          <t>-</t>
        </is>
      </c>
      <c r="D7" s="8" t="inlineStr">
        <is>
          <t>Σχέδιο ΘΕΜ/1 &amp; ΘΕΜ/6</t>
        </is>
      </c>
      <c r="E7" s="8" t="inlineStr">
        <is>
          <t>Ανάπτυξη Bolton Tower, Λακέμια Κτηματική Λτδ</t>
        </is>
      </c>
    </row>
    <row r="8" ht="19" customHeight="1">
      <c r="A8" s="5" t="inlineStr">
        <is>
          <t>Χιλιομετρική Απόσταση από Έδρα</t>
        </is>
      </c>
      <c r="B8" s="9" t="n">
        <v>12</v>
      </c>
      <c r="C8" s="7" t="inlineStr">
        <is>
          <t>km</t>
        </is>
      </c>
      <c r="D8" s="8" t="inlineStr">
        <is>
          <t>Google Maps / Οδικό Δίκτυο</t>
        </is>
      </c>
      <c r="E8" s="8" t="inlineStr">
        <is>
          <t>Βασική ζώνη 0-40 km (εντός Λεμεσού, βασικές τιμές μετακινήσεων)</t>
        </is>
      </c>
    </row>
    <row r="9" ht="19" customHeight="1">
      <c r="A9" s="5" t="inlineStr">
        <is>
          <t>Πλήθος Οριζόντιων Σειρών Αγκυρώσεων Μελέτης</t>
        </is>
      </c>
      <c r="B9" s="9" t="n">
        <v>4</v>
      </c>
      <c r="C9" s="7" t="inlineStr">
        <is>
          <t>σειρές</t>
        </is>
      </c>
      <c r="D9" s="8" t="inlineStr">
        <is>
          <t>Σχέδιο ΘΕΜ/6, Τομές Τοίχων A, B, Γ</t>
        </is>
      </c>
      <c r="E9" s="8" t="inlineStr">
        <is>
          <t>4 στάθμες αγκυρώσεων (Τοίχοι Α &amp; Β: 4 σειρές, Τοίχος Γ: 3 σειρές)</t>
        </is>
      </c>
    </row>
    <row r="11" ht="20" customHeight="1">
      <c r="A11" s="4" t="inlineStr">
        <is>
          <t>Α.2 Γεωμετρία Μετώπου Εκσκαφής (Berlin Wall)</t>
        </is>
      </c>
      <c r="B11" s="4" t="inlineStr"/>
      <c r="C11" s="4" t="inlineStr"/>
      <c r="D11" s="4" t="inlineStr"/>
      <c r="E11" s="4" t="inlineStr"/>
    </row>
    <row r="12" ht="19" customHeight="1">
      <c r="A12" s="5" t="inlineStr">
        <is>
          <t>Μήκος Τμήματος 1 Μετώπου (Τοίχος Α / Ανατολικό &amp; Νότιο)</t>
        </is>
      </c>
      <c r="B12" s="9" t="n">
        <v>40.5</v>
      </c>
      <c r="C12" s="7" t="inlineStr">
        <is>
          <t>m</t>
        </is>
      </c>
      <c r="D12" s="8" t="inlineStr">
        <is>
          <t>Σχέδιο ΘΕΜ/1, Κάτοψη &amp; ΘΕΜ/6</t>
        </is>
      </c>
      <c r="E12" s="8" t="inlineStr">
        <is>
          <t>27 διαστήματα × 1.50m c/c (33.01m + 7.69m = 40.70m CAD)</t>
        </is>
      </c>
    </row>
    <row r="13" ht="19" customHeight="1">
      <c r="A13" s="5" t="inlineStr">
        <is>
          <t>Μήκος Τμήματος 2 Μετώπου (Τοίχος Β / Βόρειο όριο)</t>
        </is>
      </c>
      <c r="B13" s="9" t="n">
        <v>43.5</v>
      </c>
      <c r="C13" s="7" t="inlineStr">
        <is>
          <t>m</t>
        </is>
      </c>
      <c r="D13" s="8" t="inlineStr">
        <is>
          <t>Σχέδιο ΘΕΜ/1, Κάτοψη &amp; ΘΕΜ/6</t>
        </is>
      </c>
      <c r="E13" s="8" t="inlineStr">
        <is>
          <t>29 διαστήματα × 1.50m c/c (42.94m CAD)</t>
        </is>
      </c>
    </row>
    <row r="14" ht="19" customHeight="1">
      <c r="A14" s="5" t="inlineStr">
        <is>
          <t>Μήκος Τμήματος 3 Μετώπου (Τοίχος Β / Ανατολικό άνω)</t>
        </is>
      </c>
      <c r="B14" s="9" t="n">
        <v>12</v>
      </c>
      <c r="C14" s="7" t="inlineStr">
        <is>
          <t>m</t>
        </is>
      </c>
      <c r="D14" s="8" t="inlineStr">
        <is>
          <t>Σχέδιο ΘΕΜ/1, Κάτοψη &amp; ΘΕΜ/6</t>
        </is>
      </c>
      <c r="E14" s="8" t="inlineStr">
        <is>
          <t>8 διαστήματα × 1.50m c/c (11.30m CAD / 8 HEB blocks)</t>
        </is>
      </c>
    </row>
    <row r="15" ht="19" customHeight="1">
      <c r="A15" s="5" t="inlineStr">
        <is>
          <t>Μήκος Τμήματος 4 Μετώπου (Τοίχος Β / Νότιο αριστερό)</t>
        </is>
      </c>
      <c r="B15" s="9" t="n">
        <v>34.5</v>
      </c>
      <c r="C15" s="7" t="inlineStr">
        <is>
          <t>m</t>
        </is>
      </c>
      <c r="D15" s="8" t="inlineStr">
        <is>
          <t>Σχέδιο ΘΕΜ/1, Κάτοψη &amp; ΘΕΜ/6</t>
        </is>
      </c>
      <c r="E15" s="8" t="inlineStr">
        <is>
          <t>23 διαστήματα × 1.50m c/c (34.91m CAD)</t>
        </is>
      </c>
    </row>
    <row r="16" ht="19" customHeight="1">
      <c r="A16" s="5" t="inlineStr">
        <is>
          <t>Μήκος Τμήματος 5 Μετώπου (Τοίχος Β / Δυτικό κάτω)</t>
        </is>
      </c>
      <c r="B16" s="9" t="n">
        <v>22.5</v>
      </c>
      <c r="C16" s="7" t="inlineStr">
        <is>
          <t>m</t>
        </is>
      </c>
      <c r="D16" s="8" t="inlineStr">
        <is>
          <t>Σχέδιο ΘΕΜ/1, Κάτοψη &amp; ΘΕΜ/6</t>
        </is>
      </c>
      <c r="E16" s="8" t="inlineStr">
        <is>
          <t>15 διαστήματα × 1.50m c/c (22.51m CAD)</t>
        </is>
      </c>
    </row>
    <row r="17" ht="19" customHeight="1">
      <c r="A17" s="5" t="inlineStr">
        <is>
          <t>Μήκος Τμήματος 6 Μετώπου (Τοίχος Γ / Βορειοδυτικό)</t>
        </is>
      </c>
      <c r="B17" s="9" t="n">
        <v>21</v>
      </c>
      <c r="C17" s="7" t="inlineStr">
        <is>
          <t>m</t>
        </is>
      </c>
      <c r="D17" s="8" t="inlineStr">
        <is>
          <t>Σχέδιο ΘΕΜ/1, Κάτοψη &amp; ΘΕΜ/6</t>
        </is>
      </c>
      <c r="E17" s="8" t="inlineStr">
        <is>
          <t>14 διαστήματα × 1.50m c/c (21.73m CAD)</t>
        </is>
      </c>
    </row>
    <row r="18" ht="19" customHeight="1">
      <c r="A18" s="5" t="inlineStr">
        <is>
          <t>Ελεύθερο Ύψος Εκσκαφής Μετώπου (Σταθμισμένο H_exc)</t>
        </is>
      </c>
      <c r="B18" s="9" t="n">
        <v>15.34</v>
      </c>
      <c r="C18" s="7" t="inlineStr">
        <is>
          <t>m</t>
        </is>
      </c>
      <c r="D18" s="8" t="inlineStr">
        <is>
          <t>Σχέδιο ΘΕΜ/6 (Τομές Α: 17.0m, B: 15.6m, Γ: 11.1m)</t>
        </is>
      </c>
      <c r="E18" s="8" t="inlineStr">
        <is>
          <t>Σταθμισμένο μέσο βάθος: (27x17m + 74x15.6m + 15x11.1m) / 116 = 15.34m</t>
        </is>
      </c>
    </row>
    <row r="19" ht="19" customHeight="1">
      <c r="A19" s="5" t="inlineStr">
        <is>
          <t>Βάθος Πάκτωσης Νέφκας κάτω από Εκσκαφή (Σταθμισμένο H_embed)</t>
        </is>
      </c>
      <c r="B19" s="9" t="n">
        <v>1.6</v>
      </c>
      <c r="C19" s="7" t="inlineStr">
        <is>
          <t>m</t>
        </is>
      </c>
      <c r="D19" s="8" t="inlineStr">
        <is>
          <t>Σχέδιο ΘΕΜ/6 (Τομές Α: 2.0m, B: 1.4m, Γ: 1.9m)</t>
        </is>
      </c>
      <c r="E19" s="8" t="inlineStr">
        <is>
          <t>Σταθμισμένη μέση πάκτωση κάτω από εκσκαφή = 1.60m</t>
        </is>
      </c>
    </row>
    <row r="21" ht="20" customHeight="1">
      <c r="A21" s="4" t="inlineStr">
        <is>
          <t>Α.3 Σχάρες &amp; Εκτοξευόμενο Σκυρόδεμα (Shotcrete)</t>
        </is>
      </c>
      <c r="B21" s="4" t="inlineStr"/>
      <c r="C21" s="4" t="inlineStr"/>
      <c r="D21" s="4" t="inlineStr"/>
      <c r="E21" s="4" t="inlineStr"/>
    </row>
    <row r="22" ht="19" customHeight="1">
      <c r="A22" s="5" t="inlineStr">
        <is>
          <t>Τύπος Χάλυβα Σχάρας</t>
        </is>
      </c>
      <c r="B22" s="6" t="inlineStr">
        <is>
          <t>B500C Δομικός Χάλυβας</t>
        </is>
      </c>
      <c r="C22" s="7" t="inlineStr">
        <is>
          <t>-</t>
        </is>
      </c>
      <c r="D22" s="8" t="inlineStr">
        <is>
          <t>Σχέδιο ΘΕΜ/6, Λεπτομέρεια Τοίχου Berlin</t>
        </is>
      </c>
      <c r="E22" s="8" t="inlineStr">
        <is>
          <t>Συγκόλληση ράβδων σχάρας στις γωνιές 70x70x6mm</t>
        </is>
      </c>
    </row>
    <row r="23" ht="19" customHeight="1">
      <c r="A23" s="5" t="inlineStr">
        <is>
          <t>Διάμετρος Οριζόντιων Ράβδων Σχάρας (Y_horiz)</t>
        </is>
      </c>
      <c r="B23" s="9" t="n">
        <v>10</v>
      </c>
      <c r="C23" s="7" t="inlineStr">
        <is>
          <t>mm</t>
        </is>
      </c>
      <c r="D23" s="8" t="inlineStr">
        <is>
          <t>Σχέδιο ΘΕΜ/6, Λεπτομέρειες</t>
        </is>
      </c>
      <c r="E23" s="8" t="inlineStr">
        <is>
          <t>Τυπικός οπλισμός shotcrete Y10 ανά 150mm (0.617 kg/m)</t>
        </is>
      </c>
    </row>
    <row r="24" ht="19" customHeight="1">
      <c r="A24" s="5" t="inlineStr">
        <is>
          <t>Οριζόντιο Βήμα Ράβδων Σχάρας (s_horiz)</t>
        </is>
      </c>
      <c r="B24" s="9" t="n">
        <v>150</v>
      </c>
      <c r="C24" s="7" t="inlineStr">
        <is>
          <t>mm</t>
        </is>
      </c>
      <c r="D24" s="8" t="inlineStr">
        <is>
          <t>Σχέδιο ΘΕΜ/6, Λεπτομέρειες</t>
        </is>
      </c>
      <c r="E24" s="8" t="inlineStr">
        <is>
          <t>Βήμα οριζόντιων ράβδων ανά 0.15m (6.67 m/m²)</t>
        </is>
      </c>
    </row>
    <row r="25" ht="19" customHeight="1">
      <c r="A25" s="5" t="inlineStr">
        <is>
          <t>Διάμετρος Κατακόρυφων Ράβδων Σχάρας (Y_vert)</t>
        </is>
      </c>
      <c r="B25" s="9" t="n">
        <v>10</v>
      </c>
      <c r="C25" s="7" t="inlineStr">
        <is>
          <t>mm</t>
        </is>
      </c>
      <c r="D25" s="8" t="inlineStr">
        <is>
          <t>Σχέδιο ΘΕΜ/6, Λεπτομέρειες</t>
        </is>
      </c>
      <c r="E25" s="8" t="inlineStr">
        <is>
          <t>Τυπικός οπλισμός shotcrete Y10 ανά 150mm (0.617 kg/m)</t>
        </is>
      </c>
    </row>
    <row r="26" ht="19" customHeight="1">
      <c r="A26" s="5" t="inlineStr">
        <is>
          <t>Κατακόρυφο Βήμα Ράβδων Σχάρας (s_vert)</t>
        </is>
      </c>
      <c r="B26" s="9" t="n">
        <v>150</v>
      </c>
      <c r="C26" s="7" t="inlineStr">
        <is>
          <t>mm</t>
        </is>
      </c>
      <c r="D26" s="8" t="inlineStr">
        <is>
          <t>Σχέδιο ΘΕΜ/6, Λεπτομέρειες</t>
        </is>
      </c>
      <c r="E26" s="8" t="inlineStr">
        <is>
          <t>Βήμα κατακόρυφων ράβδων ανά 0.15m (6.67 m/m²)</t>
        </is>
      </c>
    </row>
    <row r="27" ht="19" customHeight="1">
      <c r="A27" s="5" t="inlineStr">
        <is>
          <t>Κατηγορία Σκυροδέματος Shotcrete</t>
        </is>
      </c>
      <c r="B27" s="6" t="inlineStr">
        <is>
          <t>C30/37</t>
        </is>
      </c>
      <c r="C27" s="7" t="inlineStr">
        <is>
          <t>-</t>
        </is>
      </c>
      <c r="D27" s="8" t="inlineStr">
        <is>
          <t>Σχέδιο ΘΕΜ/6, Σημειώσεις</t>
        </is>
      </c>
      <c r="E27" s="8" t="inlineStr">
        <is>
          <t>Εκτοξευόμενο σκυρόδεμα υψηλής αντοχής C30/37</t>
        </is>
      </c>
    </row>
    <row r="28" ht="19" customHeight="1">
      <c r="A28" s="5" t="inlineStr">
        <is>
          <t>Ονομαστικό Πάχος Shotcrete Μελέτης</t>
        </is>
      </c>
      <c r="B28" s="9" t="n">
        <v>0.15</v>
      </c>
      <c r="C28" s="7" t="inlineStr">
        <is>
          <t>m</t>
        </is>
      </c>
      <c r="D28" s="8" t="inlineStr">
        <is>
          <t>Σχέδιο ΘΕΜ/6, Λεπτομέρεια</t>
        </is>
      </c>
      <c r="E28" s="8" t="inlineStr">
        <is>
          <t>150 mm (15 cm) εκτοξευόμενο σκυρόδεμα (gunite)</t>
        </is>
      </c>
    </row>
    <row r="29" ht="19" customHeight="1">
      <c r="A29" s="5" t="inlineStr">
        <is>
          <t>Πάγια Απώλεια / Αναπήδηση Εταιρείας</t>
        </is>
      </c>
      <c r="B29" s="9" t="n">
        <v>0.05</v>
      </c>
      <c r="C29" s="7" t="inlineStr">
        <is>
          <t>m</t>
        </is>
      </c>
      <c r="D29" s="8" t="inlineStr">
        <is>
          <t>Κανόνας Εταιρείας</t>
        </is>
      </c>
      <c r="E29" s="8" t="inlineStr">
        <is>
          <t>+5 cm πάγια προσαύξηση εταιρείας για αναπήδηση (χρεώνεται στα €/m³)</t>
        </is>
      </c>
    </row>
    <row r="31" ht="20" customHeight="1">
      <c r="A31" s="4" t="inlineStr">
        <is>
          <t>Α.4 H-Beams (Νέφκες / Soldier Piles: Οπές, Χάλυβας, Λάμες, Κουγκρί, Γωνιές)</t>
        </is>
      </c>
      <c r="B31" s="4" t="inlineStr"/>
      <c r="C31" s="4" t="inlineStr"/>
      <c r="D31" s="4" t="inlineStr"/>
      <c r="E31" s="4" t="inlineStr"/>
    </row>
    <row r="32" ht="19" customHeight="1">
      <c r="A32" s="5" t="inlineStr">
        <is>
          <t>Αξονική Απόσταση Πασσάλων (s_c/c)</t>
        </is>
      </c>
      <c r="B32" s="9" t="n">
        <v>1.5</v>
      </c>
      <c r="C32" s="7" t="inlineStr">
        <is>
          <t>m</t>
        </is>
      </c>
      <c r="D32" s="8" t="inlineStr">
        <is>
          <t>Σχέδιο ΘΕΜ/1 &amp; ΘΕΜ/6</t>
        </is>
      </c>
      <c r="E32" s="8" t="inlineStr">
        <is>
          <t>[!!! ΣΥΓΚΡΟΥΣΗ ΜΕΛΕΤΗΣ !!!]: Αναγράφονται 2 διαφορετικοί αριθμοί για την απόσταση: Στο κείμενο λεπτομέρειας τοίχου αναγράφει "@ 2000mm" vs στη γραμμή διάστασης CL αναγράφει "(1500)" και στην κάτοψη ανά 1.50m. Επιλέχθηκε ο πιο ασφαλής στατικά αριθμός s = 1.50 m.</t>
        </is>
      </c>
    </row>
    <row r="33" ht="19" customHeight="1">
      <c r="A33" s="5" t="inlineStr">
        <is>
          <t>Πλήθος Οπών / Νεφκών (N_holes)</t>
        </is>
      </c>
      <c r="B33" s="9">
        <f>ROUND(B69/B32, 0)</f>
        <v/>
      </c>
      <c r="C33" s="7" t="inlineStr">
        <is>
          <t>οπές</t>
        </is>
      </c>
      <c r="D33" s="8" t="inlineStr">
        <is>
          <t>Σχέδιο ΘΕΜ/1, Κάτοψη</t>
        </is>
      </c>
      <c r="E33" s="8" t="inlineStr">
        <is>
          <t>116 πάσσαλοι (υπολογισμένο: Περίμετρος B69 / 1.50m)</t>
        </is>
      </c>
    </row>
    <row r="34" ht="19" customHeight="1">
      <c r="A34" s="5" t="inlineStr">
        <is>
          <t>Διάμετρος Οπής Διάτρησης Μεγάλου Τρυπανιού (D)</t>
        </is>
      </c>
      <c r="B34" s="9" t="n">
        <v>0.8</v>
      </c>
      <c r="C34" s="7" t="inlineStr">
        <is>
          <t>m</t>
        </is>
      </c>
      <c r="D34" s="8" t="inlineStr">
        <is>
          <t>Σχέδιο ΘΕΜ/1, Κάτοψη (D=800) &amp; Κανόνας v5</t>
        </is>
      </c>
      <c r="E34" s="8" t="inlineStr">
        <is>
          <t>D=800mm στο σχέδιο &amp; σύμφωνο με κανόνα min Ø800 mm εταιρείας</t>
        </is>
      </c>
    </row>
    <row r="35" ht="19" customHeight="1">
      <c r="A35" s="5" t="inlineStr">
        <is>
          <t>Βάθος Πάκτωσης Νέφκας κάτω από Εκσκαφή (H_embed)</t>
        </is>
      </c>
      <c r="B35" s="9">
        <f>B19</f>
        <v/>
      </c>
      <c r="C35" s="7" t="inlineStr">
        <is>
          <t>m</t>
        </is>
      </c>
      <c r="D35" s="8" t="inlineStr">
        <is>
          <t>Σχέδιο ΘΕΜ/6, Τομές Α, Β, Γ</t>
        </is>
      </c>
      <c r="E35" s="8" t="inlineStr">
        <is>
          <t>1.60 m σταθμισμένη μέση πάκτωση</t>
        </is>
      </c>
    </row>
    <row r="36" ht="19" customHeight="1">
      <c r="A36" s="5" t="inlineStr">
        <is>
          <t>Τύπος Χαλύβδινης Διατομής Νέφκας</t>
        </is>
      </c>
      <c r="B36" s="6" t="inlineStr">
        <is>
          <t>2 No. HEB 200</t>
        </is>
      </c>
      <c r="C36" s="7" t="inlineStr">
        <is>
          <t>-</t>
        </is>
      </c>
      <c r="D36" s="8" t="inlineStr">
        <is>
          <t>Σχέδιο ΘΕΜ/6, Λεπτομέρεια Τοίχου Berlin</t>
        </is>
      </c>
      <c r="E36" s="8" t="inlineStr">
        <is>
          <t>Δίδυμο προφίλ 2 No. HEB 200 ανά οπή</t>
        </is>
      </c>
    </row>
    <row r="37" ht="19" customHeight="1">
      <c r="A37" s="5" t="inlineStr">
        <is>
          <t>Πλήθος Προφίλ ανά Οπή</t>
        </is>
      </c>
      <c r="B37" s="9" t="n">
        <v>2</v>
      </c>
      <c r="C37" s="7" t="inlineStr">
        <is>
          <t>προφίλ/οπή</t>
        </is>
      </c>
      <c r="D37" s="8" t="inlineStr">
        <is>
          <t>Σχέδιο ΘΕΜ/6, Λεπτομέρεια</t>
        </is>
      </c>
      <c r="E37" s="8" t="inlineStr">
        <is>
          <t>2 HEB 200 ανά οπή</t>
        </is>
      </c>
    </row>
    <row r="38" ht="19" customHeight="1">
      <c r="A38" s="5" t="inlineStr">
        <is>
          <t>Θεωρητικό Βάρος Προφίλ Νέφκας ανά Μέτρο</t>
        </is>
      </c>
      <c r="B38" s="9" t="n">
        <v>61.3</v>
      </c>
      <c r="C38" s="7" t="inlineStr">
        <is>
          <t>kg / m</t>
        </is>
      </c>
      <c r="D38" s="8" t="inlineStr">
        <is>
          <t>Βιβλιοθήκη Διατομών (Φύλλο 3, HEB 200)</t>
        </is>
      </c>
      <c r="E38" s="8" t="inlineStr">
        <is>
          <t>61.3 kg/m ανά HEB 200 (Σύνολο 122.6 kg/m ανά πάσσαλο)</t>
        </is>
      </c>
    </row>
    <row r="39" ht="19" customHeight="1">
      <c r="A39" s="5" t="inlineStr">
        <is>
          <t>Κατακόρυφο Βήμα Λαμών ανά Νέφκα (s_plate)</t>
        </is>
      </c>
      <c r="B39" s="9" t="n">
        <v>1</v>
      </c>
      <c r="C39" s="7" t="inlineStr">
        <is>
          <t>m</t>
        </is>
      </c>
      <c r="D39" s="8" t="inlineStr">
        <is>
          <t>Σχέδιο ΘΕΜ/6, Λεπτομέρεια</t>
        </is>
      </c>
      <c r="E39" s="8" t="inlineStr">
        <is>
          <t>Λάμες 200x10mm ανά 1000mm (1.0m) καθ' ύψος</t>
        </is>
      </c>
    </row>
    <row r="40" ht="19" customHeight="1">
      <c r="A40" s="5" t="inlineStr">
        <is>
          <t>Πλήθος Πλευρών Τοποθέτησης Λαμών ανά Πάσσαλο</t>
        </is>
      </c>
      <c r="B40" s="9" t="n">
        <v>2</v>
      </c>
      <c r="C40" s="7" t="inlineStr">
        <is>
          <t>πλευρές</t>
        </is>
      </c>
      <c r="D40" s="8" t="inlineStr">
        <is>
          <t>Σχέδιο ΘΕΜ/6, Λεπτομέρεια</t>
        </is>
      </c>
      <c r="E40" s="8" t="inlineStr">
        <is>
          <t>Σύνδεση εκατέρωθεν (αμφίπλευρα)</t>
        </is>
      </c>
    </row>
    <row r="41" ht="19" customHeight="1">
      <c r="A41" s="5" t="inlineStr">
        <is>
          <t>Πλάτος Λάμας Σύνδεσης (W_plate)</t>
        </is>
      </c>
      <c r="B41" s="9" t="n">
        <v>200</v>
      </c>
      <c r="C41" s="7" t="inlineStr">
        <is>
          <t>mm</t>
        </is>
      </c>
      <c r="D41" s="8" t="inlineStr">
        <is>
          <t>Σχέδιο ΘΕΜ/6, Λεπτομέρεια</t>
        </is>
      </c>
      <c r="E41" s="8" t="inlineStr">
        <is>
          <t>Λάμες πλάτους 200 mm</t>
        </is>
      </c>
    </row>
    <row r="42" ht="19" customHeight="1">
      <c r="A42" s="5" t="inlineStr">
        <is>
          <t>Μήκος Λάμας Σύνδεσης (L_plate)</t>
        </is>
      </c>
      <c r="B42" s="9" t="n">
        <v>200</v>
      </c>
      <c r="C42" s="7" t="inlineStr">
        <is>
          <t>mm</t>
        </is>
      </c>
      <c r="D42" s="8" t="inlineStr">
        <is>
          <t>Σχέδιο ΘΕΜ/6, Λεπτομέρεια</t>
        </is>
      </c>
      <c r="E42" s="8" t="inlineStr">
        <is>
          <t>Μήκος λάμας 200 mm</t>
        </is>
      </c>
    </row>
    <row r="43" ht="19" customHeight="1">
      <c r="A43" s="5" t="inlineStr">
        <is>
          <t>Πάχος Λάμας Σύνδεσης (t_plate)</t>
        </is>
      </c>
      <c r="B43" s="9" t="n">
        <v>10</v>
      </c>
      <c r="C43" s="7" t="inlineStr">
        <is>
          <t>mm</t>
        </is>
      </c>
      <c r="D43" s="8" t="inlineStr">
        <is>
          <t>Σχέδιο ΘΕΜ/6, Λεπτομέρεια</t>
        </is>
      </c>
      <c r="E43" s="8" t="inlineStr">
        <is>
          <t>Πάχος λάμας 10 mm</t>
        </is>
      </c>
    </row>
    <row r="44" ht="19" customHeight="1">
      <c r="A44" s="5" t="inlineStr">
        <is>
          <t>Ύπαρξη Γωνιών Στήριξης στο Σχέδιο (L-Angles)</t>
        </is>
      </c>
      <c r="B44" s="6" t="inlineStr">
        <is>
          <t>ΝΑΙ</t>
        </is>
      </c>
      <c r="C44" s="7" t="inlineStr">
        <is>
          <t>-</t>
        </is>
      </c>
      <c r="D44" s="8" t="inlineStr">
        <is>
          <t>Σχέδιο ΘΕΜ/6, Λεπτομέρεια</t>
        </is>
      </c>
      <c r="E44" s="8" t="inlineStr">
        <is>
          <t>Ζητούνται γωνίες 70x70x6mm στις γωνίες των προφίλ</t>
        </is>
      </c>
    </row>
    <row r="45" ht="19" customHeight="1">
      <c r="A45" s="5" t="inlineStr">
        <is>
          <t>Διατομή Γωνιών Στήριξης</t>
        </is>
      </c>
      <c r="B45" s="6" t="inlineStr">
        <is>
          <t>L 70x70x6</t>
        </is>
      </c>
      <c r="C45" s="7" t="inlineStr">
        <is>
          <t>-</t>
        </is>
      </c>
      <c r="D45" s="8" t="inlineStr">
        <is>
          <t>Σχέδιο ΘΕΜ/6, Λεπτομέρεια</t>
        </is>
      </c>
      <c r="E45" s="8" t="inlineStr">
        <is>
          <t>Διατομή γωνίας 70x70x6 mm</t>
        </is>
      </c>
    </row>
    <row r="46" ht="19" customHeight="1">
      <c r="A46" s="5" t="inlineStr">
        <is>
          <t>Θεωρητικό Βάρος Γωνίας ανά Μέτρο</t>
        </is>
      </c>
      <c r="B46" s="9" t="n">
        <v>6.38</v>
      </c>
      <c r="C46" s="7" t="inlineStr">
        <is>
          <t>kg / m</t>
        </is>
      </c>
      <c r="D46" s="8" t="inlineStr">
        <is>
          <t>Βιβλιοθήκη Διατομών (Φύλλο 3, L70x70x6)</t>
        </is>
      </c>
      <c r="E46" s="8" t="inlineStr">
        <is>
          <t>Βάρος L70x70x6 = 6.38 kg/m (2 γωνιές ανά οπή)</t>
        </is>
      </c>
    </row>
    <row r="48" ht="20" customHeight="1">
      <c r="A48" s="4" t="inlineStr">
        <is>
          <t>Α.5 Αγκυρώσεις (Prestressed Tieback Anchors: Γραμμές, Βάθη, Grout, Τένοντες &amp; Κεφαλές)</t>
        </is>
      </c>
      <c r="B48" s="4" t="inlineStr"/>
      <c r="C48" s="4" t="inlineStr"/>
      <c r="D48" s="4" t="inlineStr"/>
      <c r="E48" s="4" t="inlineStr"/>
    </row>
    <row r="49" ht="19" customHeight="1">
      <c r="A49" s="5" t="inlineStr">
        <is>
          <t>Πλήθος Αγκυρώσεων Σειράς 1 (Στάθμη 1)</t>
        </is>
      </c>
      <c r="B49" s="9">
        <f>B33</f>
        <v/>
      </c>
      <c r="C49" s="7" t="inlineStr">
        <is>
          <t>τεμ.</t>
        </is>
      </c>
      <c r="D49" s="8" t="inlineStr">
        <is>
          <t>Σχέδιο ΘΕΜ/6, Τομές Α, Β, Γ</t>
        </is>
      </c>
      <c r="E49" s="8" t="inlineStr">
        <is>
          <t>1 αγκύρωση ανά πάσσαλο (116 αγκυρώσεις, Lavg = 19.87m)</t>
        </is>
      </c>
    </row>
    <row r="50" ht="19" customHeight="1">
      <c r="A50" s="5" t="inlineStr">
        <is>
          <t>Μήκος / Βάθος Διάτρησης Σειράς 1</t>
        </is>
      </c>
      <c r="B50" s="9" t="n">
        <v>19.87</v>
      </c>
      <c r="C50" s="7" t="inlineStr">
        <is>
          <t>m</t>
        </is>
      </c>
      <c r="D50" s="8" t="inlineStr">
        <is>
          <t>Σχέδιο ΘΕΜ/6, Τομές Α, Β, Γ</t>
        </is>
      </c>
      <c r="E50" s="8" t="inlineStr">
        <is>
          <t>Σταθμισμένο μέσο βάθος 1ης σειράς (27x20m + 74x20m + 15x19m)/116</t>
        </is>
      </c>
    </row>
    <row r="51" ht="19" customHeight="1">
      <c r="A51" s="5" t="inlineStr">
        <is>
          <t>Πλήθος Αγκυρώσεων Σειράς 2 (Στάθμη 2)</t>
        </is>
      </c>
      <c r="B51" s="9">
        <f>B33</f>
        <v/>
      </c>
      <c r="C51" s="7" t="inlineStr">
        <is>
          <t>τεμ.</t>
        </is>
      </c>
      <c r="D51" s="8" t="inlineStr">
        <is>
          <t>Σχέδιο ΘΕΜ/6, Τομές Α, Β, Γ</t>
        </is>
      </c>
      <c r="E51" s="8" t="inlineStr">
        <is>
          <t>1 αγκύρωση ανά πάσσαλο (116 αγκυρώσεις, Lavg = 19.18m)</t>
        </is>
      </c>
    </row>
    <row r="52" ht="19" customHeight="1">
      <c r="A52" s="5" t="inlineStr">
        <is>
          <t>Μήκος / Βάθος Διάτρησης Σειράς 2</t>
        </is>
      </c>
      <c r="B52" s="9" t="n">
        <v>19.18</v>
      </c>
      <c r="C52" s="7" t="inlineStr">
        <is>
          <t>m</t>
        </is>
      </c>
      <c r="D52" s="8" t="inlineStr">
        <is>
          <t>Σχέδιο ΘΕΜ/6, Τομές Α, Β, Γ</t>
        </is>
      </c>
      <c r="E52" s="8" t="inlineStr">
        <is>
          <t>Σταθμισμένο μέσο βάθος 2ης σειράς (27x19.5m + 74x19.5m + 15x17m)/116</t>
        </is>
      </c>
    </row>
    <row r="53" ht="19" customHeight="1">
      <c r="A53" s="5" t="inlineStr">
        <is>
          <t>Πλήθος Αγκυρώσεων Σειράς 3 (Στάθμη 3)</t>
        </is>
      </c>
      <c r="B53" s="9">
        <f>B33</f>
        <v/>
      </c>
      <c r="C53" s="7" t="inlineStr">
        <is>
          <t>τεμ.</t>
        </is>
      </c>
      <c r="D53" s="8" t="inlineStr">
        <is>
          <t>Σχέδιο ΘΕΜ/6, Τομές Α, Β, Γ</t>
        </is>
      </c>
      <c r="E53" s="8" t="inlineStr">
        <is>
          <t>1 αγκύρωση ανά πάσσαλο (116 αγκυρώσεις, Lavg = 19.16m)</t>
        </is>
      </c>
    </row>
    <row r="54" ht="19" customHeight="1">
      <c r="A54" s="5" t="inlineStr">
        <is>
          <t>Μήκος / Βάθος Διάτρησης Σειράς 3</t>
        </is>
      </c>
      <c r="B54" s="9" t="n">
        <v>19.16</v>
      </c>
      <c r="C54" s="7" t="inlineStr">
        <is>
          <t>m</t>
        </is>
      </c>
      <c r="D54" s="8" t="inlineStr">
        <is>
          <t>Σχέδιο ΘΕΜ/6, Τομές Α, Β, Γ</t>
        </is>
      </c>
      <c r="E54" s="8" t="inlineStr">
        <is>
          <t>Σταθμισμένο μέσο βάθος 3ης σειράς (27x20m + 74x19.5m + 15x16m)/116</t>
        </is>
      </c>
    </row>
    <row r="55" ht="19" customHeight="1">
      <c r="A55" s="5" t="inlineStr">
        <is>
          <t>Πλήθος Αγκυρώσεων Σειράς 4 (Στάθμη 4 — Τοίχοι Α &amp; Β)</t>
        </is>
      </c>
      <c r="B55" s="9">
        <f>B33-15</f>
        <v/>
      </c>
      <c r="C55" s="7" t="inlineStr">
        <is>
          <t>τεμ.</t>
        </is>
      </c>
      <c r="D55" s="8" t="inlineStr">
        <is>
          <t>Σχέδιο ΘΕΜ/6, Τομές Α &amp; Β</t>
        </is>
      </c>
      <c r="E55" s="8" t="inlineStr">
        <is>
          <t>101 αγκυρώσεις (Τοίχοι Α &amp; Β, ο Τοίχος Γ δεν έχει 4η σειρά)</t>
        </is>
      </c>
    </row>
    <row r="56" ht="19" customHeight="1">
      <c r="A56" s="5" t="inlineStr">
        <is>
          <t>Μήκος / Βάθος Διάτρησης Σειράς 4</t>
        </is>
      </c>
      <c r="B56" s="9" t="n">
        <v>16.67</v>
      </c>
      <c r="C56" s="7" t="inlineStr">
        <is>
          <t>m</t>
        </is>
      </c>
      <c r="D56" s="8" t="inlineStr">
        <is>
          <t>Σχέδιο ΘΕΜ/6, Τομές Α &amp; Β</t>
        </is>
      </c>
      <c r="E56" s="8" t="inlineStr">
        <is>
          <t>Σταθμισμένο μέσο βάθος 4ης σειράς (27x18.5m + 74x16.0m)/101</t>
        </is>
      </c>
    </row>
    <row r="57" ht="19" customHeight="1">
      <c r="A57" s="5" t="inlineStr">
        <is>
          <t>Πλήθος Τενόντων (Strands 0.6") ανά Οπή Αγκύρωσης</t>
        </is>
      </c>
      <c r="B57" s="9" t="n">
        <v>4</v>
      </c>
      <c r="C57" s="7" t="inlineStr">
        <is>
          <t>τεμ. / οπή</t>
        </is>
      </c>
      <c r="D57" s="8" t="inlineStr">
        <is>
          <t>Σχέδιο ΘΕΜ/6, Τομές (Φορτία Fd: 141-584 kN)</t>
        </is>
      </c>
      <c r="E57" s="8" t="inlineStr">
        <is>
          <t>Μέσο πλήθος κλώνων 0.6" (3 έως 5 κλώνοι ανάλογα με το φορτίο Fd)</t>
        </is>
      </c>
    </row>
    <row r="58" ht="19" customHeight="1">
      <c r="A58" s="5" t="inlineStr">
        <is>
          <t>Επιπλέον Μήκος Τένοντα για Κεφαλή &amp; Προένταση</t>
        </is>
      </c>
      <c r="B58" s="9" t="n">
        <v>1</v>
      </c>
      <c r="C58" s="7" t="inlineStr">
        <is>
          <t>m</t>
        </is>
      </c>
      <c r="D58" s="8" t="inlineStr">
        <is>
          <t>Κανόνας Μάστρου v5</t>
        </is>
      </c>
      <c r="E58" s="8" t="inlineStr">
        <is>
          <t>ΠΑΝΤΑ +1.0 m επιπλέον μήκος τένοντα έξω από την οπή</t>
        </is>
      </c>
    </row>
    <row r="59" ht="19" customHeight="1">
      <c r="A59" s="5" t="inlineStr">
        <is>
          <t>Διάμετρος Οπής Διάτρησης Αγκύρωσης (D_anc)</t>
        </is>
      </c>
      <c r="B59" s="9" t="n">
        <v>0.15</v>
      </c>
      <c r="C59" s="7" t="inlineStr">
        <is>
          <t>m</t>
        </is>
      </c>
      <c r="D59" s="8" t="inlineStr">
        <is>
          <t>Σχέδιο ΘΕΜ/6 &amp; Κανόνας v5</t>
        </is>
      </c>
      <c r="E59" s="8" t="inlineStr">
        <is>
          <t>Τυπική γεώτρηση αγκυρίων Ø150 mm (R = 0.075 m)</t>
        </is>
      </c>
    </row>
    <row r="60" ht="19" customHeight="1">
      <c r="A60" s="5" t="inlineStr">
        <is>
          <t>Συντελεστής Απώλειας Grout στο Έδαφος</t>
        </is>
      </c>
      <c r="B60" s="9" t="n">
        <v>1.2</v>
      </c>
      <c r="C60" s="7" t="inlineStr">
        <is>
          <t>-</t>
        </is>
      </c>
      <c r="D60" s="8" t="inlineStr">
        <is>
          <t>Κανόνας Εταιρείας v5</t>
        </is>
      </c>
      <c r="E60" s="8" t="inlineStr">
        <is>
          <t>ΠΑΝΤΑ * 1.20 (+20% απώλεια/υπερκατανάλωση τσιμεντενέματος)</t>
        </is>
      </c>
    </row>
    <row r="61" ht="19" customHeight="1">
      <c r="A61" s="5" t="inlineStr">
        <is>
          <t>Θεωρητικό Βάρος Τένοντα (Strand 0.6")</t>
        </is>
      </c>
      <c r="B61" s="9" t="n">
        <v>1.1</v>
      </c>
      <c r="C61" s="7" t="inlineStr">
        <is>
          <t>kg / m</t>
        </is>
      </c>
      <c r="D61" s="8" t="inlineStr">
        <is>
          <t>Τιμοκατάλογος Εταιρείας</t>
        </is>
      </c>
      <c r="E61" s="8" t="inlineStr">
        <is>
          <t>Standard βάρος κλώνου 0.6" (15.2 mm) = 1.10 kg/m</t>
        </is>
      </c>
    </row>
    <row r="63" ht="24" customHeight="1">
      <c r="A63" s="3" t="inlineStr">
        <is>
          <t>⚙️ ΚΕΦΑΛΑΙΟ Β: ΟΛΟΙ ΟΙ ΥΠΟΛΟΓΙΣΜΟΙ ΦΥΣΙΚΩΝ ΜΕΓΕΘΩΝ (ΜΕ ΒΑΣΗ ΤΟ ΚΕΦΑΛΑΙΟ Α)</t>
        </is>
      </c>
      <c r="B63" s="3" t="n"/>
      <c r="C63" s="3" t="n"/>
      <c r="D63" s="3" t="n"/>
      <c r="E63" s="3" t="n"/>
    </row>
    <row r="64" ht="20" customHeight="1">
      <c r="A64" s="4" t="inlineStr">
        <is>
          <t>Β.1 Υπολογισμοί Στρατών Μετακίνησης (3 Είδη)</t>
        </is>
      </c>
      <c r="B64" s="4" t="inlineStr"/>
      <c r="C64" s="4" t="inlineStr"/>
      <c r="D64" s="4" t="inlineStr"/>
      <c r="E64" s="4" t="inlineStr"/>
    </row>
    <row r="65" ht="19" customHeight="1">
      <c r="A65" s="5" t="inlineStr">
        <is>
          <t>Υπολογισμός Στρατών Μεγάλου Τρυπανιού (Piling Rig)</t>
        </is>
      </c>
      <c r="B65" s="10" t="n">
        <v>1</v>
      </c>
      <c r="C65" s="7" t="inlineStr">
        <is>
          <t>στράτες</t>
        </is>
      </c>
      <c r="D65" s="8" t="inlineStr">
        <is>
          <t>1 στράτα μεταφοράς μεγάλου τρυπανιού (Λεμεσός 0-40km)</t>
        </is>
      </c>
      <c r="E65" s="8" t="inlineStr">
        <is>
          <t>Κανόνας Μετακινήσεων Τιμοκαταλόγου</t>
        </is>
      </c>
    </row>
    <row r="66" ht="19" customHeight="1">
      <c r="A66" s="5" t="inlineStr">
        <is>
          <t>Υπολογισμός Στρατών Εξοπλισμού Αγκυρώσεων</t>
        </is>
      </c>
      <c r="B66" s="10">
        <f>B9</f>
        <v/>
      </c>
      <c r="C66" s="7" t="inlineStr">
        <is>
          <t>στράτες</t>
        </is>
      </c>
      <c r="D66" s="8">
        <f>"Όσες οριζόντιες σειρές αγκυρώσεων, τόσες στράτες (" &amp; B9 &amp; ")"</f>
        <v/>
      </c>
      <c r="E66" s="8" t="inlineStr">
        <is>
          <t>1 στράτα ανά οριζόντια σειρά</t>
        </is>
      </c>
    </row>
    <row r="67" ht="19" customHeight="1">
      <c r="A67" s="5" t="inlineStr">
        <is>
          <t>Υπολογισμός Στρατών Shotcrete (Αντλία / Συνεργείο)</t>
        </is>
      </c>
      <c r="B67" s="10">
        <f>B9+1</f>
        <v/>
      </c>
      <c r="C67" s="7" t="inlineStr">
        <is>
          <t>στράτες</t>
        </is>
      </c>
      <c r="D67" s="8">
        <f>"Σειρές αγκυρώσεων + 1 στράτα για πόδι/δάπεδο (" &amp; B9+1 &amp; ")"</f>
        <v/>
      </c>
      <c r="E67" s="8" t="inlineStr">
        <is>
          <t>Σειρές + 1 στράτα</t>
        </is>
      </c>
    </row>
    <row r="68" ht="20" customHeight="1">
      <c r="A68" s="4" t="inlineStr">
        <is>
          <t>Β.2 Υπολογισμοί Σχαρών &amp; Shotcrete Μετώπου</t>
        </is>
      </c>
      <c r="B68" s="4" t="inlineStr"/>
      <c r="C68" s="4" t="inlineStr"/>
      <c r="D68" s="4" t="inlineStr"/>
      <c r="E68" s="4" t="inlineStr"/>
    </row>
    <row r="69" ht="19" customHeight="1">
      <c r="A69" s="11" t="inlineStr">
        <is>
          <t>Συνολικό Μήκος Μετώπου (L)</t>
        </is>
      </c>
      <c r="B69" s="12">
        <f>SUM(B12:B17)</f>
        <v/>
      </c>
      <c r="C69" s="7" t="inlineStr">
        <is>
          <t>m</t>
        </is>
      </c>
      <c r="D69" s="8">
        <f>"L = " &amp; B12 &amp; " + " &amp; B13 &amp; " + " &amp; B14 &amp; " + " &amp; B15 &amp; " + " &amp; B16 &amp; " + " &amp; B17 &amp; " = " &amp; TEXT(SUM(B12:B17), "#,##0.00") &amp; " m"</f>
        <v/>
      </c>
      <c r="E69" s="8" t="inlineStr">
        <is>
          <t>Περίμετρος εκσκαφής</t>
        </is>
      </c>
    </row>
    <row r="70" ht="19" customHeight="1">
      <c r="A70" s="11" t="inlineStr">
        <is>
          <t>ΣΥΝΟΛΙΚΟ ΕΜΒΑΔΟΝ ΜΕΤΩΠΟΥ (A = L × H_exc)</t>
        </is>
      </c>
      <c r="B70" s="12">
        <f>ROUND(B69*B18, 2)</f>
        <v/>
      </c>
      <c r="C70" s="7" t="inlineStr">
        <is>
          <t>m²</t>
        </is>
      </c>
      <c r="D70" s="8">
        <f>"Εμβαδόν A = " &amp; TEXT(B69, "#,##0.00") &amp; " m × " &amp; TEXT(B18, "0.00") &amp; " m = " &amp; TEXT(ROUND(B69*B18, 2), "#,##0.00") &amp; " m²"</f>
        <v/>
      </c>
      <c r="E70" s="8" t="inlineStr">
        <is>
          <t>Επιφάνεια shotcrete &amp; σχαρών</t>
        </is>
      </c>
    </row>
    <row r="71" ht="19" customHeight="1">
      <c r="A71" s="5" t="inlineStr">
        <is>
          <t>Τρέχοντα Μέτρα Οριζόντιων Ράβδων σε 1 m²</t>
        </is>
      </c>
      <c r="B71" s="10">
        <f>1000/B24</f>
        <v/>
      </c>
      <c r="C71" s="7" t="inlineStr">
        <is>
          <t>m / m²</t>
        </is>
      </c>
      <c r="D71" s="8">
        <f>"1000/" &amp; B24 &amp; " mm = " &amp; TEXT(1000/B24, "0.00") &amp; " m/m²"</f>
        <v/>
      </c>
      <c r="E71" s="8" t="inlineStr">
        <is>
          <t>Οριζόντιες ράβδοι Υ10</t>
        </is>
      </c>
    </row>
    <row r="72" ht="19" customHeight="1">
      <c r="A72" s="5" t="inlineStr">
        <is>
          <t>Θεωρητικό Βάρος Οριζόντιας Ράβδου ανά Μέτρο</t>
        </is>
      </c>
      <c r="B72" s="10">
        <f>(PI()*((B23/1000)^2)/4)*7850</f>
        <v/>
      </c>
      <c r="C72" s="7" t="inlineStr">
        <is>
          <t>kg / m</t>
        </is>
      </c>
      <c r="D72" s="8">
        <f>"π * (" &amp; B23 &amp; "/1000)² / 4 * 7850 = " &amp; TEXT((PI()*((B23/1000)^2)/4)*7850, "0.000") &amp; " kg/m"</f>
        <v/>
      </c>
      <c r="E72" s="8" t="inlineStr">
        <is>
          <t>Βάρος Y10</t>
        </is>
      </c>
    </row>
    <row r="73" ht="19" customHeight="1">
      <c r="A73" s="5" t="inlineStr">
        <is>
          <t>Βάρος Οριζόντιων Ράβδων ανά m²</t>
        </is>
      </c>
      <c r="B73" s="10">
        <f>ROUND(B71*B72, 3)</f>
        <v/>
      </c>
      <c r="C73" s="7" t="inlineStr">
        <is>
          <t>kg / m²</t>
        </is>
      </c>
      <c r="D73" s="8">
        <f>"Μέτρα " &amp; TEXT(B71, "0.00") &amp; " × " &amp; TEXT(B72, "0.000") &amp; " = " &amp; TEXT(ROUND(B71*B72, 3), "0.000") &amp; " kg/m²"</f>
        <v/>
      </c>
      <c r="E73" s="8" t="inlineStr">
        <is>
          <t>4.113 kg/m²</t>
        </is>
      </c>
    </row>
    <row r="74" ht="19" customHeight="1">
      <c r="A74" s="5" t="inlineStr">
        <is>
          <t>Τρέχοντα Μέτρα Κατακόρυφων Ράβδων σε 1 m²</t>
        </is>
      </c>
      <c r="B74" s="10">
        <f>1000/B26</f>
        <v/>
      </c>
      <c r="C74" s="7" t="inlineStr">
        <is>
          <t>m / m²</t>
        </is>
      </c>
      <c r="D74" s="8">
        <f>"1000/" &amp; B26 &amp; " mm = " &amp; TEXT(1000/B26, "0.00") &amp; " m/m²"</f>
        <v/>
      </c>
      <c r="E74" s="8" t="inlineStr">
        <is>
          <t>Κατακόρυφες ράβδοι Υ10</t>
        </is>
      </c>
    </row>
    <row r="75" ht="19" customHeight="1">
      <c r="A75" s="5" t="inlineStr">
        <is>
          <t>Θεωρητικό Βάρος Κατακόρυφης Ράβδου ανά Μέτρο</t>
        </is>
      </c>
      <c r="B75" s="10">
        <f>(PI()*((B25/1000)^2)/4)*7850</f>
        <v/>
      </c>
      <c r="C75" s="7" t="inlineStr">
        <is>
          <t>kg / m</t>
        </is>
      </c>
      <c r="D75" s="8">
        <f>"π * (" &amp; B25 &amp; "/1000)² / 4 * 7850 = " &amp; TEXT((PI()*((B25/1000)^2)/4)*7850, "0.000") &amp; " kg/m"</f>
        <v/>
      </c>
      <c r="E75" s="8" t="inlineStr">
        <is>
          <t>Βάρος Y10</t>
        </is>
      </c>
    </row>
    <row r="76" ht="19" customHeight="1">
      <c r="A76" s="5" t="inlineStr">
        <is>
          <t>Βάρος Κατακόρυφων Ράβδων ανά m²</t>
        </is>
      </c>
      <c r="B76" s="10">
        <f>ROUND(B74*B75, 3)</f>
        <v/>
      </c>
      <c r="C76" s="7" t="inlineStr">
        <is>
          <t>kg / m²</t>
        </is>
      </c>
      <c r="D76" s="8">
        <f>"Μέτρα " &amp; TEXT(B74, "0.00") &amp; " × " &amp; TEXT(B75, "0.000") &amp; " = " &amp; TEXT(ROUND(B74*B75, 3), "0.000") &amp; " kg/m²"</f>
        <v/>
      </c>
      <c r="E76" s="8" t="inlineStr">
        <is>
          <t>4.113 kg/m²</t>
        </is>
      </c>
    </row>
    <row r="77" ht="19" customHeight="1">
      <c r="A77" s="5" t="inlineStr">
        <is>
          <t>Υπολογιστικό Βάρος Σχάρας ανά m² (Οριζόντιες + Κατακόρυφες)</t>
        </is>
      </c>
      <c r="B77" s="10">
        <f>ROUND(B73+B76, 3)</f>
        <v/>
      </c>
      <c r="C77" s="7" t="inlineStr">
        <is>
          <t>kg / m²</t>
        </is>
      </c>
      <c r="D77" s="8">
        <f>"Οριζόντιες " &amp; TEXT(B73, "0.000") &amp; " + Κατακόρυφες " &amp; TEXT(B76, "0.000") &amp; " = " &amp; TEXT(ROUND(B73+B76, 3), "0.000") &amp; " kg/m²"</f>
        <v/>
      </c>
      <c r="E77" s="8" t="inlineStr">
        <is>
          <t>8.226 kg/m²</t>
        </is>
      </c>
    </row>
    <row r="78" ht="19" customHeight="1">
      <c r="A78" s="11" t="inlineStr">
        <is>
          <t>ΣΥΝΟΛΙΚΟ ΒΑΡΟΣ ΧΑΛΥΒΑ ΣΧΑΡΩΝ (Y10/Y10) ΕΡΓΟΥ</t>
        </is>
      </c>
      <c r="B78" s="12">
        <f>ROUND(B70*B77, 2)</f>
        <v/>
      </c>
      <c r="C78" s="7" t="inlineStr">
        <is>
          <t>kg</t>
        </is>
      </c>
      <c r="D78" s="8">
        <f>"Εμβαδόν " &amp; TEXT(B70, "#,##0.00") &amp; " m² × " &amp; TEXT(B77, "0.000") &amp; " kg/m²"</f>
        <v/>
      </c>
      <c r="E78" s="8" t="inlineStr">
        <is>
          <t>Συνολικά κιλά χάλυβα σχάρας</t>
        </is>
      </c>
    </row>
    <row r="79" ht="19" customHeight="1">
      <c r="A79" s="5" t="inlineStr">
        <is>
          <t>Ονομαστικό Πάχος Shotcrete Μελέτης</t>
        </is>
      </c>
      <c r="B79" s="10">
        <f>B28</f>
        <v/>
      </c>
      <c r="C79" s="7" t="inlineStr">
        <is>
          <t>m</t>
        </is>
      </c>
      <c r="D79" s="8">
        <f>"Ονομαστικό πάχος " &amp; TEXT(B28*1000, "0") &amp; " mm"</f>
        <v/>
      </c>
      <c r="E79" s="8" t="inlineStr">
        <is>
          <t>Χωρίς απώλεια</t>
        </is>
      </c>
    </row>
    <row r="80" ht="19" customHeight="1">
      <c r="A80" s="5" t="inlineStr">
        <is>
          <t>Ποσοστό Απώλειας επί του Ονομαστικού Πάχους</t>
        </is>
      </c>
      <c r="B80" s="10">
        <f>B29/B28</f>
        <v/>
      </c>
      <c r="C80" s="7" t="inlineStr">
        <is>
          <t>%</t>
        </is>
      </c>
      <c r="D80" s="8">
        <f>"Απώλεια " &amp; B29 &amp; "m / Ονομαστικό " &amp; B28 &amp; "m = " &amp; TEXT(B29/B28, "0.0%") &amp; " (χρεώνεται στα €/m³)"</f>
        <v/>
      </c>
      <c r="E80" s="8" t="inlineStr">
        <is>
          <t>+33.3% προσαύξηση</t>
        </is>
      </c>
    </row>
    <row r="81" ht="19" customHeight="1">
      <c r="A81" s="11" t="inlineStr">
        <is>
          <t>ΣΥΝΟΛΙΚΟΣ ΟΓΚΟΣ SHOTCRETE ΕΡΓΟΥ (ΟΝΟΜΑΣΤΙΚΟΣ)</t>
        </is>
      </c>
      <c r="B81" s="12">
        <f>ROUND(B70*B28, 2)</f>
        <v/>
      </c>
      <c r="C81" s="7" t="inlineStr">
        <is>
          <t>m³</t>
        </is>
      </c>
      <c r="D81" s="8">
        <f>"Εμβαδόν " &amp; TEXT(B70, "#,##0.00") &amp; " m² × " &amp; TEXT(B28, "0.00") &amp; " m ονομαστικό πάχος"</f>
        <v/>
      </c>
      <c r="E81" s="8" t="inlineStr">
        <is>
          <t>Ονομαστικά κυβικά σκυροδέματος</t>
        </is>
      </c>
    </row>
    <row r="82" ht="20" customHeight="1">
      <c r="A82" s="4" t="inlineStr">
        <is>
          <t>Β.3 Υπολογισμοί H-Beams (Διάτρηση, Προφίλ, Λάμες, Κουγκρί Πάκτωσης)</t>
        </is>
      </c>
      <c r="B82" s="4" t="inlineStr"/>
      <c r="C82" s="4" t="inlineStr"/>
      <c r="D82" s="4" t="inlineStr"/>
      <c r="E82" s="4" t="inlineStr"/>
    </row>
    <row r="83" ht="19" customHeight="1">
      <c r="A83" s="5" t="inlineStr">
        <is>
          <t>Συνολικό Μήκος Νέφκας / Βάθος Οπής (L_beam)</t>
        </is>
      </c>
      <c r="B83" s="10">
        <f>B18+B35</f>
        <v/>
      </c>
      <c r="C83" s="7" t="inlineStr">
        <is>
          <t>m / οπή</t>
        </is>
      </c>
      <c r="D83" s="8">
        <f>"L_beam = H_exc (" &amp; B18 &amp; "m) + H_embed (" &amp; B35 &amp; "m) = " &amp; TEXT(B18+B35, "0.00") &amp; " m"</f>
        <v/>
      </c>
      <c r="E83" s="8" t="inlineStr">
        <is>
          <t>16.94m σταθμισμένο βάθος διάτρησης</t>
        </is>
      </c>
    </row>
    <row r="84" ht="19" customHeight="1">
      <c r="A84" s="11" t="inlineStr">
        <is>
          <t>ΣΥΝΟΛΙΚΑ ΜΕΤΡΑ ΔΙΑΤΡΗΣΗΣ ΜΕΓΑΛΟΥ ΤΡΥΠΑΝΙΟΥ</t>
        </is>
      </c>
      <c r="B84" s="12">
        <f>B33*B83</f>
        <v/>
      </c>
      <c r="C84" s="7" t="inlineStr">
        <is>
          <t>m</t>
        </is>
      </c>
      <c r="D84" s="8">
        <f>"Αρ. οπών " &amp; B33 &amp; " × " &amp; TEXT(B83, "0.00") &amp; " m βάθος"</f>
        <v/>
      </c>
      <c r="E84" s="8" t="inlineStr">
        <is>
          <t>116 οπές × 16.94m = 1,965.04 m</t>
        </is>
      </c>
    </row>
    <row r="85" ht="19" customHeight="1">
      <c r="A85" s="5" t="inlineStr">
        <is>
          <t>Κυβικά Εκσκαφής Οπής ανά Μέτρο (D=0.80m)</t>
        </is>
      </c>
      <c r="B85" s="10">
        <f>PI()*((B34/2)^2)</f>
        <v/>
      </c>
      <c r="C85" s="7" t="inlineStr">
        <is>
          <t>m³ / m</t>
        </is>
      </c>
      <c r="D85" s="8">
        <f>"π * (" &amp; TEXT(B34, "0.00") &amp; "/2)² = " &amp; TEXT(PI()*((B34/2)^2), "0.0000") &amp; " m³/m"</f>
        <v/>
      </c>
      <c r="E85" s="8" t="inlineStr">
        <is>
          <t>0.5027 m³/m (D=0.80m)</t>
        </is>
      </c>
    </row>
    <row r="86" ht="19" customHeight="1">
      <c r="A86" s="5" t="inlineStr">
        <is>
          <t>Συνολικά Κυβικά Εκσκαφής Οπών Μεγάλου Τρυπανιού</t>
        </is>
      </c>
      <c r="B86" s="10">
        <f>ROUND(B84*B85, 2)</f>
        <v/>
      </c>
      <c r="C86" s="7" t="inlineStr">
        <is>
          <t>m³</t>
        </is>
      </c>
      <c r="D86" s="8">
        <f>"Μέτρα διάτρησης " &amp; TEXT(B84, "#,##0.00") &amp; " × " &amp; TEXT(B85, "0.0000") &amp; " m³/m"</f>
        <v/>
      </c>
      <c r="E86" s="8" t="inlineStr">
        <is>
          <t>Όγκος εκσκαφής γεώτρησης</t>
        </is>
      </c>
    </row>
    <row r="87" ht="19" customHeight="1">
      <c r="A87" s="11" t="inlineStr">
        <is>
          <t>ΣΥΝΟΛΙΚΟ ΒΑΡΟΣ ΧΑΛΥΒΑ ΝΕΦΚΩΝ (2 No. HEB 200)</t>
        </is>
      </c>
      <c r="B87" s="12">
        <f>ROUND(B33*B37*B83*B38, 2)</f>
        <v/>
      </c>
      <c r="C87" s="7" t="inlineStr">
        <is>
          <t>kg</t>
        </is>
      </c>
      <c r="D87" s="8">
        <f>"Οπές " &amp; B33 &amp; " × " &amp; B37 &amp; " HEB × " &amp; TEXT(B83, "0.00") &amp; "m × " &amp; TEXT(B38, "0.0") &amp; " kg/m"</f>
        <v/>
      </c>
      <c r="E87" s="8" t="inlineStr">
        <is>
          <t>2 HEB 200 ανά οπή</t>
        </is>
      </c>
    </row>
    <row r="88" ht="19" customHeight="1">
      <c r="A88" s="5" t="inlineStr">
        <is>
          <t>Αριθμός Επιπέδων Λαμών ανά Νέφκα (L/s)</t>
        </is>
      </c>
      <c r="B88" s="10">
        <f>ROUNDUP(B83/B39, 0)</f>
        <v/>
      </c>
      <c r="C88" s="7" t="inlineStr">
        <is>
          <t>επίπεδα/οπή</t>
        </is>
      </c>
      <c r="D88" s="8">
        <f>"Μήκος " &amp; TEXT(B83, "0.00") &amp; "m / Βήμα " &amp; TEXT(B39, "0.00") &amp; "m = " &amp; ROUNDUP(B83/B39, 0) &amp; " επίπεδα"</f>
        <v/>
      </c>
      <c r="E88" s="8" t="inlineStr">
        <is>
          <t>17 επίπεδα κατά ύψος</t>
        </is>
      </c>
    </row>
    <row r="89" ht="19" customHeight="1">
      <c r="A89" s="5" t="inlineStr">
        <is>
          <t>Συνολικό Πλήθος Λαμών Σύνδεσης (Αμφίπλευρα)</t>
        </is>
      </c>
      <c r="B89" s="10">
        <f>B33*B88*B40</f>
        <v/>
      </c>
      <c r="C89" s="7" t="inlineStr">
        <is>
          <t>τεμ.</t>
        </is>
      </c>
      <c r="D89" s="8">
        <f>"Οπές " &amp; B33 &amp; " × " &amp; B88 &amp; " επίπεδα × " &amp; B40 &amp; " πλευρές = " &amp; TEXT(B33*B88*B40, "#,##0") &amp; " λάμες"</f>
        <v/>
      </c>
      <c r="E89" s="8" t="inlineStr">
        <is>
          <t>2 λάμες ανά επίπεδο (εκατέρωθεν)</t>
        </is>
      </c>
    </row>
    <row r="90" ht="19" customHeight="1">
      <c r="A90" s="5" t="inlineStr">
        <is>
          <t>Βάρος ανά Λάμα Σύνδεσης</t>
        </is>
      </c>
      <c r="B90" s="10">
        <f>(B41/1000)*(B42/1000)*(B43/1000)*7850</f>
        <v/>
      </c>
      <c r="C90" s="7" t="inlineStr">
        <is>
          <t>kg / τεμ.</t>
        </is>
      </c>
      <c r="D90" s="8">
        <f>"(W/1000) × (L/1000) × (t/1000) × 7850 = " &amp; TEXT((B41/1000)*(B42/1000)*(B43/1000)*7850, "0.000") &amp; " kg"</f>
        <v/>
      </c>
      <c r="E90" s="8" t="inlineStr">
        <is>
          <t>3.140 kg ανά λάμα 200x200x10</t>
        </is>
      </c>
    </row>
    <row r="91" ht="19" customHeight="1">
      <c r="A91" s="11" t="inlineStr">
        <is>
          <t>ΣΥΝΟΛΙΚΟ ΒΑΡΟΣ ΛΑΜΩΝ ΣΥΝΔΕΣΗΣ</t>
        </is>
      </c>
      <c r="B91" s="12">
        <f>ROUND(B89*B90, 2)</f>
        <v/>
      </c>
      <c r="C91" s="7" t="inlineStr">
        <is>
          <t>kg</t>
        </is>
      </c>
      <c r="D91" s="8">
        <f>"Συνολικές λάμες " &amp; TEXT(B89, "#,##0") &amp; " × " &amp; TEXT(B90, "0.000") &amp; " kg/τεμ."</f>
        <v/>
      </c>
      <c r="E91" s="8" t="inlineStr">
        <is>
          <t>Κιλά λαμών ενίσχυσης</t>
        </is>
      </c>
    </row>
    <row r="92" ht="19" customHeight="1">
      <c r="A92" s="11" t="inlineStr">
        <is>
          <t>ΣΥΝΟΛΙΚΟΣ ΟΓΚΟΣ ΚΟΥΓΚΡΙΟΥ ΠΑΚΤΩΣΗΣ (C30/37)</t>
        </is>
      </c>
      <c r="B92" s="12">
        <f>ROUND(B33*B85*B35, 2)</f>
        <v/>
      </c>
      <c r="C92" s="7" t="inlineStr">
        <is>
          <t>m³</t>
        </is>
      </c>
      <c r="D92" s="8">
        <f>"Οπές " &amp; B33 &amp; " × " &amp; TEXT(B85, "0.000") &amp; " m³/m × Πάκτωση " &amp; TEXT(B35, "0.00") &amp; "m"</f>
        <v/>
      </c>
      <c r="E92" s="8" t="inlineStr">
        <is>
          <t>Σκυρόδεμα πάκτωσης H=1.60m (D=0.80m)</t>
        </is>
      </c>
    </row>
    <row r="93" ht="19" customHeight="1">
      <c r="A93" s="5" t="inlineStr">
        <is>
          <t>Συνολικό Μήκος Γωνιών Στήριξης (L 70x70x6)</t>
        </is>
      </c>
      <c r="B93" s="10">
        <f>IF(B44="ΝΑΙ", B33*2*B18, 0)</f>
        <v/>
      </c>
      <c r="C93" s="7" t="inlineStr">
        <is>
          <t>m</t>
        </is>
      </c>
      <c r="D93" s="8">
        <f>"2 γωνιές × Οπές " &amp; B33 &amp; " × Ύψος εκσκαφής " &amp; TEXT(B18, "0.00") &amp; "m"</f>
        <v/>
      </c>
      <c r="E93" s="8" t="inlineStr">
        <is>
          <t>Γωνιές στήριξης σχάρας</t>
        </is>
      </c>
    </row>
    <row r="94" ht="19" customHeight="1">
      <c r="A94" s="11" t="inlineStr">
        <is>
          <t>ΣΥΝΟΛΙΚΟ ΒΑΡΟΣ ΓΩΝΙΩΝ ΣΤΗΡΙΞΗΣ</t>
        </is>
      </c>
      <c r="B94" s="12">
        <f>ROUND(B93*B46, 2)</f>
        <v/>
      </c>
      <c r="C94" s="7" t="inlineStr">
        <is>
          <t>kg</t>
        </is>
      </c>
      <c r="D94" s="8">
        <f>"Μήκος " &amp; TEXT(B93, "#,##0.00") &amp; " m × " &amp; TEXT(B46, "0.00") &amp; " kg/m"</f>
        <v/>
      </c>
      <c r="E94" s="8" t="inlineStr">
        <is>
          <t>Κιλά γωνιών L 70x70x6</t>
        </is>
      </c>
    </row>
    <row r="95" ht="20" customHeight="1">
      <c r="A95" s="4" t="inlineStr">
        <is>
          <t>Β.4 Υπολογισμοί Αγκυρώσεων (Διάτρηση, Grout, Τένοντες, Προένταση, Κεφαλές)</t>
        </is>
      </c>
      <c r="B95" s="4" t="inlineStr"/>
      <c r="C95" s="4" t="inlineStr"/>
      <c r="D95" s="4" t="inlineStr"/>
      <c r="E95" s="4" t="inlineStr"/>
    </row>
    <row r="96" ht="19" customHeight="1">
      <c r="A96" s="11" t="inlineStr">
        <is>
          <t>ΣΥΝΟΛΙΚΟ ΠΛΗΘΟΣ ΑΓΚΥΡΩΣΕΩΝ ΕΡΓΟΥ</t>
        </is>
      </c>
      <c r="B96" s="12">
        <f>SUM(B49,B51,B53,B55)</f>
        <v/>
      </c>
      <c r="C96" s="7" t="inlineStr">
        <is>
          <t>τεμ.</t>
        </is>
      </c>
      <c r="D96" s="8">
        <f>"4 σειρές (116+116+116+101) = " &amp; TEXT(SUM(B49,B51,B53,B55), "#,##0") &amp; " αγκυρώσεις"</f>
        <v/>
      </c>
      <c r="E96" s="8" t="inlineStr">
        <is>
          <t>449 αγκυρώσεις συνολικά</t>
        </is>
      </c>
    </row>
    <row r="97" ht="19" customHeight="1">
      <c r="A97" s="5" t="inlineStr">
        <is>
          <t>Μέτρα Διάτρησης Αγκυρώσεων Σειράς 1</t>
        </is>
      </c>
      <c r="B97" s="10">
        <f>B49*B50</f>
        <v/>
      </c>
      <c r="C97" s="7" t="inlineStr">
        <is>
          <t>m</t>
        </is>
      </c>
      <c r="D97" s="8">
        <f>"=" &amp; B49 &amp; " αγκυρώσεις × " &amp; TEXT(B50, "0.00") &amp; " m"</f>
        <v/>
      </c>
      <c r="E97" s="8" t="inlineStr">
        <is>
          <t>116 × 19.87m = 2,304.92 m</t>
        </is>
      </c>
    </row>
    <row r="98" ht="19" customHeight="1">
      <c r="A98" s="5" t="inlineStr">
        <is>
          <t>Μέτρα Διάτρησης Αγκυρώσεων Σειράς 2</t>
        </is>
      </c>
      <c r="B98" s="10">
        <f>B51*B52</f>
        <v/>
      </c>
      <c r="C98" s="7" t="inlineStr">
        <is>
          <t>m</t>
        </is>
      </c>
      <c r="D98" s="8">
        <f>"=" &amp; B51 &amp; " αγκυρώσεις × " &amp; TEXT(B52, "0.00") &amp; " m"</f>
        <v/>
      </c>
      <c r="E98" s="8" t="inlineStr">
        <is>
          <t>116 × 19.18m = 2,224.88 m</t>
        </is>
      </c>
    </row>
    <row r="99" ht="19" customHeight="1">
      <c r="A99" s="5" t="inlineStr">
        <is>
          <t>Μέτρα Διάτρησης Αγκυρώσεων Σειράς 3</t>
        </is>
      </c>
      <c r="B99" s="10">
        <f>B53*B54</f>
        <v/>
      </c>
      <c r="C99" s="7" t="inlineStr">
        <is>
          <t>m</t>
        </is>
      </c>
      <c r="D99" s="8">
        <f>"=" &amp; B53 &amp; " αγκυρώσεις × " &amp; TEXT(B54, "0.00") &amp; " m"</f>
        <v/>
      </c>
      <c r="E99" s="8" t="inlineStr">
        <is>
          <t>116 × 19.16m = 2,222.56 m</t>
        </is>
      </c>
    </row>
    <row r="100" ht="19" customHeight="1">
      <c r="A100" s="5" t="inlineStr">
        <is>
          <t>Μέτρα Διάτρησης Αγκυρώσεων Σειράς 4</t>
        </is>
      </c>
      <c r="B100" s="10">
        <f>B55*B56</f>
        <v/>
      </c>
      <c r="C100" s="7" t="inlineStr">
        <is>
          <t>m</t>
        </is>
      </c>
      <c r="D100" s="8">
        <f>"=" &amp; B55 &amp; " αγκυρώσεις × " &amp; TEXT(B56, "0.00") &amp; " m"</f>
        <v/>
      </c>
      <c r="E100" s="8" t="inlineStr">
        <is>
          <t>101 × 16.67m = 1,683.67 m</t>
        </is>
      </c>
    </row>
    <row r="101" ht="19" customHeight="1">
      <c r="A101" s="11" t="inlineStr">
        <is>
          <t>ΣΥΝΟΛΙΚΑ ΜΕΤΡΑ ΔΙΑΤΡΗΣΗΣ ΑΓΚΥΡΩΣΕΩΝ</t>
        </is>
      </c>
      <c r="B101" s="12">
        <f>SUM(B97:B100)</f>
        <v/>
      </c>
      <c r="C101" s="7" t="inlineStr">
        <is>
          <t>m</t>
        </is>
      </c>
      <c r="D101" s="8">
        <f>"Άθροισμα 4 σειρών = " &amp; TEXT(SUM(B97:B100), "#,##0.00") &amp; " m διάτρησης"</f>
        <v/>
      </c>
      <c r="E101" s="8" t="inlineStr">
        <is>
          <t>8,436.03 m διάτρησης</t>
        </is>
      </c>
    </row>
    <row r="102" ht="19" customHeight="1">
      <c r="A102" s="5" t="inlineStr">
        <is>
          <t>Όγκος Grout ανά Μέτρο Διάτρησης Αγκύρωσης</t>
        </is>
      </c>
      <c r="B102" s="10">
        <f>PI()*((B59/2)^2)*B60</f>
        <v/>
      </c>
      <c r="C102" s="7" t="inlineStr">
        <is>
          <t>m³ / m</t>
        </is>
      </c>
      <c r="D102" s="8">
        <f>"π * (" &amp; TEXT(B59, "0.00") &amp; "/2)² * " &amp; TEXT(B60, "0.0") &amp; " = " &amp; TEXT(PI()*((B59/2)^2)*B60, "0.000000") &amp; " m³/m"</f>
        <v/>
      </c>
      <c r="E102" s="8" t="inlineStr">
        <is>
          <t>0.021206 m³/m (Ø150mm * 1.20)</t>
        </is>
      </c>
    </row>
    <row r="103" ht="19" customHeight="1">
      <c r="A103" s="11" t="inlineStr">
        <is>
          <t>ΣΥΝΟΛΙΚΟΣ ΟΓΚΟΣ GROUT ΑΓΚΥΡΩΣΕΩΝ</t>
        </is>
      </c>
      <c r="B103" s="12">
        <f>ROUND(B101*B102, 2)</f>
        <v/>
      </c>
      <c r="C103" s="7" t="inlineStr">
        <is>
          <t>m³</t>
        </is>
      </c>
      <c r="D103" s="8">
        <f>"Μέτρα διάτρησης " &amp; TEXT(B101, "#,##0.00") &amp; "m × " &amp; TEXT(B102, "0.0000") &amp; " m³/m"</f>
        <v/>
      </c>
      <c r="E103" s="8" t="inlineStr">
        <is>
          <t>Grout πλήρωσης οπών αγκύρωσης</t>
        </is>
      </c>
    </row>
    <row r="104" ht="19" customHeight="1">
      <c r="A104" s="11" t="inlineStr">
        <is>
          <t>ΣΥΝΟΛΙΚΟ ΜΗΚΟΣ ΤΕΝΟΝΤΩΝ (STRANDS 0.6")</t>
        </is>
      </c>
      <c r="B104" s="12">
        <f>(B49*(B50+B58)*B57)+(B51*(B52+B58)*B57)+(B53*(B54+B58)*B57)+(B55*(B56+B58)*B57)</f>
        <v/>
      </c>
      <c r="C104" s="7" t="inlineStr">
        <is>
          <t>m</t>
        </is>
      </c>
      <c r="D104" s="8">
        <f>"Σειρές 1-4: (L_drill + 1.0m) × 4 strands × αγκυρώσεις"</f>
        <v/>
      </c>
      <c r="E104" s="8" t="inlineStr">
        <is>
          <t>Συνολικά μέτρα συρματόσχοινων</t>
        </is>
      </c>
    </row>
    <row r="105" ht="19" customHeight="1">
      <c r="A105" s="11" t="inlineStr">
        <is>
          <t>ΣΥΝΟΛΙΚΟ ΒΑΡΟΣ ΤΕΝΟΝΤΩΝ</t>
        </is>
      </c>
      <c r="B105" s="12">
        <f>ROUND(B104*B61, 2)</f>
        <v/>
      </c>
      <c r="C105" s="7" t="inlineStr">
        <is>
          <t>kg</t>
        </is>
      </c>
      <c r="D105" s="8">
        <f>"Μήκος " &amp; TEXT(B104, "#,##0.00") &amp; " m × " &amp; TEXT(B61, "0.0") &amp; " kg/m"</f>
        <v/>
      </c>
      <c r="E105" s="8" t="inlineStr">
        <is>
          <t>Βάρος χάλυβα προέντασης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  <col width="22" customWidth="1" min="4" max="4"/>
    <col width="24" customWidth="1" min="5" max="5"/>
    <col width="55" customWidth="1" min="6" max="6"/>
  </cols>
  <sheetData>
    <row r="1">
      <c r="A1" s="1" t="inlineStr">
        <is>
          <t>ΕΡΓΟ: BOLTON TOWER (BERLIN WALL &amp; ΑΓΚΥΡΩΣΕΙΣ) — ΟΙΚΟΝΟΜΙΚΗ ΠΡΟΣΦΟΡΑ &amp; ΚΟΣΤΟΛΟΓΗΣΗ</t>
        </is>
      </c>
    </row>
    <row r="2">
      <c r="A2" s="2" t="inlineStr">
        <is>
          <t>Οι τιμές μονάδας περιλαμβάνουν ήδη γενικά έξοδα, απρόβλεπτα &amp; εργολαβικό όφελος</t>
        </is>
      </c>
      <c r="B2" s="13" t="inlineStr">
        <is>
          <t>[ΚΙΤΡΙΝΟ #FFF2CC] = Τιμές Μονάδας</t>
        </is>
      </c>
      <c r="C2" s="14" t="inlineStr">
        <is>
          <t>[ΠΟΡΤΟΚΑΛΙ #FFE699] = Κουγκρί Πάκτωσης</t>
        </is>
      </c>
    </row>
    <row r="4" ht="24" customHeight="1">
      <c r="A4" s="15" t="inlineStr">
        <is>
          <t>Περιγραφή Εργασίας / Υλικού</t>
        </is>
      </c>
      <c r="B4" s="16" t="inlineStr">
        <is>
          <t>Ποσότητα</t>
        </is>
      </c>
      <c r="C4" s="16" t="inlineStr">
        <is>
          <t>Μονάδα</t>
        </is>
      </c>
      <c r="D4" s="16" t="inlineStr">
        <is>
          <t>Τιμή Μονάδας (€)</t>
        </is>
      </c>
      <c r="E4" s="15" t="inlineStr">
        <is>
          <t>Συνολικό Κόστος (€)</t>
        </is>
      </c>
      <c r="F4" s="15" t="inlineStr">
        <is>
          <t>Πηγή Ποσότητας / Τεχνικός Κανόνας</t>
        </is>
      </c>
    </row>
    <row r="5" ht="20" customHeight="1">
      <c r="A5" s="4" t="inlineStr">
        <is>
          <t>ΠΥΛΩΝΑΣ 1: ΜΕΤΑΚΙΝΗΣΕΙΣ &amp; ΣΤΡΑΤΕΣ (3 ΕΙΔΗ)</t>
        </is>
      </c>
      <c r="B5" s="4" t="inlineStr"/>
      <c r="C5" s="4" t="inlineStr"/>
      <c r="D5" s="4" t="inlineStr"/>
      <c r="E5" s="4" t="inlineStr"/>
      <c r="F5" s="4" t="inlineStr"/>
    </row>
    <row r="6" ht="19" customHeight="1">
      <c r="A6" s="5" t="inlineStr">
        <is>
          <t>Μετακίνηση Μεγάλου Τρυπανιού (Piling Rig)</t>
        </is>
      </c>
      <c r="B6" s="17">
        <f>'1_Στοιχεία_Μελέτης_&amp;_Ποσότητες'!B65</f>
        <v/>
      </c>
      <c r="C6" s="7" t="inlineStr">
        <is>
          <t>στράτες</t>
        </is>
      </c>
      <c r="D6" s="18" t="n">
        <v>1500</v>
      </c>
      <c r="E6" s="19">
        <f>B6*D6</f>
        <v/>
      </c>
      <c r="F6" s="8" t="inlineStr">
        <is>
          <t>Βάση Λεμεσός (0-40 km από έδρα Αγίου Συλά: 1,500€ βασική)</t>
        </is>
      </c>
    </row>
    <row r="7" ht="19" customHeight="1">
      <c r="A7" s="5" t="inlineStr">
        <is>
          <t>Μετακινήσεις Εξοπλισμού Αγκυρώσεων</t>
        </is>
      </c>
      <c r="B7" s="17">
        <f>'1_Στοιχεία_Μελέτης_&amp;_Ποσότητες'!B66</f>
        <v/>
      </c>
      <c r="C7" s="7" t="inlineStr">
        <is>
          <t>στράτες</t>
        </is>
      </c>
      <c r="D7" s="18" t="n">
        <v>300</v>
      </c>
      <c r="E7" s="19">
        <f>B7*D7</f>
        <v/>
      </c>
      <c r="F7" s="8">
        <f>'1_Στοιχεία_Μελέτης_&amp;_Ποσότητες'!B66 &amp; " στράτες (όσες οι σειρές αγκυρώσεων = 4 στα 300€)"</f>
        <v/>
      </c>
    </row>
    <row r="8" ht="19" customHeight="1">
      <c r="A8" s="5" t="inlineStr">
        <is>
          <t>Μετακινήσεις Συνεργείου &amp; Αντλίας Shotcrete</t>
        </is>
      </c>
      <c r="B8" s="17">
        <f>'1_Στοιχεία_Μελέτης_&amp;_Ποσότητες'!B67</f>
        <v/>
      </c>
      <c r="C8" s="7" t="inlineStr">
        <is>
          <t>στράτες</t>
        </is>
      </c>
      <c r="D8" s="18" t="n">
        <v>200</v>
      </c>
      <c r="E8" s="19">
        <f>B8*D8</f>
        <v/>
      </c>
      <c r="F8" s="8">
        <f>'1_Στοιχεία_Μελέτης_&amp;_Ποσότητες'!B67 &amp; " στράτες (σειρές αγκυρώσεων + 1 = 5 στα 200€)"</f>
        <v/>
      </c>
    </row>
    <row r="9" ht="20" customHeight="1">
      <c r="A9" s="11" t="inlineStr">
        <is>
          <t>ΣΥΝΟΛΟ ΠΥΛΩΝΑ 1 (ΜΕΤΑΚΙΝΗΣΕΙΣ)</t>
        </is>
      </c>
      <c r="B9" s="20" t="inlineStr"/>
      <c r="C9" s="20" t="inlineStr"/>
      <c r="D9" s="20" t="inlineStr"/>
      <c r="E9" s="21">
        <f>SUM(E6:E8)</f>
        <v/>
      </c>
      <c r="F9" s="20" t="inlineStr"/>
    </row>
    <row r="11" ht="20" customHeight="1">
      <c r="A11" s="4" t="inlineStr">
        <is>
          <t>ΠΥΛΩΝΑΣ 2: ΣΧΑΡΕΣ &amp; ΕΚΤΟΞΕΥΟΜΕΝΟ ΣΚΥΡΟΔΕΜΑ (SHOTCRETE)</t>
        </is>
      </c>
      <c r="B11" s="4" t="inlineStr"/>
      <c r="C11" s="4" t="inlineStr"/>
      <c r="D11" s="4" t="inlineStr"/>
      <c r="E11" s="4" t="inlineStr"/>
      <c r="F11" s="4" t="inlineStr"/>
    </row>
    <row r="12" ht="19" customHeight="1">
      <c r="A12" s="5">
        <f>"Αγορά Χάλυβα Σχάρας (Y" &amp; '1_Στοιχεία_Μελέτης_&amp;_Ποσότητες'!B23 &amp; "/Y" &amp; '1_Στοιχεία_Μελέτης_&amp;_Ποσότητες'!B25 &amp; ")"</f>
        <v/>
      </c>
      <c r="B12" s="17">
        <f>'1_Στοιχεία_Μελέτης_&amp;_Ποσότητες'!B78</f>
        <v/>
      </c>
      <c r="C12" s="7" t="inlineStr">
        <is>
          <t>kg</t>
        </is>
      </c>
      <c r="D12" s="18" t="n">
        <v>2.5</v>
      </c>
      <c r="E12" s="19">
        <f>B12*D12</f>
        <v/>
      </c>
      <c r="F12" s="8">
        <f>"Από Φύλλο 1 (" &amp; TEXT(B12, "#,##0.00") &amp; " kg) × 2.50 €/kg"</f>
        <v/>
      </c>
    </row>
    <row r="13" ht="19" customHeight="1">
      <c r="A13" s="5" t="inlineStr">
        <is>
          <t>Τοποθέτηση Σχάρας / Εργατικά Μετώπου</t>
        </is>
      </c>
      <c r="B13" s="17">
        <f>'1_Στοιχεία_Μελέτης_&amp;_Ποσότητες'!B70</f>
        <v/>
      </c>
      <c r="C13" s="7" t="inlineStr">
        <is>
          <t>m²</t>
        </is>
      </c>
      <c r="D13" s="18" t="n">
        <v>15</v>
      </c>
      <c r="E13" s="19">
        <f>B13*D13</f>
        <v/>
      </c>
      <c r="F13" s="8">
        <f>"Από Φύλλο 1 (" &amp; TEXT(B13, "#,##0.00") &amp; " m²) × 15.00 €/m²"</f>
        <v/>
      </c>
    </row>
    <row r="14" ht="19" customHeight="1">
      <c r="A14" s="5">
        <f>"Αγορά Σκυροδέματος Shotcrete (" &amp; '1_Στοιχεία_Μελέτης_&amp;_Ποσότητες'!B27 &amp; ")"</f>
        <v/>
      </c>
      <c r="B14" s="17">
        <f>'1_Στοιχεία_Μελέτης_&amp;_Ποσότητες'!B81</f>
        <v/>
      </c>
      <c r="C14" s="7" t="inlineStr">
        <is>
          <t>m³</t>
        </is>
      </c>
      <c r="D14" s="18" t="n">
        <v>90</v>
      </c>
      <c r="E14" s="19">
        <f>B14*D14</f>
        <v/>
      </c>
      <c r="F14" s="8">
        <f>"Σταθερή τιμή αγοράς C30/37 (90.00 €/m³) για " &amp; TEXT(B14, "#,##0.00") &amp; " m³"</f>
        <v/>
      </c>
    </row>
    <row r="15" ht="19" customHeight="1">
      <c r="A15" s="5" t="inlineStr">
        <is>
          <t>Τοποθέτηση / Εκτόξευση / Αντλία (με προσαύξηση απώλειας)</t>
        </is>
      </c>
      <c r="B15" s="17">
        <f>'1_Στοιχεία_Μελέτης_&amp;_Ποσότητες'!B81</f>
        <v/>
      </c>
      <c r="C15" s="7" t="inlineStr">
        <is>
          <t>m³</t>
        </is>
      </c>
      <c r="D15" s="18">
        <f>ROUND((IF(B14&gt;7, 200, 250)*(1+'1_Στοιχεία_Μελέτης_&amp;_Ποσότητες'!B80))-90, 2)</f>
        <v/>
      </c>
      <c r="E15" s="19">
        <f>B15*D15</f>
        <v/>
      </c>
      <c r="F15" s="8">
        <f>"Βάση " &amp; IF(B14&gt;7,200,250) &amp; "€ × (1+" &amp; TEXT('1_Στοιχεία_Μελέτης_&amp;_Ποσότητες'!B80, "0.0%") &amp; " απώλεια) - 90€ αγορά"</f>
        <v/>
      </c>
    </row>
    <row r="16" ht="20" customHeight="1">
      <c r="A16" s="11" t="inlineStr">
        <is>
          <t>ΣΥΝΟΛΟ ΠΥΛΩΝΑ 2 (ΣΧΑΡΕΣ &amp; SHOTCRETE)</t>
        </is>
      </c>
      <c r="B16" s="20" t="inlineStr"/>
      <c r="C16" s="20" t="inlineStr"/>
      <c r="D16" s="20" t="inlineStr"/>
      <c r="E16" s="21">
        <f>SUM(E12:E15)</f>
        <v/>
      </c>
      <c r="F16" s="20" t="inlineStr"/>
    </row>
    <row r="18" ht="20" customHeight="1">
      <c r="A18" s="4" t="inlineStr">
        <is>
          <t>ΠΥΛΩΝΑΣ 3: H-BEAMS (ΝΕΦΚΕΣ / SOLDIER PILES — 5 ΕΡΓΑΣΙΕΣ/ΥΛΙΚΑ)</t>
        </is>
      </c>
      <c r="B18" s="4" t="inlineStr"/>
      <c r="C18" s="4" t="inlineStr"/>
      <c r="D18" s="4" t="inlineStr"/>
      <c r="E18" s="4" t="inlineStr"/>
      <c r="F18" s="4" t="inlineStr"/>
    </row>
    <row r="19" ht="19" customHeight="1">
      <c r="A19" s="5">
        <f>"3.1 Διάτρηση Μεγάλου Τρυπανιού (Ø" &amp; TEXT('1_Στοιχεία_Μελέτης_&amp;_Ποσότητες'!B34*1000, "0") &amp; " mm)"</f>
        <v/>
      </c>
      <c r="B19" s="17">
        <f>'1_Στοιχεία_Μελέτης_&amp;_Ποσότητες'!B84</f>
        <v/>
      </c>
      <c r="C19" s="7" t="inlineStr">
        <is>
          <t>m</t>
        </is>
      </c>
      <c r="D19" s="18" t="n">
        <v>75</v>
      </c>
      <c r="E19" s="19">
        <f>B19*D19</f>
        <v/>
      </c>
      <c r="F19" s="8">
        <f>"Ελάχιστη διάμετρος Ø800 mm για " &amp; '1_Στοιχεία_Μελέτης_&amp;_Ποσότητες'!B33 &amp; " πασσάλους στα 75.00 €/m"</f>
        <v/>
      </c>
    </row>
    <row r="20" ht="19" customHeight="1">
      <c r="A20" s="5">
        <f>"3.2 Νέφκες Χάλυβα (" &amp; '1_Στοιχεία_Μελέτης_&amp;_Ποσότητες'!B36 &amp; " - Αγορά + Επεξεργασία)"</f>
        <v/>
      </c>
      <c r="B20" s="17">
        <f>'1_Στοιχεία_Μελέτης_&amp;_Ποσότητες'!B87</f>
        <v/>
      </c>
      <c r="C20" s="7" t="inlineStr">
        <is>
          <t>kg</t>
        </is>
      </c>
      <c r="D20" s="18" t="n">
        <v>1.4</v>
      </c>
      <c r="E20" s="19">
        <f>B20*D20</f>
        <v/>
      </c>
      <c r="F20" s="8" t="inlineStr">
        <is>
          <t>1.00 €/kg αγορά + 0.40 €/kg επεξεργασία = 1.40 €/kg</t>
        </is>
      </c>
    </row>
    <row r="21" ht="19" customHeight="1">
      <c r="A21" s="5">
        <f>"3.3 Λάμες Σύνδεσης/Ενίσχυσης (" &amp; '1_Στοιχεία_Μελέτης_&amp;_Ποσότητες'!B41 &amp; "×" &amp; '1_Στοιχεία_Μελέτης_&amp;_Ποσότητες'!B42 &amp; "×" &amp; '1_Στοιχεία_Μελέτης_&amp;_Ποσότητες'!B43 &amp; " mm)"</f>
        <v/>
      </c>
      <c r="B21" s="17">
        <f>'1_Στοιχεία_Μελέτης_&amp;_Ποσότητες'!B91</f>
        <v/>
      </c>
      <c r="C21" s="7" t="inlineStr">
        <is>
          <t>kg</t>
        </is>
      </c>
      <c r="D21" s="18" t="n">
        <v>1.6</v>
      </c>
      <c r="E21" s="19">
        <f>B21*D21</f>
        <v/>
      </c>
      <c r="F21" s="8" t="inlineStr">
        <is>
          <t>1.00 €/kg αγορά + 0.60 €/kg τοποθέτηση = 1.60 €/kg</t>
        </is>
      </c>
    </row>
    <row r="22" ht="19" customHeight="1">
      <c r="A22" s="5">
        <f>"3.4 Κουγκρί Πάκτωσης Οπών Νέφκας (" &amp; '1_Στοιχεία_Μελέτης_&amp;_Ποσότητες'!B27 &amp; ")"</f>
        <v/>
      </c>
      <c r="B22" s="17">
        <f>'1_Στοιχεία_Μελέτης_&amp;_Ποσότητες'!B92</f>
        <v/>
      </c>
      <c r="C22" s="7" t="inlineStr">
        <is>
          <t>m³</t>
        </is>
      </c>
      <c r="D22" s="22" t="n">
        <v>120</v>
      </c>
      <c r="E22" s="19">
        <f>B22*D22</f>
        <v/>
      </c>
      <c r="F22" s="8" t="inlineStr">
        <is>
          <t>120.00 €/m³ (Διακριτό πορτοκαλί χρώμα #FFE699 για άμεση εποπτεία)</t>
        </is>
      </c>
    </row>
    <row r="23" ht="19" customHeight="1">
      <c r="A23" s="5">
        <f>"3.5 Γωνιές Στήριξης (" &amp; '1_Στοιχεία_Μελέτης_&amp;_Ποσότητες'!B45 &amp; " - αν ζητούνται)"</f>
        <v/>
      </c>
      <c r="B23" s="17">
        <f>'1_Στοιχεία_Μελέτης_&amp;_Ποσότητες'!B94</f>
        <v/>
      </c>
      <c r="C23" s="7" t="inlineStr">
        <is>
          <t>kg</t>
        </is>
      </c>
      <c r="D23" s="18" t="n">
        <v>1.6</v>
      </c>
      <c r="E23" s="19">
        <f>B23*D23</f>
        <v/>
      </c>
      <c r="F23" s="8" t="inlineStr">
        <is>
          <t>1.00 €/kg αγορά + 0.60 €/kg επεξεργασία = 1.60 €/kg</t>
        </is>
      </c>
    </row>
    <row r="24" ht="20" customHeight="1">
      <c r="A24" s="11" t="inlineStr">
        <is>
          <t>ΣΥΝΟΛΟ ΠΥΛΩΝΑ 3 (H-BEAMS / ΝΕΦΚΕΣ)</t>
        </is>
      </c>
      <c r="B24" s="20" t="inlineStr"/>
      <c r="C24" s="20" t="inlineStr"/>
      <c r="D24" s="20" t="inlineStr"/>
      <c r="E24" s="21">
        <f>SUM(E19:E23)</f>
        <v/>
      </c>
      <c r="F24" s="20" t="inlineStr"/>
    </row>
    <row r="26" ht="20" customHeight="1">
      <c r="A26" s="4" t="inlineStr">
        <is>
          <t>ΠΥΛΩΝΑΣ 4: ΑΓΚΥΡΩΣΕΙΣ (PRESTRESSED TIEBACK ANCHORS — 5 ΕΡΓΑΣΙΕΣ/ΥΛΙΚΑ)</t>
        </is>
      </c>
      <c r="B26" s="4" t="inlineStr"/>
      <c r="C26" s="4" t="inlineStr"/>
      <c r="D26" s="4" t="inlineStr"/>
      <c r="E26" s="4" t="inlineStr"/>
      <c r="F26" s="4" t="inlineStr"/>
    </row>
    <row r="27" ht="19" customHeight="1">
      <c r="A27" s="5">
        <f>"4.1 Διάτρηση / Τρύπημα Αγκυρώσεων (Ø" &amp; TEXT('1_Στοιχεία_Μελέτης_&amp;_Ποσότητες'!B59*1000, "0") &amp; " mm)"</f>
        <v/>
      </c>
      <c r="B27" s="17">
        <f>'1_Στοιχεία_Μελέτης_&amp;_Ποσότητες'!B101</f>
        <v/>
      </c>
      <c r="C27" s="7" t="inlineStr">
        <is>
          <t>m</t>
        </is>
      </c>
      <c r="D27" s="18" t="n">
        <v>30</v>
      </c>
      <c r="E27" s="19">
        <f>B27*D27</f>
        <v/>
      </c>
      <c r="F27" s="8">
        <f>"Διάτρηση Ø150 mm για " &amp; '1_Στοιχεία_Μελέτης_&amp;_Ποσότητες'!B96 &amp; " αγκυρώσεις στα 30.00 €/m"</f>
        <v/>
      </c>
    </row>
    <row r="28" ht="19" customHeight="1">
      <c r="A28" s="5" t="inlineStr">
        <is>
          <t>4.2 Grout Τσιμεντένεμα Αγκυρώσεων (με απώλεια 1.20)</t>
        </is>
      </c>
      <c r="B28" s="17">
        <f>'1_Στοιχεία_Μελέτης_&amp;_Ποσότητες'!B103</f>
        <v/>
      </c>
      <c r="C28" s="7" t="inlineStr">
        <is>
          <t>m³</t>
        </is>
      </c>
      <c r="D28" s="18" t="n">
        <v>500</v>
      </c>
      <c r="E28" s="19">
        <f>B28*D28</f>
        <v/>
      </c>
      <c r="F28" s="8">
        <f>"500.00 €/m³ grout πλήρωσης οπής για " &amp; TEXT(B28, "#,##0.00") &amp; " m³"</f>
        <v/>
      </c>
    </row>
    <row r="29" ht="19" customHeight="1">
      <c r="A29" s="5" t="inlineStr">
        <is>
          <t>4.3 Τένοντες Προέντασης (Strands 0.6" - 1.10 kg/m)</t>
        </is>
      </c>
      <c r="B29" s="17">
        <f>'1_Στοιχεία_Μελέτης_&amp;_Ποσότητες'!B104</f>
        <v/>
      </c>
      <c r="C29" s="7" t="inlineStr">
        <is>
          <t>m</t>
        </is>
      </c>
      <c r="D29" s="18" t="n">
        <v>2.28</v>
      </c>
      <c r="E29" s="19">
        <f>B29*D29</f>
        <v/>
      </c>
      <c r="F29" s="8" t="inlineStr">
        <is>
          <t>2.28 €/m τρέχον τένοντα (συμπεριλαμβάνει +1.0m έξω από το μέτωπο)</t>
        </is>
      </c>
    </row>
    <row r="30" ht="19" customHeight="1">
      <c r="A30" s="5" t="inlineStr">
        <is>
          <t>4.4 Προένταση Αγκυρώσεων (Stressing &amp; Lock-off)</t>
        </is>
      </c>
      <c r="B30" s="17">
        <f>'1_Στοιχεία_Μελέτης_&amp;_Ποσότητες'!B96</f>
        <v/>
      </c>
      <c r="C30" s="7" t="inlineStr">
        <is>
          <t>τεμ.</t>
        </is>
      </c>
      <c r="D30" s="18" t="n">
        <v>18</v>
      </c>
      <c r="E30" s="19">
        <f>B30*D30</f>
        <v/>
      </c>
      <c r="F30" s="8">
        <f>"18.00 € ανά οπή / αγκύρωση για " &amp; '1_Στοιχεία_Μελέτης_&amp;_Ποσότητες'!B96 &amp; " αγκυρώσεις"</f>
        <v/>
      </c>
    </row>
    <row r="31" ht="19" customHeight="1">
      <c r="A31" s="5" t="inlineStr">
        <is>
          <t>4.5 Κεφαλή Αγκύρωσης (Anchor Head, Wedges, Plate)</t>
        </is>
      </c>
      <c r="B31" s="17">
        <f>'1_Στοιχεία_Μελέτης_&amp;_Ποσότητες'!B96</f>
        <v/>
      </c>
      <c r="C31" s="7" t="inlineStr">
        <is>
          <t>τεμ.</t>
        </is>
      </c>
      <c r="D31" s="18" t="n">
        <v>55</v>
      </c>
      <c r="E31" s="19">
        <f>B31*D31</f>
        <v/>
      </c>
      <c r="F31" s="8">
        <f>"55.00 € ανά οπή / αγκύρωση πλήρες σετ για " &amp; '1_Στοιχεία_Μελέτης_&amp;_Ποσότητες'!B96 &amp; " αγκυρώσεις"</f>
        <v/>
      </c>
    </row>
    <row r="32" ht="20" customHeight="1">
      <c r="A32" s="11" t="inlineStr">
        <is>
          <t>ΣΥΝΟΛΟ ΠΥΛΩΝΑ 4 (ΑΓΚΥΡΩΣΕΙΣ)</t>
        </is>
      </c>
      <c r="B32" s="20" t="inlineStr"/>
      <c r="C32" s="20" t="inlineStr"/>
      <c r="D32" s="20" t="inlineStr"/>
      <c r="E32" s="21">
        <f>SUM(E27:E31)</f>
        <v/>
      </c>
      <c r="F32" s="20" t="inlineStr"/>
    </row>
    <row r="34" ht="20" customHeight="1">
      <c r="A34" s="4" t="inlineStr">
        <is>
          <t>ΤΕΛΙΚΑ ΣΥΝΟΛΑ ΠΡΟΣΦΟΡΑΣ (ΓΕΝΙΚΑ ΕΞΟΔΑ &amp; ΚΕΡΔΟΣ ΕΝΣΩΜΑΤΩΜΕΝΑ ΣΤΙΣ ΤΙΜΕΣ)</t>
        </is>
      </c>
      <c r="B34" s="4" t="inlineStr"/>
      <c r="C34" s="4" t="inlineStr"/>
      <c r="D34" s="4" t="inlineStr"/>
      <c r="E34" s="4" t="inlineStr"/>
      <c r="F34" s="4" t="inlineStr"/>
    </row>
    <row r="35" ht="22" customHeight="1">
      <c r="A35" s="11" t="inlineStr">
        <is>
          <t>ΚΑΘΑΡΟ ΣΥΝΟΛΟ ΠΡΟΣΦΟΡΑΣ (ΠΡΟ Φ.Π.Α.)</t>
        </is>
      </c>
      <c r="B35" s="20" t="inlineStr"/>
      <c r="C35" s="20" t="inlineStr"/>
      <c r="D35" s="20" t="inlineStr"/>
      <c r="E35" s="23">
        <f>E9+E16+E24+E32</f>
        <v/>
      </c>
      <c r="F35" s="8" t="inlineStr">
        <is>
          <t>Άθροισμα 4 Πυλώνων (Περιλαμβάνει Γενικά Έξοδα &amp; Όφελος)</t>
        </is>
      </c>
    </row>
    <row r="36" ht="22" customHeight="1">
      <c r="A36" s="11" t="inlineStr">
        <is>
          <t>Φ.Π.Α. (19%)</t>
        </is>
      </c>
      <c r="B36" s="20" t="inlineStr"/>
      <c r="C36" s="20" t="inlineStr"/>
      <c r="D36" s="20" t="inlineStr"/>
      <c r="E36" s="23">
        <f>ROUND(E35*0.19, 2)</f>
        <v/>
      </c>
      <c r="F36" s="8" t="inlineStr">
        <is>
          <t>Νόμιμος Φ.Π.Α. Κύπρου (19%)</t>
        </is>
      </c>
    </row>
    <row r="37" ht="22" customHeight="1">
      <c r="A37" s="24" t="inlineStr">
        <is>
          <t>ΤΕΛΙΚΟ ΠΛΗΡΩΤΕΟ ΠΟΣΟ (ΜΕ Φ.Π.Α.)</t>
        </is>
      </c>
      <c r="B37" s="25" t="inlineStr"/>
      <c r="C37" s="25" t="inlineStr"/>
      <c r="D37" s="25" t="inlineStr"/>
      <c r="E37" s="26">
        <f>E35+E36</f>
        <v/>
      </c>
      <c r="F37" s="27" t="inlineStr">
        <is>
          <t>Τελικό πληρωτέο ποσό έργου</t>
        </is>
      </c>
    </row>
    <row r="39" ht="20" customHeight="1">
      <c r="A39" s="4" t="inlineStr">
        <is>
          <t>ΒΑΣΙΚΟΙ ΔΕΙΚΤΕΣ ΚΟΣΤΟΥΣ &amp; VALUE ENGINEERING (KPIs)</t>
        </is>
      </c>
      <c r="B39" s="4" t="inlineStr"/>
      <c r="C39" s="4" t="inlineStr"/>
      <c r="D39" s="4" t="inlineStr"/>
      <c r="E39" s="4" t="inlineStr"/>
      <c r="F39" s="4" t="inlineStr"/>
    </row>
    <row r="40" ht="20" customHeight="1">
      <c r="A40" s="28" t="inlineStr">
        <is>
          <t>KPI 1: Συνολικό Κόστος ανά m² Μετώπου Εκσκαφής</t>
        </is>
      </c>
      <c r="B40" s="20" t="inlineStr"/>
      <c r="C40" s="29" t="inlineStr">
        <is>
          <t>€ / m²</t>
        </is>
      </c>
      <c r="D40" s="20" t="inlineStr"/>
      <c r="E40" s="30">
        <f>ROUND(E35/'1_Στοιχεία_Μελέτης_&amp;_Ποσότητες'!B70, 2)</f>
        <v/>
      </c>
      <c r="F40" s="8">
        <f>"Καθαρό σύνολο / " &amp; TEXT('1_Στοιχεία_Μελέτης_&amp;_Ποσότητες'!B70, "#,##0.00") &amp; " m²"</f>
        <v/>
      </c>
    </row>
    <row r="41" ht="20" customHeight="1">
      <c r="A41" s="28" t="inlineStr">
        <is>
          <t>KPI 2: Συνολικό Κόστος ανά Αγκύρωση (Πλήρες Σύστημα)</t>
        </is>
      </c>
      <c r="B41" s="20" t="inlineStr"/>
      <c r="C41" s="29" t="inlineStr">
        <is>
          <t>€ / αγκύρωση</t>
        </is>
      </c>
      <c r="D41" s="20" t="inlineStr"/>
      <c r="E41" s="30">
        <f>ROUND(E32/'1_Στοιχεία_Μελέτης_&amp;_Ποσότητες'!B96, 2)</f>
        <v/>
      </c>
      <c r="F41" s="8">
        <f>"Σύνολο Πυλώνα 4 / " &amp; '1_Στοιχεία_Μελέτης_&amp;_Ποσότητες'!B96 &amp; " αγκυρώσεις"</f>
        <v/>
      </c>
    </row>
    <row r="42" ht="20" customHeight="1">
      <c r="A42" s="28" t="inlineStr">
        <is>
          <t>KPI 3: Συνολικό Κόστος Σχαρών &amp; Shotcrete ανά m² Μετώπου</t>
        </is>
      </c>
      <c r="B42" s="20" t="inlineStr"/>
      <c r="C42" s="29" t="inlineStr">
        <is>
          <t>€ / m²</t>
        </is>
      </c>
      <c r="D42" s="20" t="inlineStr"/>
      <c r="E42" s="30">
        <f>ROUND(E16/'1_Στοιχεία_Μελέτης_&amp;_Ποσότητες'!B70, 2)</f>
        <v/>
      </c>
      <c r="F42" s="8">
        <f>"Σύνολο Πυλώνα 2 / " &amp; TEXT('1_Στοιχεία_Μελέτης_&amp;_Ποσότητες'!B70, "#,##0.00") &amp; " m²"</f>
        <v/>
      </c>
    </row>
    <row r="43" ht="20" customHeight="1">
      <c r="A43" s="28" t="inlineStr">
        <is>
          <t>KPI 4: Συνολικό Κόστος H-Beams ανά Πάσσαλο / Οπή</t>
        </is>
      </c>
      <c r="B43" s="20" t="inlineStr"/>
      <c r="C43" s="29" t="inlineStr">
        <is>
          <t>€ / πάσσαλο</t>
        </is>
      </c>
      <c r="D43" s="20" t="inlineStr"/>
      <c r="E43" s="30">
        <f>ROUND(E24/'1_Στοιχεία_Μελέτης_&amp;_Ποσότητες'!B33, 2)</f>
        <v/>
      </c>
      <c r="F43" s="8">
        <f>"Σύνολο Πυλώνα 3 / " &amp; '1_Στοιχεία_Μελέτης_&amp;_Ποσότητες'!B33 &amp; " οπές"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31" t="inlineStr">
        <is>
          <t>ΒΙΒΛΙΟΘΗΚΗ ΔΙΑΤΟΜΩΝ ΧΑΛΥΒΑ (EUROPEAN STRUCTURAL STEEL PROFILES)</t>
        </is>
      </c>
    </row>
    <row r="2">
      <c r="A2" s="2" t="inlineStr">
        <is>
          <t>Τεχνικά χαρακτηριστικά &amp; βάρη ανά μέτρο για διατομές HEA, HEB, UPN &amp; Γωνιών (L)</t>
        </is>
      </c>
    </row>
    <row r="3"/>
    <row r="4">
      <c r="A4" s="32" t="inlineStr">
        <is>
          <t>1. ΔΙΑΤΟΜΕΣ HEA (Ευρωπαϊκά Πλατύπελμα Ελαφρού Τύπου)</t>
        </is>
      </c>
    </row>
    <row r="5">
      <c r="A5" s="33" t="inlineStr">
        <is>
          <t>Ονομασία Διατομής</t>
        </is>
      </c>
      <c r="B5" s="33" t="inlineStr">
        <is>
          <t>Ύψος h (mm)</t>
        </is>
      </c>
      <c r="C5" s="33" t="inlineStr">
        <is>
          <t>Πλάτος b (mm)</t>
        </is>
      </c>
      <c r="D5" s="33" t="inlineStr">
        <is>
          <t>Πάχος tw (mm)</t>
        </is>
      </c>
      <c r="E5" s="33" t="inlineStr">
        <is>
          <t>Πάχος tf (mm)</t>
        </is>
      </c>
      <c r="F5" s="33" t="inlineStr">
        <is>
          <t>Διατομή A (cm²)</t>
        </is>
      </c>
      <c r="G5" s="33" t="inlineStr">
        <is>
          <t>Βάρος (kg / m)</t>
        </is>
      </c>
    </row>
    <row r="6">
      <c r="A6" s="34" t="inlineStr">
        <is>
          <t>HEA 140</t>
        </is>
      </c>
      <c r="B6" s="35" t="n">
        <v>133</v>
      </c>
      <c r="C6" s="35" t="n">
        <v>140</v>
      </c>
      <c r="D6" s="36" t="n">
        <v>5.5</v>
      </c>
      <c r="E6" s="36" t="n">
        <v>8.5</v>
      </c>
      <c r="F6" s="36" t="n">
        <v>31.4</v>
      </c>
      <c r="G6" s="37" t="n">
        <v>24.7</v>
      </c>
    </row>
    <row r="7">
      <c r="A7" s="34" t="inlineStr">
        <is>
          <t>HEA 160</t>
        </is>
      </c>
      <c r="B7" s="35" t="n">
        <v>152</v>
      </c>
      <c r="C7" s="35" t="n">
        <v>160</v>
      </c>
      <c r="D7" s="36" t="n">
        <v>6</v>
      </c>
      <c r="E7" s="36" t="n">
        <v>9</v>
      </c>
      <c r="F7" s="36" t="n">
        <v>38.8</v>
      </c>
      <c r="G7" s="37" t="n">
        <v>30.4</v>
      </c>
    </row>
    <row r="8">
      <c r="A8" s="34" t="inlineStr">
        <is>
          <t>HEA 180</t>
        </is>
      </c>
      <c r="B8" s="35" t="n">
        <v>171</v>
      </c>
      <c r="C8" s="35" t="n">
        <v>180</v>
      </c>
      <c r="D8" s="36" t="n">
        <v>6</v>
      </c>
      <c r="E8" s="36" t="n">
        <v>9.5</v>
      </c>
      <c r="F8" s="36" t="n">
        <v>45.3</v>
      </c>
      <c r="G8" s="37" t="n">
        <v>35.5</v>
      </c>
    </row>
    <row r="9">
      <c r="A9" s="34" t="inlineStr">
        <is>
          <t>HEA 200</t>
        </is>
      </c>
      <c r="B9" s="35" t="n">
        <v>190</v>
      </c>
      <c r="C9" s="35" t="n">
        <v>200</v>
      </c>
      <c r="D9" s="36" t="n">
        <v>6.5</v>
      </c>
      <c r="E9" s="36" t="n">
        <v>10</v>
      </c>
      <c r="F9" s="36" t="n">
        <v>53.8</v>
      </c>
      <c r="G9" s="37" t="n">
        <v>42.3</v>
      </c>
    </row>
    <row r="10">
      <c r="A10" s="34" t="inlineStr">
        <is>
          <t>HEA 220</t>
        </is>
      </c>
      <c r="B10" s="35" t="n">
        <v>210</v>
      </c>
      <c r="C10" s="35" t="n">
        <v>220</v>
      </c>
      <c r="D10" s="36" t="n">
        <v>7</v>
      </c>
      <c r="E10" s="36" t="n">
        <v>11</v>
      </c>
      <c r="F10" s="36" t="n">
        <v>64.3</v>
      </c>
      <c r="G10" s="37" t="n">
        <v>50.5</v>
      </c>
    </row>
    <row r="11">
      <c r="A11" s="34" t="inlineStr">
        <is>
          <t>HEA 240</t>
        </is>
      </c>
      <c r="B11" s="35" t="n">
        <v>230</v>
      </c>
      <c r="C11" s="35" t="n">
        <v>240</v>
      </c>
      <c r="D11" s="36" t="n">
        <v>7.5</v>
      </c>
      <c r="E11" s="36" t="n">
        <v>12</v>
      </c>
      <c r="F11" s="36" t="n">
        <v>76.8</v>
      </c>
      <c r="G11" s="37" t="n">
        <v>60.3</v>
      </c>
    </row>
    <row r="12">
      <c r="A12" s="34" t="inlineStr">
        <is>
          <t>HEA 260</t>
        </is>
      </c>
      <c r="B12" s="35" t="n">
        <v>250</v>
      </c>
      <c r="C12" s="35" t="n">
        <v>260</v>
      </c>
      <c r="D12" s="36" t="n">
        <v>7.5</v>
      </c>
      <c r="E12" s="36" t="n">
        <v>12.5</v>
      </c>
      <c r="F12" s="36" t="n">
        <v>86.8</v>
      </c>
      <c r="G12" s="37" t="n">
        <v>68.2</v>
      </c>
    </row>
    <row r="13">
      <c r="A13" s="34" t="inlineStr">
        <is>
          <t>HEA 280</t>
        </is>
      </c>
      <c r="B13" s="35" t="n">
        <v>270</v>
      </c>
      <c r="C13" s="35" t="n">
        <v>280</v>
      </c>
      <c r="D13" s="36" t="n">
        <v>8</v>
      </c>
      <c r="E13" s="36" t="n">
        <v>13</v>
      </c>
      <c r="F13" s="36" t="n">
        <v>97.3</v>
      </c>
      <c r="G13" s="37" t="n">
        <v>76.40000000000001</v>
      </c>
    </row>
    <row r="14">
      <c r="A14" s="34" t="inlineStr">
        <is>
          <t>HEA 300</t>
        </is>
      </c>
      <c r="B14" s="35" t="n">
        <v>290</v>
      </c>
      <c r="C14" s="35" t="n">
        <v>300</v>
      </c>
      <c r="D14" s="36" t="n">
        <v>8.5</v>
      </c>
      <c r="E14" s="36" t="n">
        <v>14</v>
      </c>
      <c r="F14" s="36" t="n">
        <v>112.5</v>
      </c>
      <c r="G14" s="37" t="n">
        <v>88.3</v>
      </c>
    </row>
    <row r="15"/>
    <row r="16">
      <c r="A16" s="32" t="inlineStr">
        <is>
          <t>2. ΔΙΑΤΟΜΕΣ HEB (Ευρωπαϊκά Πλατύπελμα Κανονικού Τύπου)</t>
        </is>
      </c>
    </row>
    <row r="17">
      <c r="A17" s="33" t="inlineStr">
        <is>
          <t>Ονομασία Διατομής</t>
        </is>
      </c>
      <c r="B17" s="33" t="inlineStr">
        <is>
          <t>Ύψος h (mm)</t>
        </is>
      </c>
      <c r="C17" s="33" t="inlineStr">
        <is>
          <t>Πλάτος b (mm)</t>
        </is>
      </c>
      <c r="D17" s="33" t="inlineStr">
        <is>
          <t>Πάχος tw (mm)</t>
        </is>
      </c>
      <c r="E17" s="33" t="inlineStr">
        <is>
          <t>Πάχος tf (mm)</t>
        </is>
      </c>
      <c r="F17" s="33" t="inlineStr">
        <is>
          <t>Διατομή A (cm²)</t>
        </is>
      </c>
      <c r="G17" s="33" t="inlineStr">
        <is>
          <t>Βάρος (kg / m)</t>
        </is>
      </c>
    </row>
    <row r="18">
      <c r="A18" s="34" t="inlineStr">
        <is>
          <t>HEB 140</t>
        </is>
      </c>
      <c r="B18" s="35" t="n">
        <v>140</v>
      </c>
      <c r="C18" s="35" t="n">
        <v>140</v>
      </c>
      <c r="D18" s="36" t="n">
        <v>7</v>
      </c>
      <c r="E18" s="36" t="n">
        <v>12</v>
      </c>
      <c r="F18" s="36" t="n">
        <v>43</v>
      </c>
      <c r="G18" s="37" t="n">
        <v>33.7</v>
      </c>
    </row>
    <row r="19">
      <c r="A19" s="34" t="inlineStr">
        <is>
          <t>HEB 160</t>
        </is>
      </c>
      <c r="B19" s="35" t="n">
        <v>160</v>
      </c>
      <c r="C19" s="35" t="n">
        <v>160</v>
      </c>
      <c r="D19" s="36" t="n">
        <v>8</v>
      </c>
      <c r="E19" s="36" t="n">
        <v>13</v>
      </c>
      <c r="F19" s="36" t="n">
        <v>54.3</v>
      </c>
      <c r="G19" s="37" t="n">
        <v>42.6</v>
      </c>
    </row>
    <row r="20">
      <c r="A20" s="34" t="inlineStr">
        <is>
          <t>HEB 180</t>
        </is>
      </c>
      <c r="B20" s="35" t="n">
        <v>180</v>
      </c>
      <c r="C20" s="35" t="n">
        <v>180</v>
      </c>
      <c r="D20" s="36" t="n">
        <v>8.5</v>
      </c>
      <c r="E20" s="36" t="n">
        <v>14</v>
      </c>
      <c r="F20" s="36" t="n">
        <v>65.3</v>
      </c>
      <c r="G20" s="37" t="n">
        <v>51.2</v>
      </c>
    </row>
    <row r="21">
      <c r="A21" s="34" t="inlineStr">
        <is>
          <t>HEB 200</t>
        </is>
      </c>
      <c r="B21" s="35" t="n">
        <v>200</v>
      </c>
      <c r="C21" s="35" t="n">
        <v>200</v>
      </c>
      <c r="D21" s="36" t="n">
        <v>9</v>
      </c>
      <c r="E21" s="36" t="n">
        <v>15</v>
      </c>
      <c r="F21" s="36" t="n">
        <v>78.09999999999999</v>
      </c>
      <c r="G21" s="37" t="n">
        <v>61.3</v>
      </c>
    </row>
    <row r="22">
      <c r="A22" s="34" t="inlineStr">
        <is>
          <t>HEB 220</t>
        </is>
      </c>
      <c r="B22" s="35" t="n">
        <v>220</v>
      </c>
      <c r="C22" s="35" t="n">
        <v>220</v>
      </c>
      <c r="D22" s="36" t="n">
        <v>9.5</v>
      </c>
      <c r="E22" s="36" t="n">
        <v>16</v>
      </c>
      <c r="F22" s="36" t="n">
        <v>91</v>
      </c>
      <c r="G22" s="37" t="n">
        <v>71.5</v>
      </c>
    </row>
    <row r="23">
      <c r="A23" s="34" t="inlineStr">
        <is>
          <t>HEB 240</t>
        </is>
      </c>
      <c r="B23" s="35" t="n">
        <v>240</v>
      </c>
      <c r="C23" s="35" t="n">
        <v>240</v>
      </c>
      <c r="D23" s="36" t="n">
        <v>10</v>
      </c>
      <c r="E23" s="36" t="n">
        <v>17</v>
      </c>
      <c r="F23" s="36" t="n">
        <v>106</v>
      </c>
      <c r="G23" s="37" t="n">
        <v>83.2</v>
      </c>
    </row>
    <row r="24">
      <c r="A24" s="34" t="inlineStr">
        <is>
          <t>HEB 260</t>
        </is>
      </c>
      <c r="B24" s="35" t="n">
        <v>260</v>
      </c>
      <c r="C24" s="35" t="n">
        <v>260</v>
      </c>
      <c r="D24" s="36" t="n">
        <v>10</v>
      </c>
      <c r="E24" s="36" t="n">
        <v>17.5</v>
      </c>
      <c r="F24" s="36" t="n">
        <v>118.4</v>
      </c>
      <c r="G24" s="37" t="n">
        <v>93</v>
      </c>
    </row>
    <row r="25">
      <c r="A25" s="34" t="inlineStr">
        <is>
          <t>HEB 280</t>
        </is>
      </c>
      <c r="B25" s="35" t="n">
        <v>280</v>
      </c>
      <c r="C25" s="35" t="n">
        <v>280</v>
      </c>
      <c r="D25" s="36" t="n">
        <v>10.5</v>
      </c>
      <c r="E25" s="36" t="n">
        <v>18</v>
      </c>
      <c r="F25" s="36" t="n">
        <v>131.4</v>
      </c>
      <c r="G25" s="37" t="n">
        <v>103</v>
      </c>
    </row>
    <row r="26">
      <c r="A26" s="34" t="inlineStr">
        <is>
          <t>HEB 300</t>
        </is>
      </c>
      <c r="B26" s="35" t="n">
        <v>300</v>
      </c>
      <c r="C26" s="35" t="n">
        <v>300</v>
      </c>
      <c r="D26" s="36" t="n">
        <v>11</v>
      </c>
      <c r="E26" s="36" t="n">
        <v>19</v>
      </c>
      <c r="F26" s="36" t="n">
        <v>149.1</v>
      </c>
      <c r="G26" s="37" t="n">
        <v>117</v>
      </c>
    </row>
    <row r="27"/>
    <row r="28">
      <c r="A28" s="32" t="inlineStr">
        <is>
          <t>3. ΔΙΑΤΟΜΕΣ UPN (Ευρωπαϊκά Κοίλα Προφίλ U)</t>
        </is>
      </c>
    </row>
    <row r="29">
      <c r="A29" s="33" t="inlineStr">
        <is>
          <t>Ονομασία Διατομής</t>
        </is>
      </c>
      <c r="B29" s="33" t="inlineStr">
        <is>
          <t>Ύψος h (mm)</t>
        </is>
      </c>
      <c r="C29" s="33" t="inlineStr">
        <is>
          <t>Πλάτος b (mm)</t>
        </is>
      </c>
      <c r="D29" s="33" t="inlineStr">
        <is>
          <t>Πάχος tw (mm)</t>
        </is>
      </c>
      <c r="E29" s="33" t="inlineStr">
        <is>
          <t>Πάχος tf (mm)</t>
        </is>
      </c>
      <c r="F29" s="33" t="inlineStr">
        <is>
          <t>Διατομή A (cm²)</t>
        </is>
      </c>
      <c r="G29" s="33" t="inlineStr">
        <is>
          <t>Βάρος (kg / m)</t>
        </is>
      </c>
    </row>
    <row r="30">
      <c r="A30" s="34" t="inlineStr">
        <is>
          <t>UPN 140</t>
        </is>
      </c>
      <c r="B30" s="35" t="n">
        <v>140</v>
      </c>
      <c r="C30" s="35" t="n">
        <v>60</v>
      </c>
      <c r="D30" s="36" t="n">
        <v>7</v>
      </c>
      <c r="E30" s="36" t="n">
        <v>10</v>
      </c>
      <c r="F30" s="36" t="n">
        <v>20.4</v>
      </c>
      <c r="G30" s="37" t="n">
        <v>16</v>
      </c>
    </row>
    <row r="31">
      <c r="A31" s="34" t="inlineStr">
        <is>
          <t>UPN 160</t>
        </is>
      </c>
      <c r="B31" s="35" t="n">
        <v>160</v>
      </c>
      <c r="C31" s="35" t="n">
        <v>65</v>
      </c>
      <c r="D31" s="36" t="n">
        <v>7.5</v>
      </c>
      <c r="E31" s="36" t="n">
        <v>10.5</v>
      </c>
      <c r="F31" s="36" t="n">
        <v>24</v>
      </c>
      <c r="G31" s="37" t="n">
        <v>18.8</v>
      </c>
    </row>
    <row r="32">
      <c r="A32" s="34" t="inlineStr">
        <is>
          <t>UPN 180</t>
        </is>
      </c>
      <c r="B32" s="35" t="n">
        <v>180</v>
      </c>
      <c r="C32" s="35" t="n">
        <v>70</v>
      </c>
      <c r="D32" s="36" t="n">
        <v>8</v>
      </c>
      <c r="E32" s="36" t="n">
        <v>11</v>
      </c>
      <c r="F32" s="36" t="n">
        <v>28</v>
      </c>
      <c r="G32" s="37" t="n">
        <v>22</v>
      </c>
    </row>
    <row r="33">
      <c r="A33" s="34" t="inlineStr">
        <is>
          <t>UPN 200</t>
        </is>
      </c>
      <c r="B33" s="35" t="n">
        <v>200</v>
      </c>
      <c r="C33" s="35" t="n">
        <v>75</v>
      </c>
      <c r="D33" s="36" t="n">
        <v>8.5</v>
      </c>
      <c r="E33" s="36" t="n">
        <v>11.5</v>
      </c>
      <c r="F33" s="36" t="n">
        <v>32.2</v>
      </c>
      <c r="G33" s="37" t="n">
        <v>25.3</v>
      </c>
    </row>
    <row r="34">
      <c r="A34" s="34" t="inlineStr">
        <is>
          <t>UPN 220</t>
        </is>
      </c>
      <c r="B34" s="35" t="n">
        <v>220</v>
      </c>
      <c r="C34" s="35" t="n">
        <v>80</v>
      </c>
      <c r="D34" s="36" t="n">
        <v>9</v>
      </c>
      <c r="E34" s="36" t="n">
        <v>12.5</v>
      </c>
      <c r="F34" s="36" t="n">
        <v>37.4</v>
      </c>
      <c r="G34" s="37" t="n">
        <v>29.4</v>
      </c>
    </row>
    <row r="35">
      <c r="A35" s="34" t="inlineStr">
        <is>
          <t>UPN 240</t>
        </is>
      </c>
      <c r="B35" s="35" t="n">
        <v>240</v>
      </c>
      <c r="C35" s="35" t="n">
        <v>85</v>
      </c>
      <c r="D35" s="36" t="n">
        <v>9.5</v>
      </c>
      <c r="E35" s="36" t="n">
        <v>13</v>
      </c>
      <c r="F35" s="36" t="n">
        <v>42.3</v>
      </c>
      <c r="G35" s="37" t="n">
        <v>33.2</v>
      </c>
    </row>
    <row r="36">
      <c r="A36" s="34" t="inlineStr">
        <is>
          <t>UPN 260</t>
        </is>
      </c>
      <c r="B36" s="35" t="n">
        <v>260</v>
      </c>
      <c r="C36" s="35" t="n">
        <v>90</v>
      </c>
      <c r="D36" s="36" t="n">
        <v>10</v>
      </c>
      <c r="E36" s="36" t="n">
        <v>14</v>
      </c>
      <c r="F36" s="36" t="n">
        <v>48.3</v>
      </c>
      <c r="G36" s="37" t="n">
        <v>37.9</v>
      </c>
    </row>
    <row r="37">
      <c r="A37" s="34" t="inlineStr">
        <is>
          <t>UPN 280</t>
        </is>
      </c>
      <c r="B37" s="35" t="n">
        <v>280</v>
      </c>
      <c r="C37" s="35" t="n">
        <v>95</v>
      </c>
      <c r="D37" s="36" t="n">
        <v>10</v>
      </c>
      <c r="E37" s="36" t="n">
        <v>15</v>
      </c>
      <c r="F37" s="36" t="n">
        <v>53.3</v>
      </c>
      <c r="G37" s="37" t="n">
        <v>41.8</v>
      </c>
    </row>
    <row r="38">
      <c r="A38" s="34" t="inlineStr">
        <is>
          <t>UPN 300</t>
        </is>
      </c>
      <c r="B38" s="35" t="n">
        <v>300</v>
      </c>
      <c r="C38" s="35" t="n">
        <v>100</v>
      </c>
      <c r="D38" s="36" t="n">
        <v>10</v>
      </c>
      <c r="E38" s="36" t="n">
        <v>16</v>
      </c>
      <c r="F38" s="36" t="n">
        <v>58.8</v>
      </c>
      <c r="G38" s="37" t="n">
        <v>46.2</v>
      </c>
    </row>
    <row r="39"/>
    <row r="40">
      <c r="A40" s="32" t="inlineStr">
        <is>
          <t>4. ΙΣΟΣΚΕΛΕΙΣ ΓΩΝΙΕΣ (Equal Angles L)</t>
        </is>
      </c>
    </row>
    <row r="41">
      <c r="A41" s="33" t="inlineStr">
        <is>
          <t>Ονομασία Διατομής</t>
        </is>
      </c>
      <c r="B41" s="33" t="inlineStr">
        <is>
          <t>Ύψος h (mm)</t>
        </is>
      </c>
      <c r="C41" s="33" t="inlineStr">
        <is>
          <t>Πλάτος b (mm)</t>
        </is>
      </c>
      <c r="D41" s="33" t="inlineStr">
        <is>
          <t>Πάχος tw (mm)</t>
        </is>
      </c>
      <c r="E41" s="33" t="inlineStr">
        <is>
          <t>Πάχος tf (mm)</t>
        </is>
      </c>
      <c r="F41" s="33" t="inlineStr">
        <is>
          <t>Διατομή A (cm²)</t>
        </is>
      </c>
      <c r="G41" s="33" t="inlineStr">
        <is>
          <t>Βάρος (kg / m)</t>
        </is>
      </c>
    </row>
    <row r="42">
      <c r="A42" s="34" t="inlineStr">
        <is>
          <t>L 50x50x5</t>
        </is>
      </c>
      <c r="B42" s="35" t="n">
        <v>50</v>
      </c>
      <c r="C42" s="35" t="n">
        <v>50</v>
      </c>
      <c r="D42" s="36" t="n">
        <v>5</v>
      </c>
      <c r="E42" s="36" t="n">
        <v>5</v>
      </c>
      <c r="F42" s="36" t="n">
        <v>4.8</v>
      </c>
      <c r="G42" s="37" t="n">
        <v>3.77</v>
      </c>
    </row>
    <row r="43">
      <c r="A43" s="34" t="inlineStr">
        <is>
          <t>L 60x60x6</t>
        </is>
      </c>
      <c r="B43" s="35" t="n">
        <v>60</v>
      </c>
      <c r="C43" s="35" t="n">
        <v>60</v>
      </c>
      <c r="D43" s="36" t="n">
        <v>6</v>
      </c>
      <c r="E43" s="36" t="n">
        <v>6</v>
      </c>
      <c r="F43" s="36" t="n">
        <v>6.91</v>
      </c>
      <c r="G43" s="37" t="n">
        <v>5.42</v>
      </c>
    </row>
    <row r="44">
      <c r="A44" s="34" t="inlineStr">
        <is>
          <t>L 70x70x6</t>
        </is>
      </c>
      <c r="B44" s="35" t="n">
        <v>70</v>
      </c>
      <c r="C44" s="35" t="n">
        <v>70</v>
      </c>
      <c r="D44" s="36" t="n">
        <v>6</v>
      </c>
      <c r="E44" s="36" t="n">
        <v>6</v>
      </c>
      <c r="F44" s="36" t="n">
        <v>8.130000000000001</v>
      </c>
      <c r="G44" s="37" t="n">
        <v>6.38</v>
      </c>
    </row>
    <row r="45">
      <c r="A45" s="34" t="inlineStr">
        <is>
          <t>L 70x70x7</t>
        </is>
      </c>
      <c r="B45" s="35" t="n">
        <v>70</v>
      </c>
      <c r="C45" s="35" t="n">
        <v>70</v>
      </c>
      <c r="D45" s="36" t="n">
        <v>7</v>
      </c>
      <c r="E45" s="36" t="n">
        <v>7</v>
      </c>
      <c r="F45" s="36" t="n">
        <v>9.4</v>
      </c>
      <c r="G45" s="37" t="n">
        <v>7.38</v>
      </c>
    </row>
    <row r="46">
      <c r="A46" s="34" t="inlineStr">
        <is>
          <t>L 80x80x8</t>
        </is>
      </c>
      <c r="B46" s="35" t="n">
        <v>80</v>
      </c>
      <c r="C46" s="35" t="n">
        <v>80</v>
      </c>
      <c r="D46" s="36" t="n">
        <v>8</v>
      </c>
      <c r="E46" s="36" t="n">
        <v>8</v>
      </c>
      <c r="F46" s="36" t="n">
        <v>12.3</v>
      </c>
      <c r="G46" s="37" t="n">
        <v>9.630000000000001</v>
      </c>
    </row>
    <row r="47">
      <c r="A47" s="34" t="inlineStr">
        <is>
          <t>L 90x90x9</t>
        </is>
      </c>
      <c r="B47" s="35" t="n">
        <v>90</v>
      </c>
      <c r="C47" s="35" t="n">
        <v>90</v>
      </c>
      <c r="D47" s="36" t="n">
        <v>9</v>
      </c>
      <c r="E47" s="36" t="n">
        <v>9</v>
      </c>
      <c r="F47" s="36" t="n">
        <v>15.5</v>
      </c>
      <c r="G47" s="37" t="n">
        <v>12.2</v>
      </c>
    </row>
    <row r="48">
      <c r="A48" s="34" t="inlineStr">
        <is>
          <t>L 100x100x10</t>
        </is>
      </c>
      <c r="B48" s="35" t="n">
        <v>100</v>
      </c>
      <c r="C48" s="35" t="n">
        <v>100</v>
      </c>
      <c r="D48" s="36" t="n">
        <v>10</v>
      </c>
      <c r="E48" s="36" t="n">
        <v>10</v>
      </c>
      <c r="F48" s="36" t="n">
        <v>19.2</v>
      </c>
      <c r="G48" s="3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2026-10-15T09:44:14Z</dcterms:created>
  <dcterms:modified xmlns:dcterms="http://purl.org/dc/terms/" xmlns:xsi="http://www.w3.org/2001/XMLSchema-instance" xsi:type="dcterms:W3CDTF">2026-10-15T09:44:15Z</dcterms:modified>
</cp:coreProperties>
</file>