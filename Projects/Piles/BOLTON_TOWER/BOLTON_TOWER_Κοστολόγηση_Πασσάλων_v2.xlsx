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BOLTON_TOWER\"/>
    </mc:Choice>
  </mc:AlternateContent>
  <xr:revisionPtr revIDLastSave="0" documentId="13_ncr:1_{FC11A2B8-180D-4E91-9BAB-DDD255A9E26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c_barlen">'Τεχνικοί Υπολογισμοί'!$D$55</definedName>
    <definedName name="N_c_density">'Τεχνικοί Υπολογισμοί'!$D$54</definedName>
    <definedName name="N_c_lap">'Τεχνικοί Υπολογισμοί'!$D$56</definedName>
    <definedName name="N_c_loss">'Τεχνικοί Υπολογισμοί'!$D$53</definedName>
    <definedName name="N_c_overc">'Τεχνικοί Υπολογισμοί'!$D$57</definedName>
    <definedName name="N_c_pi">'Τεχνικοί Υπολογισμοί'!$D$58</definedName>
    <definedName name="N_conc_class">'Τεχνικοί Υπολογισμοί'!$D$20</definedName>
    <definedName name="N_cover_mm">'Τεχνικοί Υπολογισμοί'!$D$21</definedName>
    <definedName name="N_cutoff">'Τεχνικοί Υπολογισμοί'!$D$17</definedName>
    <definedName name="N_dh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Υπολογισμοί'!$D$80</definedName>
    <definedName name="N_g0_count">'Τεχνικοί Υπολογισμοί'!$D$25</definedName>
    <definedName name="N_g0_D_cage">'Τεχνικοί Υπολογισμοί'!$D$66</definedName>
    <definedName name="N_g0_D_mm">'Τεχνικοί Υπολογισμοί'!$D$26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ead_links">'Τεχνικοί Υπολογισμοί'!$D$37</definedName>
    <definedName name="N_g0_L_bar">'Τεχνικοί Υπολογισμοί'!$D$70</definedName>
    <definedName name="N_g0_L_base">'Τεχνικοί Υπολογισμοί'!$D$68</definedName>
    <definedName name="N_g0_L_conc">'Τεχνικοί Υπολογισμοί'!$D$64</definedName>
    <definedName name="N_g0_L_drill">'Τεχνικοί Υπολογισμοί'!$D$62</definedName>
    <definedName name="N_g0_L_pile">'Τεχνικοί Υπολογισμοί'!$D$27</definedName>
    <definedName name="N_g0_n_laps">'Τεχνικοί Υπολογισμοί'!$D$69</definedName>
    <definedName name="N_g0_n_turns">'Τεχνικοί Υπολογισμοί'!$D$73</definedName>
    <definedName name="N_g0_n_vert">'Τεχνικοί Υπολογισμοί'!$D$28</definedName>
    <definedName name="N_g0_P_cage">'Τεχνικοί Υπολογισμοί'!$D$67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Υπολογισμοί'!$D$79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Υπολογισμοί'!$D$65</definedName>
    <definedName name="N_g0_V_exc">'Τεχνικοί Υπολογισμοί'!$D$63</definedName>
    <definedName name="N_g0_W_extra">'Τεχνικοί Υπολογισμοί'!$D$77</definedName>
    <definedName name="N_g0_W_head">'Τεχνικοί Υπολογισμοί'!$D$76</definedName>
    <definedName name="N_g0_W_spiral">'Τεχνικοί Υπολογισμοί'!$D$75</definedName>
    <definedName name="N_g0_W_total">'Τεχνικοί Υπολογισμοί'!$D$78</definedName>
    <definedName name="N_g0_W_vert">'Τεχνικοί Υπολογισμοί'!$D$72</definedName>
    <definedName name="N_g0_y_spiral">'Τεχνικοί Υπολογισμοί'!$D$33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Υπολογισμοί'!$E$80</definedName>
    <definedName name="N_g1_count">'Τεχνικοί Υπολογισμοί'!$E$25</definedName>
    <definedName name="N_g1_D_cage">'Τεχνικοί Υπολογισμοί'!$E$66</definedName>
    <definedName name="N_g1_D_mm">'Τεχνικοί Υπολογισμοί'!$E$26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ead_links">'Τεχνικοί Υπολογισμοί'!$E$37</definedName>
    <definedName name="N_g1_L_bar">'Τεχνικοί Υπολογισμοί'!$E$70</definedName>
    <definedName name="N_g1_L_base">'Τεχνικοί Υπολογισμοί'!$E$68</definedName>
    <definedName name="N_g1_L_conc">'Τεχνικοί Υπολογισμοί'!$E$64</definedName>
    <definedName name="N_g1_L_drill">'Τεχνικοί Υπολογισμοί'!$E$62</definedName>
    <definedName name="N_g1_L_pile">'Τεχνικοί Υπολογισμοί'!$E$27</definedName>
    <definedName name="N_g1_n_laps">'Τεχνικοί Υπολογισμοί'!$E$69</definedName>
    <definedName name="N_g1_n_turns">'Τεχνικοί Υπολογισμοί'!$E$73</definedName>
    <definedName name="N_g1_n_vert">'Τεχνικοί Υπολογισμοί'!$E$28</definedName>
    <definedName name="N_g1_P_cage">'Τεχνικοί Υπολογισμοί'!$E$67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Υπολογισμοί'!$E$79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Υπολογισμοί'!$E$65</definedName>
    <definedName name="N_g1_V_exc">'Τεχνικοί Υπολογισμοί'!$E$63</definedName>
    <definedName name="N_g1_W_extra">'Τεχνικοί Υπολογισμοί'!$E$77</definedName>
    <definedName name="N_g1_W_head">'Τεχνικοί Υπολογισμοί'!$E$76</definedName>
    <definedName name="N_g1_W_spiral">'Τεχνικοί Υπολογισμοί'!$E$75</definedName>
    <definedName name="N_g1_W_total">'Τεχνικοί Υπολογισμοί'!$E$78</definedName>
    <definedName name="N_g1_W_vert">'Τεχνικοί Υπολογισμοί'!$E$72</definedName>
    <definedName name="N_g1_y_spiral">'Τεχνικοί Υπολογισμοί'!$E$33</definedName>
    <definedName name="N_g1_y_vert">'Τεχνικοί Υπολογισμοί'!$E$29</definedName>
    <definedName name="N_g2_bottom_bend">'Τεχνικοί Υπολογισμοί'!$F$32</definedName>
    <definedName name="N_g2_breaking">'Τεχνικοί Υπολογισμοί'!$F$80</definedName>
    <definedName name="N_g2_count">'Τεχνικοί Υπολογισμοί'!$F$25</definedName>
    <definedName name="N_g2_D_cage">'Τεχνικοί Υπολογισμοί'!$F$66</definedName>
    <definedName name="N_g2_D_mm">'Τεχνικοί Υπολογισμοί'!$F$26</definedName>
    <definedName name="N_g2_end_zone">'Τεχνικοί Υπολογισμοί'!$F$35</definedName>
    <definedName name="N_g2_extra_len">'Τεχνικοί Υπολογισμοί'!$F$40</definedName>
    <definedName name="N_g2_extra_n">'Τεχνικοί Υπολογισμοί'!$F$38</definedName>
    <definedName name="N_g2_extra_y">'Τεχνικοί Υπολογισμοί'!$F$39</definedName>
    <definedName name="N_g2_head_links">'Τεχνικοί Υπολογισμοί'!$F$37</definedName>
    <definedName name="N_g2_L_bar">'Τεχνικοί Υπολογισμοί'!$F$70</definedName>
    <definedName name="N_g2_L_base">'Τεχνικοί Υπολογισμοί'!$F$68</definedName>
    <definedName name="N_g2_L_conc">'Τεχνικοί Υπολογισμοί'!$F$64</definedName>
    <definedName name="N_g2_L_drill">'Τεχνικοί Υπολογισμοί'!$F$62</definedName>
    <definedName name="N_g2_L_pile">'Τεχνικοί Υπολογισμοί'!$F$27</definedName>
    <definedName name="N_g2_n_laps">'Τεχνικοί Υπολογισμοί'!$F$69</definedName>
    <definedName name="N_g2_n_turns">'Τεχνικοί Υπολογισμοί'!$F$73</definedName>
    <definedName name="N_g2_n_vert">'Τεχνικοί Υπολογισμοί'!$F$28</definedName>
    <definedName name="N_g2_P_cage">'Τεχνικοί Υπολογισμοί'!$F$67</definedName>
    <definedName name="N_g2_s_end">'Τεχνικοί Υπολογισμοί'!$F$34</definedName>
    <definedName name="N_g2_s_mid">'Τεχνικοί Υπολογισμοί'!$F$36</definedName>
    <definedName name="N_g2_sleeves">'Τεχνικοί Υπολογισμοί'!$F$79</definedName>
    <definedName name="N_g2_starter">'Τεχνικοί Υπολογισμοί'!$F$30</definedName>
    <definedName name="N_g2_top_bend">'Τεχνικοί Υπολογισμοί'!$F$31</definedName>
    <definedName name="N_g2_V_conc">'Τεχνικοί Υπολογισμοί'!$F$65</definedName>
    <definedName name="N_g2_V_exc">'Τεχνικοί Υπολογισμοί'!$F$63</definedName>
    <definedName name="N_g2_W_extra">'Τεχνικοί Υπολογισμοί'!$F$77</definedName>
    <definedName name="N_g2_W_head">'Τεχνικοί Υπολογισμοί'!$F$76</definedName>
    <definedName name="N_g2_W_spiral">'Τεχνικοί Υπολογισμοί'!$F$75</definedName>
    <definedName name="N_g2_W_total">'Τεχνικοί Υπολογισμοί'!$F$78</definedName>
    <definedName name="N_g2_W_vert">'Τεχνικοί Υπολογισμοί'!$F$72</definedName>
    <definedName name="N_g2_y_spiral">'Τεχνικοί Υπολογισμοί'!$F$33</definedName>
    <definedName name="N_g2_y_vert">'Τεχνικοί Υπολογισμοί'!$F$29</definedName>
    <definedName name="N_g3_bottom_bend">'Τεχνικοί Υπολογισμοί'!$G$32</definedName>
    <definedName name="N_g3_breaking">'Τεχνικοί Υπολογισμοί'!$G$80</definedName>
    <definedName name="N_g3_count">'Τεχνικοί Υπολογισμοί'!$G$25</definedName>
    <definedName name="N_g3_D_cage">'Τεχνικοί Υπολογισμοί'!$G$66</definedName>
    <definedName name="N_g3_D_mm">'Τεχνικοί Υπολογισμοί'!$G$26</definedName>
    <definedName name="N_g3_end_zone">'Τεχνικοί Υπολογισμοί'!$G$35</definedName>
    <definedName name="N_g3_extra_len">'Τεχνικοί Υπολογισμοί'!$G$40</definedName>
    <definedName name="N_g3_extra_n">'Τεχνικοί Υπολογισμοί'!$G$38</definedName>
    <definedName name="N_g3_extra_y">'Τεχνικοί Υπολογισμοί'!$G$39</definedName>
    <definedName name="N_g3_head_links">'Τεχνικοί Υπολογισμοί'!$G$37</definedName>
    <definedName name="N_g3_L_bar">'Τεχνικοί Υπολογισμοί'!$G$70</definedName>
    <definedName name="N_g3_L_base">'Τεχνικοί Υπολογισμοί'!$G$68</definedName>
    <definedName name="N_g3_L_conc">'Τεχνικοί Υπολογισμοί'!$G$64</definedName>
    <definedName name="N_g3_L_drill">'Τεχνικοί Υπολογισμοί'!$G$62</definedName>
    <definedName name="N_g3_L_pile">'Τεχνικοί Υπολογισμοί'!$G$27</definedName>
    <definedName name="N_g3_n_laps">'Τεχνικοί Υπολογισμοί'!$G$69</definedName>
    <definedName name="N_g3_n_turns">'Τεχνικοί Υπολογισμοί'!$G$73</definedName>
    <definedName name="N_g3_n_vert">'Τεχνικοί Υπολογισμοί'!$G$28</definedName>
    <definedName name="N_g3_P_cage">'Τεχνικοί Υπολογισμοί'!$G$67</definedName>
    <definedName name="N_g3_s_end">'Τεχνικοί Υπολογισμοί'!$G$34</definedName>
    <definedName name="N_g3_s_mid">'Τεχνικοί Υπολογισμοί'!$G$36</definedName>
    <definedName name="N_g3_sleeves">'Τεχνικοί Υπολογισμοί'!$G$79</definedName>
    <definedName name="N_g3_starter">'Τεχνικοί Υπολογισμοί'!$G$30</definedName>
    <definedName name="N_g3_top_bend">'Τεχνικοί Υπολογισμοί'!$G$31</definedName>
    <definedName name="N_g3_V_conc">'Τεχνικοί Υπολογισμοί'!$G$65</definedName>
    <definedName name="N_g3_V_exc">'Τεχνικοί Υπολογισμοί'!$G$63</definedName>
    <definedName name="N_g3_W_extra">'Τεχνικοί Υπολογισμοί'!$G$77</definedName>
    <definedName name="N_g3_W_head">'Τεχνικοί Υπολογισμοί'!$G$76</definedName>
    <definedName name="N_g3_W_spiral">'Τεχνικοί Υπολογισμοί'!$G$75</definedName>
    <definedName name="N_g3_W_total">'Τεχνικοί Υπολογισμοί'!$G$78</definedName>
    <definedName name="N_g3_W_vert">'Τεχνικοί Υπολογισμοί'!$G$72</definedName>
    <definedName name="N_g3_y_spiral">'Τεχνικοί Υπολογισμοί'!$G$33</definedName>
    <definedName name="N_g3_y_vert">'Τεχνικοί Υπολογισμοί'!$G$29</definedName>
    <definedName name="N_g4_bottom_bend">'Τεχνικοί Υπολογισμοί'!$H$32</definedName>
    <definedName name="N_g4_breaking">'Τεχνικοί Υπολογισμοί'!$H$80</definedName>
    <definedName name="N_g4_count">'Τεχνικοί Υπολογισμοί'!$H$25</definedName>
    <definedName name="N_g4_D_cage">'Τεχνικοί Υπολογισμοί'!$H$66</definedName>
    <definedName name="N_g4_D_mm">'Τεχνικοί Υπολογισμοί'!$H$26</definedName>
    <definedName name="N_g4_end_zone">'Τεχνικοί Υπολογισμοί'!$H$35</definedName>
    <definedName name="N_g4_extra_len">'Τεχνικοί Υπολογισμοί'!$H$40</definedName>
    <definedName name="N_g4_extra_n">'Τεχνικοί Υπολογισμοί'!$H$38</definedName>
    <definedName name="N_g4_extra_y">'Τεχνικοί Υπολογισμοί'!$H$39</definedName>
    <definedName name="N_g4_head_links">'Τεχνικοί Υπολογισμοί'!$H$37</definedName>
    <definedName name="N_g4_L_bar">'Τεχνικοί Υπολογισμοί'!$H$70</definedName>
    <definedName name="N_g4_L_base">'Τεχνικοί Υπολογισμοί'!$H$68</definedName>
    <definedName name="N_g4_L_conc">'Τεχνικοί Υπολογισμοί'!$H$64</definedName>
    <definedName name="N_g4_L_drill">'Τεχνικοί Υπολογισμοί'!$H$62</definedName>
    <definedName name="N_g4_L_pile">'Τεχνικοί Υπολογισμοί'!$H$27</definedName>
    <definedName name="N_g4_n_laps">'Τεχνικοί Υπολογισμοί'!$H$69</definedName>
    <definedName name="N_g4_n_turns">'Τεχνικοί Υπολογισμοί'!$H$73</definedName>
    <definedName name="N_g4_n_vert">'Τεχνικοί Υπολογισμοί'!$H$28</definedName>
    <definedName name="N_g4_P_cage">'Τεχνικοί Υπολογισμοί'!$H$67</definedName>
    <definedName name="N_g4_s_end">'Τεχνικοί Υπολογισμοί'!$H$34</definedName>
    <definedName name="N_g4_s_mid">'Τεχνικοί Υπολογισμοί'!$H$36</definedName>
    <definedName name="N_g4_sleeves">'Τεχνικοί Υπολογισμοί'!$H$79</definedName>
    <definedName name="N_g4_starter">'Τεχνικοί Υπολογισμοί'!$H$30</definedName>
    <definedName name="N_g4_top_bend">'Τεχνικοί Υπολογισμοί'!$H$31</definedName>
    <definedName name="N_g4_V_conc">'Τεχνικοί Υπολογισμοί'!$H$65</definedName>
    <definedName name="N_g4_V_exc">'Τεχνικοί Υπολογισμοί'!$H$63</definedName>
    <definedName name="N_g4_W_extra">'Τεχνικοί Υπολογισμοί'!$H$77</definedName>
    <definedName name="N_g4_W_head">'Τεχνικοί Υπολογισμοί'!$H$76</definedName>
    <definedName name="N_g4_W_spiral">'Τεχνικοί Υπολογισμοί'!$H$75</definedName>
    <definedName name="N_g4_W_total">'Τεχνικοί Υπολογισμοί'!$H$78</definedName>
    <definedName name="N_g4_W_vert">'Τεχνικοί Υπολογισμοί'!$H$72</definedName>
    <definedName name="N_g4_y_spiral">'Τεχνικοί Υπολογισμοί'!$H$33</definedName>
    <definedName name="N_g4_y_vert">'Τεχνικοί Υπολογισμοί'!$H$29</definedName>
    <definedName name="N_g5_bottom_bend">'Τεχνικοί Υπολογισμοί'!$I$32</definedName>
    <definedName name="N_g5_breaking">'Τεχνικοί Υπολογισμοί'!$I$80</definedName>
    <definedName name="N_g5_count">'Τεχνικοί Υπολογισμοί'!$I$25</definedName>
    <definedName name="N_g5_D_cage">'Τεχνικοί Υπολογισμοί'!$I$66</definedName>
    <definedName name="N_g5_D_mm">'Τεχνικοί Υπολογισμοί'!$I$26</definedName>
    <definedName name="N_g5_end_zone">'Τεχνικοί Υπολογισμοί'!$I$35</definedName>
    <definedName name="N_g5_extra_len">'Τεχνικοί Υπολογισμοί'!$I$40</definedName>
    <definedName name="N_g5_extra_n">'Τεχνικοί Υπολογισμοί'!$I$38</definedName>
    <definedName name="N_g5_extra_y">'Τεχνικοί Υπολογισμοί'!$I$39</definedName>
    <definedName name="N_g5_head_links">'Τεχνικοί Υπολογισμοί'!$I$37</definedName>
    <definedName name="N_g5_L_bar">'Τεχνικοί Υπολογισμοί'!$I$70</definedName>
    <definedName name="N_g5_L_base">'Τεχνικοί Υπολογισμοί'!$I$68</definedName>
    <definedName name="N_g5_L_conc">'Τεχνικοί Υπολογισμοί'!$I$64</definedName>
    <definedName name="N_g5_L_drill">'Τεχνικοί Υπολογισμοί'!$I$62</definedName>
    <definedName name="N_g5_L_pile">'Τεχνικοί Υπολογισμοί'!$I$27</definedName>
    <definedName name="N_g5_n_laps">'Τεχνικοί Υπολογισμοί'!$I$69</definedName>
    <definedName name="N_g5_n_turns">'Τεχνικοί Υπολογισμοί'!$I$73</definedName>
    <definedName name="N_g5_n_vert">'Τεχνικοί Υπολογισμοί'!$I$28</definedName>
    <definedName name="N_g5_P_cage">'Τεχνικοί Υπολογισμοί'!$I$67</definedName>
    <definedName name="N_g5_s_end">'Τεχνικοί Υπολογισμοί'!$I$34</definedName>
    <definedName name="N_g5_s_mid">'Τεχνικοί Υπολογισμοί'!$I$36</definedName>
    <definedName name="N_g5_sleeves">'Τεχνικοί Υπολογισμοί'!$I$79</definedName>
    <definedName name="N_g5_starter">'Τεχνικοί Υπολογισμοί'!$I$30</definedName>
    <definedName name="N_g5_top_bend">'Τεχνικοί Υπολογισμοί'!$I$31</definedName>
    <definedName name="N_g5_V_conc">'Τεχνικοί Υπολογισμοί'!$I$65</definedName>
    <definedName name="N_g5_V_exc">'Τεχνικοί Υπολογισμοί'!$I$63</definedName>
    <definedName name="N_g5_W_extra">'Τεχνικοί Υπολογισμοί'!$I$77</definedName>
    <definedName name="N_g5_W_head">'Τεχνικοί Υπολογισμοί'!$I$76</definedName>
    <definedName name="N_g5_W_spiral">'Τεχνικοί Υπολογισμοί'!$I$75</definedName>
    <definedName name="N_g5_W_total">'Τεχνικοί Υπολογισμοί'!$I$78</definedName>
    <definedName name="N_g5_W_vert">'Τεχνικοί Υπολογισμοί'!$I$72</definedName>
    <definedName name="N_g5_y_spiral">'Τεχνικοί Υπολογισμοί'!$I$33</definedName>
    <definedName name="N_g5_y_vert">'Τεχνικοί Υπολογισμοί'!$I$29</definedName>
    <definedName name="N_grand_total">'Οικονομική Προσφορά'!$F$16</definedName>
    <definedName name="N_h_overc">'Τεχνικοί Υπολογισμοί'!$D$19</definedName>
    <definedName name="N_line_breaking_price">'Οικονομική Προσφορά'!$E$15</definedName>
    <definedName name="N_line_breaking_qty">'Οικονομική Προσφορά'!$C$15</definedName>
    <definedName name="N_line_breaking_total">'Οικονομική Προσφορά'!$F$15</definedName>
    <definedName name="N_line_conc_price">'Οικονομική Προσφορά'!$E$12</definedName>
    <definedName name="N_line_conc_qty">'Οικονομική Προσφορά'!$C$12</definedName>
    <definedName name="N_line_conc_total">'Οικονομική Προσφορά'!$F$12</definedName>
    <definedName name="N_line_drill_1200_price">'Οικονομική Προσφορά'!$E$11</definedName>
    <definedName name="N_line_drill_1200_qty">'Οικονομική Προσφορά'!$C$11</definedName>
    <definedName name="N_line_drill_1200_total">'Οικονομική Προσφορά'!$F$11</definedName>
    <definedName name="N_line_drill_1500_price">'Οικονομική Προσφορά'!$E$10</definedName>
    <definedName name="N_line_drill_1500_qty">'Οικονομική Προσφορά'!$C$10</definedName>
    <definedName name="N_line_drill_1500_total">'Οικονομική Προσφορά'!$F$10</definedName>
    <definedName name="N_line_mob_price">'Οικονομική Προσφορά'!$E$9</definedName>
    <definedName name="N_line_mob_qty">'Οικονομική Προσφορά'!$C$9</definedName>
    <definedName name="N_line_mob_total">'Οικονομική Προσφορά'!$F$9</definedName>
    <definedName name="N_line_sleeve_price">'Οικονομική Προσφορά'!$E$14</definedName>
    <definedName name="N_line_sleeve_qty">'Οικονομική Προσφορά'!$C$14</definedName>
    <definedName name="N_line_sleeve_total">'Οικονομική Προσφορά'!$F$14</definedName>
    <definedName name="N_line_steel_price">'Οικονομική Προσφορά'!$E$13</definedName>
    <definedName name="N_line_steel_qty">'Οικονομική Προσφορά'!$C$13</definedName>
    <definedName name="N_line_steel_total">'Οικονομική Προσφορά'!$F$13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1200">'Τεχνικοί Υπολογισμοί'!$D$45</definedName>
    <definedName name="N_q_drill_1200_n">'Τεχνικοί Υπολογισμοί'!$E$45</definedName>
    <definedName name="N_q_drill_1500">'Τεχνικοί Υπολογισμοί'!$D$44</definedName>
    <definedName name="N_q_drill_1500_n">'Τεχνικοί Υπολογισμοί'!$E$44</definedName>
    <definedName name="N_q_sleeve">'Τεχνικοί Υπολογισμοί'!$D$48</definedName>
    <definedName name="N_q_sleeve_n">'Τεχνικοί Υπολογισμοί'!$E$48</definedName>
    <definedName name="N_q_steel">'Τεχνικοί Υπολογισμοί'!$D$47</definedName>
    <definedName name="N_q_steel_n">'Τεχνικοί Υπολογισμοί'!$E$47</definedName>
    <definedName name="N_t_breaking">'Τεχνικοί Υπολογισμοί'!$J$80</definedName>
    <definedName name="N_t_count">'Τεχνικοί Υπολογισμοί'!$J$25</definedName>
    <definedName name="N_t_L_drill">'Τεχνικοί Υπολογισμοί'!$J$62</definedName>
    <definedName name="N_t_sleeves">'Τεχνικοί Υπολογισμοί'!$J$79</definedName>
    <definedName name="N_t_V_conc">'Τεχνικοί Υπολογισμοί'!$J$65</definedName>
    <definedName name="N_t_V_exc">'Τεχνικοί Υπολογισμοί'!$J$63</definedName>
    <definedName name="N_t_W_extra">'Τεχνικοί Υπολογισμοί'!$J$77</definedName>
    <definedName name="N_t_W_head">'Τεχνικοί Υπολογισμοί'!$J$76</definedName>
    <definedName name="N_t_W_spiral">'Τεχνικοί Υπολογισμοί'!$J$75</definedName>
    <definedName name="N_t_W_total">'Τεχνικοί Υπολογισμοί'!$J$78</definedName>
    <definedName name="N_t_W_vert">'Τεχνικοί Υπολογισμοί'!$J$72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2" l="1"/>
  <c r="I73" i="2"/>
  <c r="H73" i="2"/>
  <c r="G73" i="2"/>
  <c r="F73" i="2"/>
  <c r="E73" i="2"/>
  <c r="D73" i="2"/>
  <c r="I68" i="2"/>
  <c r="H68" i="2"/>
  <c r="G68" i="2"/>
  <c r="G69" i="2" s="1"/>
  <c r="G70" i="2" s="1"/>
  <c r="F68" i="2"/>
  <c r="F69" i="2" s="1"/>
  <c r="F70" i="2" s="1"/>
  <c r="E68" i="2"/>
  <c r="E69" i="2" s="1"/>
  <c r="E70" i="2" s="1"/>
  <c r="D68" i="2"/>
  <c r="D69" i="2" s="1"/>
  <c r="D70" i="2" s="1"/>
  <c r="I66" i="2"/>
  <c r="H66" i="2"/>
  <c r="G66" i="2"/>
  <c r="F66" i="2"/>
  <c r="E66" i="2"/>
  <c r="D66" i="2"/>
  <c r="D58" i="2"/>
  <c r="E45" i="2"/>
  <c r="E44" i="2"/>
  <c r="J25" i="2"/>
  <c r="D18" i="2"/>
  <c r="D13" i="2"/>
  <c r="D9" i="2"/>
  <c r="D12" i="2" s="1"/>
  <c r="D14" i="2" s="1"/>
  <c r="E9" i="1" s="1"/>
  <c r="C9" i="1"/>
  <c r="F9" i="1" l="1"/>
  <c r="I69" i="2"/>
  <c r="I70" i="2" s="1"/>
  <c r="H69" i="2"/>
  <c r="H70" i="2" s="1"/>
  <c r="I77" i="2"/>
  <c r="F77" i="2"/>
  <c r="G74" i="2"/>
  <c r="H71" i="2"/>
  <c r="F71" i="2"/>
  <c r="F72" i="2" s="1"/>
  <c r="G77" i="2"/>
  <c r="I71" i="2"/>
  <c r="G71" i="2"/>
  <c r="G72" i="2" s="1"/>
  <c r="E71" i="2"/>
  <c r="E72" i="2" s="1"/>
  <c r="D71" i="2"/>
  <c r="D72" i="2" s="1"/>
  <c r="H77" i="2"/>
  <c r="E77" i="2"/>
  <c r="D77" i="2"/>
  <c r="I74" i="2"/>
  <c r="H74" i="2"/>
  <c r="F74" i="2"/>
  <c r="E74" i="2"/>
  <c r="D74" i="2"/>
  <c r="I67" i="2"/>
  <c r="H67" i="2"/>
  <c r="G67" i="2"/>
  <c r="F67" i="2"/>
  <c r="E67" i="2"/>
  <c r="D67" i="2"/>
  <c r="H80" i="2"/>
  <c r="G80" i="2"/>
  <c r="F80" i="2"/>
  <c r="D80" i="2"/>
  <c r="I79" i="2"/>
  <c r="H79" i="2"/>
  <c r="I80" i="2"/>
  <c r="E80" i="2"/>
  <c r="G79" i="2"/>
  <c r="F79" i="2"/>
  <c r="E79" i="2"/>
  <c r="E62" i="2"/>
  <c r="E63" i="2" s="1"/>
  <c r="D79" i="2"/>
  <c r="J79" i="2" s="1"/>
  <c r="D48" i="2" s="1"/>
  <c r="I62" i="2"/>
  <c r="I63" i="2" s="1"/>
  <c r="F62" i="2"/>
  <c r="F63" i="2" s="1"/>
  <c r="D19" i="2"/>
  <c r="H62" i="2"/>
  <c r="H63" i="2" s="1"/>
  <c r="D62" i="2"/>
  <c r="D63" i="2" s="1"/>
  <c r="G62" i="2"/>
  <c r="G63" i="2" s="1"/>
  <c r="E49" i="2"/>
  <c r="E48" i="2"/>
  <c r="E47" i="2"/>
  <c r="E46" i="2"/>
  <c r="G9" i="1"/>
  <c r="I72" i="2" l="1"/>
  <c r="H72" i="2"/>
  <c r="J80" i="2"/>
  <c r="D49" i="2" s="1"/>
  <c r="J72" i="2"/>
  <c r="I75" i="2"/>
  <c r="I76" i="2"/>
  <c r="H75" i="2"/>
  <c r="H76" i="2"/>
  <c r="G75" i="2"/>
  <c r="G76" i="2"/>
  <c r="F75" i="2"/>
  <c r="F76" i="2"/>
  <c r="E75" i="2"/>
  <c r="E76" i="2"/>
  <c r="D75" i="2"/>
  <c r="D78" i="2" s="1"/>
  <c r="C14" i="1"/>
  <c r="F14" i="1" s="1"/>
  <c r="G14" i="1" s="1"/>
  <c r="F48" i="2"/>
  <c r="G64" i="2"/>
  <c r="G65" i="2" s="1"/>
  <c r="D64" i="2"/>
  <c r="D65" i="2" s="1"/>
  <c r="F64" i="2"/>
  <c r="F65" i="2" s="1"/>
  <c r="H64" i="2"/>
  <c r="H65" i="2" s="1"/>
  <c r="I64" i="2"/>
  <c r="I65" i="2" s="1"/>
  <c r="E64" i="2"/>
  <c r="E65" i="2" s="1"/>
  <c r="J62" i="2"/>
  <c r="D44" i="2"/>
  <c r="J77" i="2"/>
  <c r="D45" i="2"/>
  <c r="J63" i="2"/>
  <c r="F49" i="2" l="1"/>
  <c r="C15" i="1"/>
  <c r="F15" i="1" s="1"/>
  <c r="G15" i="1" s="1"/>
  <c r="J65" i="2"/>
  <c r="D46" i="2" s="1"/>
  <c r="I78" i="2"/>
  <c r="G78" i="2"/>
  <c r="F78" i="2"/>
  <c r="C10" i="1"/>
  <c r="F10" i="1" s="1"/>
  <c r="F44" i="2"/>
  <c r="C11" i="1"/>
  <c r="F11" i="1" s="1"/>
  <c r="G11" i="1" s="1"/>
  <c r="F45" i="2"/>
  <c r="E78" i="2"/>
  <c r="J75" i="2"/>
  <c r="J76" i="2"/>
  <c r="H78" i="2"/>
  <c r="F46" i="2" l="1"/>
  <c r="C12" i="1"/>
  <c r="F12" i="1" s="1"/>
  <c r="G12" i="1" s="1"/>
  <c r="G10" i="1"/>
  <c r="J78" i="2"/>
  <c r="D47" i="2" s="1"/>
  <c r="F47" i="2" l="1"/>
  <c r="C13" i="1"/>
  <c r="F13" i="1" s="1"/>
  <c r="F16" i="1" l="1"/>
  <c r="G16" i="1" s="1"/>
  <c r="G13" i="1"/>
</calcChain>
</file>

<file path=xl/sharedStrings.xml><?xml version="1.0" encoding="utf-8"?>
<sst xmlns="http://schemas.openxmlformats.org/spreadsheetml/2006/main" count="483" uniqueCount="356">
  <si>
    <t>ΘΕΜΕΛΙΟΤΕΧΝΙΚΗ ΛΤΔ — ΟΙΚΟΝΟΜΙΚΗ ΠΡΟΣΦΟΡΑ ΠΑΣΣΑΛΩΝ</t>
  </si>
  <si>
    <t>Έργο: BOLTON TOWER | Πελάτης: ΛΑΚΕΜΙΑ ΚΤΗΜΑΤΙΚΗ Λτδ | Τοποθεσία: Λεμεσός</t>
  </si>
  <si>
    <t>🛑 ΠΡΟΣΟΧΗ — RED ALERT: Στα σχέδια ΔΕΝ αναγράφονται τα υψόμετρα πλατφόρμας εργασίας (WPL) και Cut-Off Level. Η προσφορά υπολογίζει προσωρινά Δh = 0.00 m (χωρίς κενή διάτρηση, sleeves και κεφαλοκοπή). Απαιτείται επιβεβαίωση πριν την οριστικοποίηση.</t>
  </si>
  <si>
    <t>ΠΡΟΣΧΕΔΙΟ ΓΙΑ ΑΠΟΦΑΣΗ — Εκκρεμούν υψόμετρα (WPL / Cut-Off). Η πηγή κάθε στοιχείου: Φύλλο «Τεχνικοί Υπολογισμοί», Ενότητα 5.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</si>
  <si>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</si>
  <si>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</si>
  <si>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</si>
  <si>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</si>
  <si>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</si>
  <si>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</si>
  <si>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</si>
  <si>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</si>
  <si>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</si>
  <si>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</si>
  <si>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2a</t>
  </si>
  <si>
    <t>Τρύπημα / διάτρηση πασσάλων Ø1500mm (21 τεμ.)</t>
  </si>
  <si>
    <t>m</t>
  </si>
  <si>
    <t>2b</t>
  </si>
  <si>
    <t>Τρύπημα / διάτρηση πασσάλων Ø1200mm (29 τεμ.)</t>
  </si>
  <si>
    <t>3</t>
  </si>
  <si>
    <t>Σκυροδέτηση πασσάλων C50/60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</si>
  <si>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</si>
  <si>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</si>
  <si>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</si>
  <si>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</si>
  <si>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</si>
  <si>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</si>
  <si>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</si>
  <si>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</si>
  <si>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</si>
  <si>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</si>
  <si>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</si>
  <si>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</si>
  <si>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</si>
  <si>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</si>
  <si>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2a: προέλευση τιμής — Τιμή χρήστη (εκτός τιμοκαταλόγου).</t>
  </si>
  <si>
    <t>5. Γραμμή 2b: προέλευση τιμής — Τιμοκατάλογος (γρ. 14).</t>
  </si>
  <si>
    <t>6. Γραμμή 3: προέλευση τιμής — Τιμή χρήστη (εκτός τιμοκαταλόγου).</t>
  </si>
  <si>
    <t>7. Γραμμή 4: προέλευση τιμής — Τιμοκατάλογος (γρ. 19).</t>
  </si>
  <si>
    <t>8. Γραμμή 5: προέλευση τιμής — Τιμοκατάλογος (γρ. 22).</t>
  </si>
  <si>
    <t>9. Γραμμή 6: προέλευση τιμής — Τιμοκατάλογος (γρ. 23).</t>
  </si>
  <si>
    <t>10. Υψόμετρα WPL / Cut-Off δεν δίνονται στο σχέδιο: προσωρινά Δh = 0.00 m. Αν διαπιστωθεί κενή διάτρηση (Δh &gt; 0), τιμολογούνται επιπλέον μέτρα διάτρησης, sleeves και κεφαλοκοπή.</t>
  </si>
  <si>
    <t>11. Τιμολόγηση διάτρησης Ø1500mm στα 210,00 €/m κατόπιν οδηγίας (εκτός τιμοκαταλόγου).</t>
  </si>
  <si>
    <t>12. ΣΗΜΕΙΩΣΗ ΤΙΜΩΝ ΔΙΑΤΡΗΣΗΣ: Οι τιμές τρυπήματος / διάτρησης ενδέχεται να αναθεωρηθούν μελλοντικά βάσει συνθηκών αγοράς, κόστους καυσίμων και διαθεσιμότητας εξοπλισμού.</t>
  </si>
  <si>
    <t>13. Σκυρόδεμα C50/60 (σχέδιο, Παρατηρήσεις §1) στα 150,00 €/m³ κατόπιν οδηγίας (εκτός τιμοκαταλόγου).</t>
  </si>
  <si>
    <t>14. U-bars 8Y32 / 8Y25 στη βάση κάθε πασσάλου με διαστάσεις από το σχέδιο (σκέλη = 50Φ). Έλεγχος EC2 §8.4.3 / §8.7.3: απαιτούμενη μάτιση ≈ 37.5Φ &lt; 50Φ του σχεδίου, άρα κρατήθηκαν οι διαστάσεις του σχεδίου.</t>
  </si>
  <si>
    <t>15. Παραδοχή: Υψόμετρα WPL / Cut-Off: δεν δίνονται — Δh = 0.00 m μέχρι να σταλούν. Επειδή η κάτοψη είναι «ΥΠΟΓΕΙΟΥ Β3» με εκσκαφές 11.1–17.0 m, αν οι πάσσαλοι ανοιχτούν πριν την εκσκαφή η κενή διάτρηση μπορεί να είναι πολλά μέτρα.</t>
  </si>
  <si>
    <t>16. Παραδοχή: Starter = βάθος πεδιλόπλακας (κατάλογος: 1.70 m / 0.80 m) − 0.215 m (τυπική όψη: η κορυφή της ράβδου είναι 215 mm κάτω από την άνω στάθμη της πλάκας) → 1.485 m και 0.585 m (P49–P50).</t>
  </si>
  <si>
    <t>17. Παραδοχή: Γωνία πάνω 0.225 m ανά ράβδο: μετρήθηκε από το πλάτος της κεφαλής (1800 / 1500) μείον τη διάμετρο κλωβού, διά 2.</t>
  </si>
  <si>
    <t>18. Παραδοχή: Συνδετήρες κεφαλής: 10 τεμ. ανά πάσσαλο (όπως σχεδιάζονται στις όψεις). Για P49–P50 (πλάκα 0.80 m) 5 τεμ. Ίδια διάμετρος με τους συνδετήρες του πασσάλου.</t>
  </si>
  <si>
    <t>19. Παραδοχή: Μήκος U-bar = 2 × σκέλος + πλάτος (4.55 m / 3.55 m), χωρίς προσαύξηση καμπυλών.</t>
  </si>
  <si>
    <t>20. Παραδοχή: Κάθετες ράβδοι: υπολογίζονται σε όλο το μήκος του πασσάλου (η όψη δείχνει 100 mm απόσταση στη βάση — περίπου 0.1 m υπέρ της ασφάλειας).</t>
  </si>
  <si>
    <t>21. Παραδοχή: Απόσταση έργου 15 km από Άγιο Συλά (Ζώνη 1). Η ακριβής διεύθυνση δεν δίνεται.</t>
  </si>
  <si>
    <t>22.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</si>
  <si>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</si>
  <si>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BOLTON TOWER | Πελάτης: ΛΑΚΕΜΙΑ ΚΤΗΜΑΤΙΚΗ Λτδ | Μελέτη: Hyperstatic Engineering Design (αρ. έργου 220138) | Μηχανή v5.0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</si>
  <si>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</si>
  <si>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</si>
  <si>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</si>
  <si>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</si>
  <si>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</si>
  <si>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</si>
  <si>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</si>
  <si>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</si>
  <si>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</si>
  <si>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ΠΑΡΑΔΟΧΗ: το σχέδιο γράφει μόνο «ΛΕΜΕΣΟΣ» — Ζώνη 1 (≤ 50 km)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</si>
  <si>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</si>
  <si>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</si>
  <si>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</si>
  <si>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</si>
  <si>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</si>
  <si>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</si>
  <si>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</si>
  <si>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</si>
  <si>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</si>
  <si>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</si>
  <si>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</si>
  <si>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</si>
  <si>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</si>
  <si>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</si>
  <si>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</si>
  <si>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</si>
  <si>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</si>
  <si>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</si>
  <si>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</si>
  <si>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</si>
  <si>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</si>
  <si>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</si>
  <si>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</si>
  <si>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Υψόμετρα, Cut-Off &amp; Σκυρόδεμα</t>
  </si>
  <si>
    <t>1.2.1</t>
  </si>
  <si>
    <t>Στάθμη πλατφόρμας γεωτρύπανου (WPL)</t>
  </si>
  <si>
    <t>ΚΟΚΚΙΝΟΣ ΣΥΝΑΓΕΡΜΟΣ: δεν δίνεται στο σχέδιο — προσωρινά 0.00</t>
  </si>
  <si>
    <t>1.2.2</t>
  </si>
  <si>
    <t>Στάθμη αποκοπής (Cut-Off Level)</t>
  </si>
  <si>
    <t>1.2.3</t>
  </si>
  <si>
    <t>Διαφορά στάθμης Δh = WPL − Cut-Off</t>
  </si>
  <si>
    <t>Κενή διάτρηση</t>
  </si>
  <si>
    <t>1.2.4</t>
  </si>
  <si>
    <t>Ύψος υπερκάλυψης σκυροδέματος h_overc</t>
  </si>
  <si>
    <t>IF(Δh &gt; 0, MIN(2.00, Δh), 0)</t>
  </si>
  <si>
    <t>1.2.5</t>
  </si>
  <si>
    <t>Κατηγορία σκυροδέματος</t>
  </si>
  <si>
    <t>-</t>
  </si>
  <si>
    <t>C50/60</t>
  </si>
  <si>
    <t>Σχέδιο, Παρατηρήσεις §1: «ΚΑΤΗΓΟΡΙΑΣ C50/60 … ΓΕΝΙΚΑ ΓΙΑ ΟΛΑ ΤΑ ΔΟΜΙΚΑ ΣΤΟΙΧΕΙΑ»</t>
  </si>
  <si>
    <t>1.2.6</t>
  </si>
  <si>
    <t>Επικάλυψη οπλισμού (Cover)</t>
  </si>
  <si>
    <t>mm</t>
  </si>
  <si>
    <t>Σχέδιο, Παρατηρήσεις §3: «ΠΑΣΣΑΛΟΙ : 75mm»</t>
  </si>
  <si>
    <t>Τομέας 3 — Ομάδες πασσάλων &amp; κλωβός οπλισμού (μία στήλη ανά ομάδα)</t>
  </si>
  <si>
    <t>Ομάδα 1</t>
  </si>
  <si>
    <t>Ομάδα 2</t>
  </si>
  <si>
    <t>Ομάδα 3</t>
  </si>
  <si>
    <t>Ομάδα 4</t>
  </si>
  <si>
    <t>Ομάδα 5</t>
  </si>
  <si>
    <t>Ομάδα 6</t>
  </si>
  <si>
    <t>Παρατηρήσεις</t>
  </si>
  <si>
    <t>1.3.0</t>
  </si>
  <si>
    <t>Πάσσαλοι</t>
  </si>
  <si>
    <t>Ø1500 L=22.0
P1–P21</t>
  </si>
  <si>
    <t>Ø1200 L=16.0
P22–P32, P41–P42</t>
  </si>
  <si>
    <t>Ø1200 L=17.0
P36–P40</t>
  </si>
  <si>
    <t>Ø1200 L=18.0
P33–P35</t>
  </si>
  <si>
    <t>Ø1200 L=19.0
P43–P48</t>
  </si>
  <si>
    <t>Ø1200 L=10.5
P49–P50</t>
  </si>
  <si>
    <t>1.3.1</t>
  </si>
  <si>
    <t>Πλήθος πασσάλων ομάδας</t>
  </si>
  <si>
    <t>Κατάλογος πασσάλων (στήλη Α/Α)</t>
  </si>
  <si>
    <t>1.3.2</t>
  </si>
  <si>
    <t>Διάμετρος διάτρησης D</t>
  </si>
  <si>
    <t>Κατάλογος — στήλη «ΔΙΑΣΤΑΣΕΙΣ»</t>
  </si>
  <si>
    <t>1.3.3</t>
  </si>
  <si>
    <t>Μήκος πασσάλου στο έδαφος L_pile</t>
  </si>
  <si>
    <t>Κατάλογος — στήλη «ΒΑΘΟΣ (ΠΑΣΑΛΛΟΥ)»</t>
  </si>
  <si>
    <t>1.3.4</t>
  </si>
  <si>
    <t>Κάθετες ράβδοι — πλήθος N_vert</t>
  </si>
  <si>
    <t>Κατάλογος — στήλη «# ΟΠΛΙΣΜΟΣ ΠΑΣΣΑΛΩΝ»</t>
  </si>
  <si>
    <t>1.3.5</t>
  </si>
  <si>
    <t>Κάθετες ράβδοι — διάμετρος Φ</t>
  </si>
  <si>
    <t>1.3.6</t>
  </si>
  <si>
    <t>Αναμονή / Starter</t>
  </si>
  <si>
    <t>ΜΕΤΡΗΣΗ: βάθος πεδιλόπλακας (κατάλογος) − 0.215 m (τυπική όψη)</t>
  </si>
  <si>
    <t>1.3.7</t>
  </si>
  <si>
    <t>Γωνία πάνω (top hook)</t>
  </si>
  <si>
    <t>ΜΕΤΡΗΣΗ: (πλάτος κεφαλής 1800/1500 − κλωβός 1350/1050) / 2</t>
  </si>
  <si>
    <t>1.3.8</t>
  </si>
  <si>
    <t>Γωνία πυθμένα (bottom bend)</t>
  </si>
  <si>
    <t>1.3.9</t>
  </si>
  <si>
    <t>Σούστα / συνδετήρες — διάμετρος Φ</t>
  </si>
  <si>
    <t>Κατάλογος — στήλες «ΣΥΝΔΕΤΗΡΕΣ»</t>
  </si>
  <si>
    <t>1.3.10</t>
  </si>
  <si>
    <t>Βήμα σούστας στα άκρα</t>
  </si>
  <si>
    <t>Κατάλογος — «3Μ ΠΡΩΤΑ / 3Μ ΤΕΛΕΥΤΑΙΑ ΜΕΤΡΑ»</t>
  </si>
  <si>
    <t>1.3.11</t>
  </si>
  <si>
    <t>Μήκος ζώνης άκρου (πάνω &amp; κάτω, έκαστη)</t>
  </si>
  <si>
    <t>Σχέδιο — διαστάσεις 3000 στις όψεις</t>
  </si>
  <si>
    <t>1.3.12</t>
  </si>
  <si>
    <t>Βήμα σούστας στο μέσο</t>
  </si>
  <si>
    <t>Κατάλογος — «ΣΥΝΔΕΤΗΡΕΣ (ΜΕΣΟ)»</t>
  </si>
  <si>
    <t>1.3.13</t>
  </si>
  <si>
    <t>Συνδετήρες στην κεφαλή (μέσα στην πεδιλόπλακα)</t>
  </si>
  <si>
    <t>ΜΕΤΡΗΣΗ: 10 συνδετήρες σχεδιασμένοι στην κεφαλή (όψεις)· P49–P50: ΠΑΡΑΔΟΧΗ 5</t>
  </si>
  <si>
    <t>1.3.14</t>
  </si>
  <si>
    <t>Πρόσθετος οπλισμός (U-bars κ.λπ.) — πλήθος</t>
  </si>
  <si>
    <t>Σχέδιο — «8Y32 U-BARS» / «8Y25 U-BARS» στη βάση των όψεων</t>
  </si>
  <si>
    <t>1.3.15</t>
  </si>
  <si>
    <t>Πρόσθετος οπλισμός — διάμετρος Φ</t>
  </si>
  <si>
    <t>1.3.16</t>
  </si>
  <si>
    <t>Πρόσθετος οπλισμός — μήκος ανά ράβδο</t>
  </si>
  <si>
    <t>Σχέδιο — U-bar 1600×1350 / 1250×1050 → 2×σκέλος + πλάτος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</si>
  <si>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</si>
  <si>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</si>
  <si>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</si>
  <si>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</si>
  <si>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</si>
  <si>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</si>
  <si>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Ø1500mm</t>
  </si>
  <si>
    <t>Φύλλο 1</t>
  </si>
  <si>
    <t>2.2</t>
  </si>
  <si>
    <t>Τρέχοντα μέτρα διάτρησης Ø1200mm</t>
  </si>
  <si>
    <t>2.3</t>
  </si>
  <si>
    <t>Σκυρόδεμα C50/60 με απώλεια</t>
  </si>
  <si>
    <t>2.4</t>
  </si>
  <si>
    <t>Χάλυβας οπλισμού B500C (κάθετες + σούστα + πρόσθετος)</t>
  </si>
  <si>
    <t>2.5</t>
  </si>
  <si>
    <t>Sleeves προστασίας starter</t>
  </si>
  <si>
    <t>2.6</t>
  </si>
  <si>
    <t>Κεφαλοκοπή πασσάλων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</si>
  <si>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</si>
  <si>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</si>
  <si>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</si>
  <si>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</si>
  <si>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</si>
  <si>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</si>
  <si>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</si>
  <si>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</si>
  <si>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</si>
  <si>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</si>
  <si>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</si>
  <si>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</si>
  <si>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</si>
  <si>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</si>
  <si>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</si>
  <si>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</si>
  <si>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</si>
  <si>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</si>
  <si>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</si>
  <si>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</si>
  <si>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</si>
  <si>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</si>
  <si>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</si>
  <si>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</si>
  <si>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</si>
  <si>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Ø1500 L=22.0</t>
  </si>
  <si>
    <t>Ομάδα 2
Ø1200 L=16.0</t>
  </si>
  <si>
    <t>Ομάδα 3
Ø1200 L=17.0</t>
  </si>
  <si>
    <t>Ομάδα 4
Ø1200 L=18.0</t>
  </si>
  <si>
    <t>Ομάδα 5
Ø1200 L=19.0</t>
  </si>
  <si>
    <t>Ομάδα 6
Ø1200 L=10.5</t>
  </si>
  <si>
    <t>Τύπος</t>
  </si>
  <si>
    <t>Συνολικό βάθος διάτρησης</t>
  </si>
  <si>
    <t>L_drill = L_pile + Δh</t>
  </si>
  <si>
    <t>2</t>
  </si>
  <si>
    <t>Γεωμετρικός όγκος διάτρησης</t>
  </si>
  <si>
    <t>V_exc = π·D²/4 · L_drill</t>
  </si>
  <si>
    <t>Ύψος σκυροδέτησης</t>
  </si>
  <si>
    <t>—</t>
  </si>
  <si>
    <t>L_conc = L_pile + h_overc</t>
  </si>
  <si>
    <t>Όγκος σκυροδέματος με απώλεια</t>
  </si>
  <si>
    <t>V_conc = π·D²/4 · L_conc · (1 + απώλεια)</t>
  </si>
  <si>
    <t>Διάμετρος κλωβού</t>
  </si>
  <si>
    <t>D_cage = D − 2·Cover</t>
  </si>
  <si>
    <t>Περίμετρος κλωβού</t>
  </si>
  <si>
    <t>Π_cage = π · D_cage</t>
  </si>
  <si>
    <t>7</t>
  </si>
  <si>
    <t>Βασικό μήκος κάθετης ράβδου</t>
  </si>
  <si>
    <t>L_base = L_pile + Starter + Γωνία πάνω + Γωνία πυθμένα</t>
  </si>
  <si>
    <t>8</t>
  </si>
  <si>
    <t>Ματίσεις ανά ράβδο</t>
  </si>
  <si>
    <t>Ματίσεις = IF(L_base &gt; 12, INT((L_base − 0.001)/12), 0)</t>
  </si>
  <si>
    <t>9</t>
  </si>
  <si>
    <t>Ανεπτυγμένο μήκος κάθετης ράβδου</t>
  </si>
  <si>
    <t>L_bar = L_base + Ματίσεις · 50Φ</t>
  </si>
  <si>
    <t>10</t>
  </si>
  <si>
    <t>Μοναδιαίο βάρος κάθετης ράβδου</t>
  </si>
  <si>
    <t>kg/m</t>
  </si>
  <si>
    <t>w = π·(Φ/1000)²/4 · ρ</t>
  </si>
  <si>
    <t>11</t>
  </si>
  <si>
    <t>Βάρος κάθετων ράβδων ανά πάσσαλο</t>
  </si>
  <si>
    <t>W_vert = N_vert · L_bar · w</t>
  </si>
  <si>
    <t>12</t>
  </si>
  <si>
    <t>Αριθμός σπειρών σούστας</t>
  </si>
  <si>
    <t>N = ROUNDUP(ζώνες άκρων / s_άκρων + μέσο / s_μέσου)</t>
  </si>
  <si>
    <t>13</t>
  </si>
  <si>
    <t>Μοναδιαίο βάρος σούστας</t>
  </si>
  <si>
    <t>14</t>
  </si>
  <si>
    <t>Βάρος σούστας ανά πάσσαλο</t>
  </si>
  <si>
    <t>W_spiral = N · Π_cage · w</t>
  </si>
  <si>
    <t>15</t>
  </si>
  <si>
    <t>Βάρος συνδετήρων κεφαλής (πεδιλόπλακα)</t>
  </si>
  <si>
    <t>W_head = n_κεφαλής · Π_cage · w</t>
  </si>
  <si>
    <t>16</t>
  </si>
  <si>
    <t>Βάρος πρόσθετου οπλισμού (U-bars κ.λπ.)</t>
  </si>
  <si>
    <t>W_extra = n · L · π·(Φ/1000)²/4 · ρ</t>
  </si>
  <si>
    <t>17</t>
  </si>
  <si>
    <t>Συνολικό βάρος χάλυβα ανά πάσσαλο</t>
  </si>
  <si>
    <t>W_total = W_vert + W_spiral + W_head + W_extra</t>
  </si>
  <si>
    <t>18</t>
  </si>
  <si>
    <t>Sleeves starter ανά πάσσαλο</t>
  </si>
  <si>
    <t>Sleeves = IF(Δh &gt; 0, N_vert, 0)</t>
  </si>
  <si>
    <t>19</t>
  </si>
  <si>
    <t>Κεφαλοκοπή ανά πάσσαλο</t>
  </si>
  <si>
    <t>Κεφαλοκοπή = IF(Δh &gt; 0, 1, 0)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</si>
  <si>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</si>
  <si>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</si>
  <si>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</si>
  <si>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</si>
  <si>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Έργο / Πελάτης / Μελετητής</t>
  </si>
  <si>
    <t>ΣΧΕΔΙΟ</t>
  </si>
  <si>
    <t>BOLTON TOWER</t>
  </si>
  <si>
    <t>Πινακίδα σχεδίου «ΤΟΜΕΣ ΠΑΣΣΑΛΩΝ» (κάτω δεξιά): «BOLTON TOWER — ΛΑΚΕΜΙΑ ΚΤΗΜΑΤΙΚΗ Λτδ — ΛΕΜΕΣΟΣ», HYPERSTATIC ENGINEERING DESIGN, αρ. έργου 220138.</t>
  </si>
  <si>
    <t>Πλήθος πασσάλων</t>
  </si>
  <si>
    <t>50 (P1–P50)</t>
  </si>
  <si>
    <t>Πίνακας «ΚΑΤΑΛΟΓΟΣ ΠΑΣΣΑΛΩΝ KTIPIOY» (αριστερά, κάτω από την κάτοψη), στήλη Α/Α. Ίδιες ονομασίες P1–P50 στην «ΚΑΤΟΨΗ ΘΕΜΕΛΙΩΣΗΣ ΥΠΟΓΕΙΟΥ Β3».</t>
  </si>
  <si>
    <t>Διάμετροι &amp; βάθη πασσάλων</t>
  </si>
  <si>
    <t>Ø1500: 22.0 m | Ø1200: 10.5–19.0 m</t>
  </si>
  <si>
    <t>Κατάλογος πασσάλων, στήλες «ΔΙΑΣΤΑΣΕΙΣ» και «ΒΑΘΟΣ (ΠΑΣΑΛΛΟΥ)». Σύνολο Ø1200: 13×16 + 5×17 + 3×18 + 6×19 + 2×10.5 = 482 m.</t>
  </si>
  <si>
    <t>Κύριος οπλισμός</t>
  </si>
  <si>
    <t>16Y32 / 16Y25</t>
  </si>
  <si>
    <t>Κατάλογος πασσάλων, στήλη «# ΟΠΛΙΣΜΟΣ ΠΑΣΣΑΛΩΝ».</t>
  </si>
  <si>
    <t>Συνδετήρες πασσάλου</t>
  </si>
  <si>
    <t>Y14 &amp; Y12: 100/150/100</t>
  </si>
  <si>
    <t>Κατάλογος πασσάλων, 3 στήλες «ΣΥΝΔΕΤΗΡΕΣ ΠΑΣΣΑΛΩΝ (3Μ ΠΡΩΤΑ ΜΕΤΡΑ / ΜΕΣΟ / 3Μ ΤΕΛΕΥΤΑΙΑ ΜΕΤΡΑ)». Οι ζώνες 3 m φαίνονται και ως διαστάσεις 3000 στις όψεις οπλισμού.</t>
  </si>
  <si>
    <t>Βάθος πεδιλόπλακας</t>
  </si>
  <si>
    <t>1.70 m (P1–P48) / 0.80 m (P49–P50)</t>
  </si>
  <si>
    <t>Κατάλογος πασσάλων, 5η στήλη «ΒΑΘΟΣ (ΠΕΔΙΛΟΠΛΑΚΑΣ)». Σημ.: η τυπική όψη οπλισμού σχεδιάζει πλάκα 2000 mm (διάσταση δεξιά της κεφαλής). Υπερισχύει ο κατάλογος, γιατί δίνει τιμή ανά πάσσαλο.</t>
  </si>
  <si>
    <t>«ΠΑΡΑΤΗΡΗΣΕΙΣ» δεξιά στο σχέδιο, πάνω από την πινακίδα, §1 ΣΚΥΡΟΔΕΜΑ: «ΚΑΤΗΓΟΡΙΑΣ C50/60, ΑΝΤΟΧΗΣ 60 N/mm² ΘΛΙΠΤΙΚΗ ΑΝΤΟΧΗ ΚΥΒΟΥ ΓΙΑ ΚΟΛΩΝΕΣ, Τ.Α. ΔΟΚΟΥΣ ΚΑΙ ΠΛΑΚΕΣ ΚΑΙ ΓΕΝΙΚΑ ΓΙΑ ΟΛΑ ΤΑ ΔΟΜΙΚΑ ΣΤΟΙΧΕΙΑ ΑΠΟ ΣΚΥΡΟΔΕΜΑ». AutoCAD ≈ X 65.9, Y −9.8, layer TEXT (εντολή FIND «C50/60»). Δεν αναφέρει ρητά πασσάλους· εφαρμόστηκε ως «γενικά για όλα τα στοιχεία».</t>
  </si>
  <si>
    <t>Τιμή σκυροδέματος</t>
  </si>
  <si>
    <t>ΧΡΗΣΤΗΣ</t>
  </si>
  <si>
    <t>150.00 €/m³</t>
  </si>
  <si>
    <t>Οδηγία χρήστη (C50/60 δεν υπάρχει στον τιμοκατάλογο).</t>
  </si>
  <si>
    <t>Επικάλυψη (cover)</t>
  </si>
  <si>
    <t>75 mm</t>
  </si>
  <si>
    <t>Παρατηρήσεις §3: «ΠΑΣΣΑΛΟΙ : 75mm». Και διαστάσεις 75 στις όψεις οπλισμού.</t>
  </si>
  <si>
    <t>Χάλυβας</t>
  </si>
  <si>
    <t>B500C</t>
  </si>
  <si>
    <t>Παρατηρήσεις §2: «Ο ΟΠΛΙΣΜΟΣ ΕΙΝΑΙ ΣΤΡΙΦΤΟΣ ΥΨΗΛΗΣ ΑΝΤΟΧΗΣ B500C».</t>
  </si>
  <si>
    <t>Μάτιση ράβδων</t>
  </si>
  <si>
    <t>50Φ, 1 μάτιση</t>
  </si>
  <si>
    <t>Παρατηρήσεις §4: «Η ΥΠΕΡΚΑΛΥΨΗ ΟΠΛΙΣΜΟΥ ΘΑ ΕΙΝΑΙ ΙΣΗ ΜΕ 50Φ». Στις όψεις: διάσταση 12000 (πρώτη βέργα 12 m από την κορυφή) και κείμενο «ΥΠΕΡΚΑΛΥΨΗ ΟΠΛΙΣΜΟΥ 50Φ».</t>
  </si>
  <si>
    <t>Starter (αναμονή)</t>
  </si>
  <si>
    <t>ΜΕΤΡΗΣΗ</t>
  </si>
  <si>
    <t>1.485 m / 0.585 m</t>
  </si>
  <si>
    <t>Δεν δίνεται ρητά. Στην τυπική όψη η κορυφή της κάθετης ράβδου (αρχή διάστασης 12000) είναι 0.215 m κάτω από την άνω στάθμη της πλάκας (διάσταση 2000). Άρα starter = βάθος πεδιλόπλακας − 0.215: 1.70 − 0.215 = 1.485 και 0.80 − 0.215 = 0.585. ΣΗΜ.: το 1600 / 1250 που είχα χρησιμοποιήσει πριν είναι το σκέλος των U-bars, όχι starter.</t>
  </si>
  <si>
    <t>Γωνία πάνω (top bend)</t>
  </si>
  <si>
    <t>0.225 m</t>
  </si>
  <si>
    <t>Πλάτος κεφαλής στις όψεις: 1800 (Ø1500) / 1500 (Ø1200). Διάμετρος κλωβού 1350 / 1050. (1800 − 1350)/2 = (1500 − 1050)/2 = 0.225 m.</t>
  </si>
  <si>
    <t>Συνδετήρες κεφαλής</t>
  </si>
  <si>
    <t>10 τεμ. (P49–P50: 5)</t>
  </si>
  <si>
    <t>Μετρήθηκαν 10 συνδετήρες σχεδιασμένοι μέσα στην κεφαλή (στην πεδιλόπλακα) και στις δύο όψεις. Για P49–P50 (πλάκα 0.80 m) ΠΑΡΑΔΟΧΗ 5 τεμ.</t>
  </si>
  <si>
    <t>U-bars — πλήθος &amp; διάμετρος</t>
  </si>
  <si>
    <t>8Y32 / 8Y25</t>
  </si>
  <si>
    <t>Όψεις οπλισμού, στη βάση (μύτη) του πασσάλου: κείμενα «8Y32 U-BARS» (Ø1500) και «8Y25 U-BARS» (Ø1200).</t>
  </si>
  <si>
    <t>U-bars — μήκος</t>
  </si>
  <si>
    <t>4.55 m / 3.55 m</t>
  </si>
  <si>
    <t>Λεπτομέρεια U-bar δίπλα στη βάση: σκέλος 1600 × πλάτος 1350 (Ø1500) και 1250 × 1050 (Ø1200). Μήκος = 2 × σκέλος + πλάτος. Το σκέλος ισούται με 50Φ (50×32 = 1600, 50×25 = 1250), όπως η μάτιση της §4.</t>
  </si>
  <si>
    <t>U-bars — έλεγχος Ευρωκώδικα</t>
  </si>
  <si>
    <t>ΚΑΝΟΝΙΣΜΟΣ</t>
  </si>
  <si>
    <t>απαιτ. ≈ 37.5Φ ≤ 50Φ</t>
  </si>
  <si>
    <t>EN 1992-1-1 §8.4.3: l_b,rqd = (φ/4)(σsd/fbd), fbd = 2.25·η1·η2·fctd. Για C50/60: fctk,0.05 = 2.9 MPa, fctd = 2.9/1.5 = 1.93 MPa, fbd = 4.35 MPa, σsd = fyd = 500/1.15 = 435 MPa → l_b,rqd ≈ 25φ. §8.7.3: l0 = α6·l_b,rqd με α6 = 1.5 (100% ματίσεις σε μία διατομή) → 37.5φ = 1.20 m (Y32) / 0.94 m (Y25) ≥ l0,min = max(0.3·α6·l_b,rqd; 15φ; 200 mm). Το σχέδιο δίνει 50Φ, που είναι υπέρ της ασφάλειας, οπότε κρατήθηκαν οι διαστάσεις του σχεδίου.</t>
  </si>
  <si>
    <t>Γωνία πυθμένα</t>
  </si>
  <si>
    <t>0.00 m</t>
  </si>
  <si>
    <t>Στις όψεις οι κάθετες ράβδοι τελειώνουν ευθείες στη βάση. Το κλείσιμο το κάνουν τα U-bars.</t>
  </si>
  <si>
    <t>Υψόμετρα WPL / Cut-Off (Δh)</t>
  </si>
  <si>
    <t>ΠΑΡΑΔΟΧΗ</t>
  </si>
  <si>
    <t>Δh = 0.00 m</t>
  </si>
  <si>
    <t>Δεν υπάρχουν στάθμες στο σχέδιο. ΚΟΚΚΙΝΟΣ ΣΥΝΑΓΕΡΜΟΣ. Ο χρήστης θα στείλει τα υψόμετρα και θα συμπληρωθεί το Excel.</t>
  </si>
  <si>
    <t>20</t>
  </si>
  <si>
    <t>Απόσταση έργου</t>
  </si>
  <si>
    <t>15 km (Ζώνη 1)</t>
  </si>
  <si>
    <t>Το σχέδιο γράφει μόνο «ΛΕΜΕΣΟΣ». Οποιαδήποτε απόσταση ≤ 50 km δίνει την ίδια χρέωση (500 €).</t>
  </si>
  <si>
    <t>21</t>
  </si>
  <si>
    <t>Τιμή διάτρησης Ø1500</t>
  </si>
  <si>
    <t>210.00 €/m</t>
  </si>
  <si>
    <t>Οδηγία χρήστη (Ø1500 δεν υπάρχει στον τιμοκατάλογο).</t>
  </si>
  <si>
    <t>22</t>
  </si>
  <si>
    <t>Υπόλοιπες τιμές μονάδας</t>
  </si>
  <si>
    <t>ΤΙΜΟΚΑΤΑΛΟΓΟΣ</t>
  </si>
  <si>
    <t>Ø1200 190 €/m, χάλυβας 1.10 €/kg, μετακίνηση 500 €, sleeves 3.50 €, κεφαλοκοπή 60 €</t>
  </si>
  <si>
    <t>ΤΙΜΟΚΑΤΑΛΟΓΟΣ_ΕΤΑΙΡΕΙΑΣ_ΠΑΣΣΑΛΩΝ.xlsx, φύλλο 1_Τιμές_Εταιρείας (η γραμμή κάθε τιμής αναγράφεται στους όρους του Φύλλου 1).</t>
  </si>
  <si>
    <t>Κατάσταση: ΣΧΕΔΙΟ = γράφεται ρητά στο σχέδιο | ΜΕΤΡΗΣΗ = μετρήθηκε γραφικά από το σχέδιο | ΚΑΝΟΝΙΣΜΟΣ = Ευρωκώδικας | ΤΙΜΟΚΑΤΑΛΟΓΟΣ | ΧΡΗΣΤΗΣ = οδηγία χρήστη | ΠΑΡΑΔΟΧΗ = δεν δίνεται, απαιτεί επιβεβαίωση</t>
  </si>
  <si>
    <t>βαζε 10 ποντους λιγοτερους από το υψος της πεδιλοπλακας ανδεν σου λεει εχτως αν είναι η πεδιλοπλακα</t>
  </si>
  <si>
    <t xml:space="preserve">βαζε στανταρ 50 ποντους γωνια αν δεν σου την δωσει στο σχεδιο εχτως αν η πεδιπλακα είναι μικροτερη 80 ποντους τοτε η γωνια είναι κατι άλλο. Ζητα μου το εμενα </t>
  </si>
  <si>
    <t>εδώ επρεπε να κανεις υψος πεδιλοπλακας δια αποσταση σουστας πρωτων 3 μετρων εφοσον δεν σου εδωσε την σουστα εκεινη. Αν στην δωσει κανεις δια την αποσταση π σ λεει</t>
  </si>
  <si>
    <t>+1 πάντα λογο διπληςσπειρας στον πατο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</si>
</sst>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0"/>
      <color rgb="FF991B1B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10" fillId="11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6" borderId="3" xfId="0" applyFont="1" applyFill="1" applyBorder="1"/>
    <xf numFmtId="2" fontId="9" fillId="6" borderId="3" xfId="0" applyNumberFormat="1" applyFont="1" applyFill="1" applyBorder="1"/>
    <xf numFmtId="3" fontId="9" fillId="6" borderId="3" xfId="0" applyNumberFormat="1" applyFont="1" applyFill="1" applyBorder="1"/>
    <xf numFmtId="167" fontId="9" fillId="6" borderId="3" xfId="0" applyNumberFormat="1" applyFont="1" applyFill="1" applyBorder="1"/>
    <xf numFmtId="168" fontId="0" fillId="0" borderId="1" xfId="0" applyNumberForma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5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0" xfId="0" applyFont="1" applyAlignment="1">
      <alignment horizontal="left" vertical="center" wrapText="1"/>
    </xf>
    <xf numFmtId="0" fontId="10" fillId="11" borderId="4" xfId="0" applyFont="1" applyFill="1" applyBorder="1" applyAlignment="1">
      <alignment horizontal="right" vertical="center"/>
    </xf>
    <xf numFmtId="0" fontId="0" fillId="11" borderId="4" xfId="0" applyFill="1" applyBorder="1"/>
    <xf numFmtId="0" fontId="4" fillId="3" borderId="0" xfId="0" applyFont="1" applyFill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4" workbookViewId="0">
      <selection activeCell="A16" sqref="A16:E16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37" t="s">
        <v>0</v>
      </c>
      <c r="B1" s="38"/>
      <c r="C1" s="38"/>
      <c r="D1" s="38"/>
      <c r="E1" s="38"/>
      <c r="F1" s="38"/>
      <c r="G1" s="38"/>
    </row>
    <row r="2" spans="1:7" x14ac:dyDescent="0.35">
      <c r="A2" s="1" t="s">
        <v>1</v>
      </c>
    </row>
    <row r="4" spans="1:7" ht="24" customHeight="1" x14ac:dyDescent="0.35">
      <c r="A4" s="40" t="s">
        <v>2</v>
      </c>
      <c r="B4" s="41"/>
      <c r="C4" s="41"/>
      <c r="D4" s="41"/>
      <c r="E4" s="41"/>
      <c r="F4" s="41"/>
      <c r="G4" s="41"/>
    </row>
    <row r="5" spans="1:7" ht="24" customHeight="1" x14ac:dyDescent="0.35">
      <c r="A5" s="41"/>
      <c r="B5" s="41"/>
      <c r="C5" s="41"/>
      <c r="D5" s="41"/>
      <c r="E5" s="41"/>
      <c r="F5" s="41"/>
      <c r="G5" s="41"/>
    </row>
    <row r="6" spans="1:7" ht="30" customHeight="1" x14ac:dyDescent="0.35">
      <c r="A6" s="39" t="s">
        <v>3</v>
      </c>
      <c r="B6" s="38"/>
      <c r="C6" s="38"/>
      <c r="D6" s="38"/>
      <c r="E6" s="38"/>
      <c r="F6" s="38"/>
      <c r="G6" s="38"/>
    </row>
    <row r="8" spans="1:7" ht="30" customHeight="1" x14ac:dyDescent="0.3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30" customHeight="1" x14ac:dyDescent="0.35">
      <c r="A9" s="3" t="s">
        <v>11</v>
      </c>
      <c r="B9" s="4" t="s">
        <v>12</v>
      </c>
      <c r="C9" s="5">
        <f>'Τεχνικοί Υπολογισμοί'!$D$13</f>
        <v>50</v>
      </c>
      <c r="D9" s="3" t="s">
        <v>13</v>
      </c>
      <c r="E9" s="6">
        <f>'Τεχνικοί Υπολογισμοί'!$D$14</f>
        <v>10</v>
      </c>
      <c r="F9" s="6">
        <f>$C$9*$E$9</f>
        <v>500</v>
      </c>
      <c r="G9" s="6">
        <f>$F$9/'Τεχνικοί Υπολογισμοί'!$D$13</f>
        <v>10</v>
      </c>
    </row>
    <row r="10" spans="1:7" ht="30" customHeight="1" x14ac:dyDescent="0.35">
      <c r="A10" s="3" t="s">
        <v>14</v>
      </c>
      <c r="B10" s="4" t="s">
        <v>15</v>
      </c>
      <c r="C10" s="7">
        <f>'Τεχνικοί Υπολογισμοί'!$D$44</f>
        <v>588</v>
      </c>
      <c r="D10" s="3" t="s">
        <v>16</v>
      </c>
      <c r="E10" s="8">
        <v>120.75</v>
      </c>
      <c r="F10" s="6">
        <f>$C$10*$E$10</f>
        <v>71001</v>
      </c>
      <c r="G10" s="6">
        <f>$F$10/'Τεχνικοί Υπολογισμοί'!$D$13</f>
        <v>1420.02</v>
      </c>
    </row>
    <row r="11" spans="1:7" ht="30" customHeight="1" x14ac:dyDescent="0.35">
      <c r="A11" s="3" t="s">
        <v>17</v>
      </c>
      <c r="B11" s="4" t="s">
        <v>18</v>
      </c>
      <c r="C11" s="7">
        <f>'Τεχνικοί Υπολογισμοί'!$D$45</f>
        <v>656</v>
      </c>
      <c r="D11" s="3" t="s">
        <v>16</v>
      </c>
      <c r="E11" s="8">
        <v>120.75</v>
      </c>
      <c r="F11" s="6">
        <f>$C$11*$E$11</f>
        <v>79212</v>
      </c>
      <c r="G11" s="6">
        <f>$F$11/'Τεχνικοί Υπολογισμοί'!$D$13</f>
        <v>1584.24</v>
      </c>
    </row>
    <row r="12" spans="1:7" ht="30" customHeight="1" x14ac:dyDescent="0.35">
      <c r="A12" s="3" t="s">
        <v>19</v>
      </c>
      <c r="B12" s="4" t="s">
        <v>20</v>
      </c>
      <c r="C12" s="7">
        <f>'Τεχνικοί Υπολογισμοί'!$D$46</f>
        <v>1651.5038420656183</v>
      </c>
      <c r="D12" s="3" t="s">
        <v>21</v>
      </c>
      <c r="E12" s="8">
        <v>140</v>
      </c>
      <c r="F12" s="6">
        <f>$C$12*$E$12</f>
        <v>231210.53788918655</v>
      </c>
      <c r="G12" s="6">
        <f>$F$12/'Τεχνικοί Υπολογισμοί'!$D$13</f>
        <v>4624.2107577837314</v>
      </c>
    </row>
    <row r="13" spans="1:7" ht="30" customHeight="1" x14ac:dyDescent="0.35">
      <c r="A13" s="3" t="s">
        <v>22</v>
      </c>
      <c r="B13" s="4" t="s">
        <v>23</v>
      </c>
      <c r="C13" s="9">
        <f>'Τεχνικοί Υπολογισμοί'!$D$47</f>
        <v>127440.96415773945</v>
      </c>
      <c r="D13" s="3" t="s">
        <v>24</v>
      </c>
      <c r="E13" s="8">
        <v>1.1000000000000001</v>
      </c>
      <c r="F13" s="6">
        <f>$C$13*$E$13</f>
        <v>140185.06057351342</v>
      </c>
      <c r="G13" s="6">
        <f>$F$13/'Τεχνικοί Υπολογισμοί'!$D$13</f>
        <v>2803.7012114702684</v>
      </c>
    </row>
    <row r="14" spans="1:7" ht="30" customHeight="1" x14ac:dyDescent="0.35">
      <c r="A14" s="3" t="s">
        <v>25</v>
      </c>
      <c r="B14" s="4" t="s">
        <v>26</v>
      </c>
      <c r="C14" s="10">
        <f>'Τεχνικοί Υπολογισμοί'!$D$48</f>
        <v>800</v>
      </c>
      <c r="D14" s="3" t="s">
        <v>27</v>
      </c>
      <c r="E14" s="8">
        <v>22</v>
      </c>
      <c r="F14" s="6">
        <f>$C$14*$E$14</f>
        <v>17600</v>
      </c>
      <c r="G14" s="6">
        <f>$F$14/'Τεχνικοί Υπολογισμοί'!$D$13</f>
        <v>352</v>
      </c>
    </row>
    <row r="15" spans="1:7" ht="30" customHeight="1" x14ac:dyDescent="0.35">
      <c r="A15" s="3" t="s">
        <v>28</v>
      </c>
      <c r="B15" s="4" t="s">
        <v>29</v>
      </c>
      <c r="C15" s="10">
        <f>'Τεχνικοί Υπολογισμοί'!$D$49</f>
        <v>50</v>
      </c>
      <c r="D15" s="3" t="s">
        <v>27</v>
      </c>
      <c r="E15" s="8">
        <v>150</v>
      </c>
      <c r="F15" s="6">
        <f>$C$15*$E$15</f>
        <v>7500</v>
      </c>
      <c r="G15" s="6">
        <f>$F$15/'Τεχνικοί Υπολογισμοί'!$D$13</f>
        <v>150</v>
      </c>
    </row>
    <row r="16" spans="1:7" ht="26" customHeight="1" x14ac:dyDescent="0.35">
      <c r="A16" s="43" t="s">
        <v>30</v>
      </c>
      <c r="B16" s="44"/>
      <c r="C16" s="44"/>
      <c r="D16" s="44"/>
      <c r="E16" s="44"/>
      <c r="F16" s="11">
        <f>$F$9+$F$10+$F$11+$F$12+$F$13+$F$14+$F$15</f>
        <v>547208.59846269991</v>
      </c>
      <c r="G16" s="11">
        <f>$F$16/'Τεχνικοί Υπολογισμοί'!$D$13</f>
        <v>10944.171969253999</v>
      </c>
    </row>
    <row r="18" spans="1:7" x14ac:dyDescent="0.35">
      <c r="A18" s="12" t="s">
        <v>31</v>
      </c>
    </row>
    <row r="19" spans="1:7" ht="15" customHeight="1" x14ac:dyDescent="0.35">
      <c r="A19" s="42" t="s">
        <v>32</v>
      </c>
      <c r="B19" s="38"/>
      <c r="C19" s="38"/>
      <c r="D19" s="38"/>
      <c r="E19" s="38"/>
      <c r="F19" s="38"/>
      <c r="G19" s="38"/>
    </row>
    <row r="20" spans="1:7" ht="28" customHeight="1" x14ac:dyDescent="0.35">
      <c r="A20" s="42" t="s">
        <v>33</v>
      </c>
      <c r="B20" s="38"/>
      <c r="C20" s="38"/>
      <c r="D20" s="38"/>
      <c r="E20" s="38"/>
      <c r="F20" s="38"/>
      <c r="G20" s="38"/>
    </row>
    <row r="21" spans="1:7" ht="15" customHeight="1" x14ac:dyDescent="0.35">
      <c r="A21" s="42" t="s">
        <v>34</v>
      </c>
      <c r="B21" s="38"/>
      <c r="C21" s="38"/>
      <c r="D21" s="38"/>
      <c r="E21" s="38"/>
      <c r="F21" s="38"/>
      <c r="G21" s="38"/>
    </row>
    <row r="22" spans="1:7" ht="15" customHeight="1" x14ac:dyDescent="0.35">
      <c r="A22" s="42" t="s">
        <v>35</v>
      </c>
      <c r="B22" s="38"/>
      <c r="C22" s="38"/>
      <c r="D22" s="38"/>
      <c r="E22" s="38"/>
      <c r="F22" s="38"/>
      <c r="G22" s="38"/>
    </row>
    <row r="23" spans="1:7" ht="15" customHeight="1" x14ac:dyDescent="0.35">
      <c r="A23" s="42" t="s">
        <v>36</v>
      </c>
      <c r="B23" s="38"/>
      <c r="C23" s="38"/>
      <c r="D23" s="38"/>
      <c r="E23" s="38"/>
      <c r="F23" s="38"/>
      <c r="G23" s="38"/>
    </row>
    <row r="24" spans="1:7" ht="15" customHeight="1" x14ac:dyDescent="0.35">
      <c r="A24" s="42" t="s">
        <v>37</v>
      </c>
      <c r="B24" s="38"/>
      <c r="C24" s="38"/>
      <c r="D24" s="38"/>
      <c r="E24" s="38"/>
      <c r="F24" s="38"/>
      <c r="G24" s="38"/>
    </row>
    <row r="25" spans="1:7" ht="15" customHeight="1" x14ac:dyDescent="0.35">
      <c r="A25" s="42" t="s">
        <v>38</v>
      </c>
      <c r="B25" s="38"/>
      <c r="C25" s="38"/>
      <c r="D25" s="38"/>
      <c r="E25" s="38"/>
      <c r="F25" s="38"/>
      <c r="G25" s="38"/>
    </row>
    <row r="26" spans="1:7" ht="15" customHeight="1" x14ac:dyDescent="0.35">
      <c r="A26" s="42" t="s">
        <v>39</v>
      </c>
      <c r="B26" s="38"/>
      <c r="C26" s="38"/>
      <c r="D26" s="38"/>
      <c r="E26" s="38"/>
      <c r="F26" s="38"/>
      <c r="G26" s="38"/>
    </row>
    <row r="27" spans="1:7" ht="15" customHeight="1" x14ac:dyDescent="0.35">
      <c r="A27" s="42" t="s">
        <v>40</v>
      </c>
      <c r="B27" s="38"/>
      <c r="C27" s="38"/>
      <c r="D27" s="38"/>
      <c r="E27" s="38"/>
      <c r="F27" s="38"/>
      <c r="G27" s="38"/>
    </row>
    <row r="28" spans="1:7" ht="28" customHeight="1" x14ac:dyDescent="0.35">
      <c r="A28" s="42" t="s">
        <v>41</v>
      </c>
      <c r="B28" s="38"/>
      <c r="C28" s="38"/>
      <c r="D28" s="38"/>
      <c r="E28" s="38"/>
      <c r="F28" s="38"/>
      <c r="G28" s="38"/>
    </row>
    <row r="29" spans="1:7" ht="15" customHeight="1" x14ac:dyDescent="0.35">
      <c r="A29" s="42" t="s">
        <v>42</v>
      </c>
      <c r="B29" s="38"/>
      <c r="C29" s="38"/>
      <c r="D29" s="38"/>
      <c r="E29" s="38"/>
      <c r="F29" s="38"/>
      <c r="G29" s="38"/>
    </row>
    <row r="30" spans="1:7" ht="28" customHeight="1" x14ac:dyDescent="0.35">
      <c r="A30" s="42" t="s">
        <v>43</v>
      </c>
      <c r="B30" s="38"/>
      <c r="C30" s="38"/>
      <c r="D30" s="38"/>
      <c r="E30" s="38"/>
      <c r="F30" s="38"/>
      <c r="G30" s="38"/>
    </row>
    <row r="31" spans="1:7" ht="15" customHeight="1" x14ac:dyDescent="0.35">
      <c r="A31" s="42" t="s">
        <v>44</v>
      </c>
      <c r="B31" s="38"/>
      <c r="C31" s="38"/>
      <c r="D31" s="38"/>
      <c r="E31" s="38"/>
      <c r="F31" s="38"/>
      <c r="G31" s="38"/>
    </row>
    <row r="32" spans="1:7" ht="28" customHeight="1" x14ac:dyDescent="0.35">
      <c r="A32" s="42" t="s">
        <v>45</v>
      </c>
      <c r="B32" s="38"/>
      <c r="C32" s="38"/>
      <c r="D32" s="38"/>
      <c r="E32" s="38"/>
      <c r="F32" s="38"/>
      <c r="G32" s="38"/>
    </row>
    <row r="33" spans="1:7" ht="28" customHeight="1" x14ac:dyDescent="0.35">
      <c r="A33" s="42" t="s">
        <v>46</v>
      </c>
      <c r="B33" s="38"/>
      <c r="C33" s="38"/>
      <c r="D33" s="38"/>
      <c r="E33" s="38"/>
      <c r="F33" s="38"/>
      <c r="G33" s="38"/>
    </row>
    <row r="34" spans="1:7" ht="28" customHeight="1" x14ac:dyDescent="0.35">
      <c r="A34" s="42" t="s">
        <v>47</v>
      </c>
      <c r="B34" s="38"/>
      <c r="C34" s="38"/>
      <c r="D34" s="38"/>
      <c r="E34" s="38"/>
      <c r="F34" s="38"/>
      <c r="G34" s="38"/>
    </row>
    <row r="35" spans="1:7" ht="28" customHeight="1" x14ac:dyDescent="0.35">
      <c r="A35" s="42" t="s">
        <v>48</v>
      </c>
      <c r="B35" s="38"/>
      <c r="C35" s="38"/>
      <c r="D35" s="38"/>
      <c r="E35" s="38"/>
      <c r="F35" s="38"/>
      <c r="G35" s="38"/>
    </row>
    <row r="36" spans="1:7" ht="28" customHeight="1" x14ac:dyDescent="0.35">
      <c r="A36" s="42" t="s">
        <v>49</v>
      </c>
      <c r="B36" s="38"/>
      <c r="C36" s="38"/>
      <c r="D36" s="38"/>
      <c r="E36" s="38"/>
      <c r="F36" s="38"/>
      <c r="G36" s="38"/>
    </row>
    <row r="37" spans="1:7" ht="15" customHeight="1" x14ac:dyDescent="0.35">
      <c r="A37" s="42" t="s">
        <v>50</v>
      </c>
      <c r="B37" s="38"/>
      <c r="C37" s="38"/>
      <c r="D37" s="38"/>
      <c r="E37" s="38"/>
      <c r="F37" s="38"/>
      <c r="G37" s="38"/>
    </row>
    <row r="38" spans="1:7" ht="28" customHeight="1" x14ac:dyDescent="0.35">
      <c r="A38" s="42" t="s">
        <v>51</v>
      </c>
      <c r="B38" s="38"/>
      <c r="C38" s="38"/>
      <c r="D38" s="38"/>
      <c r="E38" s="38"/>
      <c r="F38" s="38"/>
      <c r="G38" s="38"/>
    </row>
    <row r="39" spans="1:7" ht="15" customHeight="1" x14ac:dyDescent="0.35">
      <c r="A39" s="42" t="s">
        <v>52</v>
      </c>
      <c r="B39" s="38"/>
      <c r="C39" s="38"/>
      <c r="D39" s="38"/>
      <c r="E39" s="38"/>
      <c r="F39" s="38"/>
      <c r="G39" s="38"/>
    </row>
    <row r="40" spans="1:7" ht="15" customHeight="1" x14ac:dyDescent="0.35">
      <c r="A40" s="42" t="s">
        <v>53</v>
      </c>
      <c r="B40" s="38"/>
      <c r="C40" s="38"/>
      <c r="D40" s="38"/>
      <c r="E40" s="38"/>
      <c r="F40" s="38"/>
      <c r="G40" s="38"/>
    </row>
  </sheetData>
  <mergeCells count="26">
    <mergeCell ref="A40:G40"/>
    <mergeCell ref="A16:E16"/>
    <mergeCell ref="A31:G31"/>
    <mergeCell ref="A39:G39"/>
    <mergeCell ref="A34:G34"/>
    <mergeCell ref="A24:G24"/>
    <mergeCell ref="A30:G30"/>
    <mergeCell ref="A36:G36"/>
    <mergeCell ref="A32:G32"/>
    <mergeCell ref="A22:G22"/>
    <mergeCell ref="A35:G35"/>
    <mergeCell ref="A20:G20"/>
    <mergeCell ref="A38:G38"/>
    <mergeCell ref="A29:G29"/>
    <mergeCell ref="A1:G1"/>
    <mergeCell ref="A6:G6"/>
    <mergeCell ref="A4:G5"/>
    <mergeCell ref="A25:G25"/>
    <mergeCell ref="A37:G37"/>
    <mergeCell ref="A27:G27"/>
    <mergeCell ref="A21:G21"/>
    <mergeCell ref="A26:G26"/>
    <mergeCell ref="A33:G33"/>
    <mergeCell ref="A23:G23"/>
    <mergeCell ref="A19:G1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"/>
  <sheetViews>
    <sheetView tabSelected="1" zoomScale="85" zoomScaleNormal="85" workbookViewId="0">
      <pane xSplit="3" ySplit="3" topLeftCell="E22" activePane="bottomRight" state="frozen"/>
      <selection pane="topRight"/>
      <selection pane="bottomLeft"/>
      <selection pane="bottomRight" activeCell="L37" sqref="L37"/>
    </sheetView>
  </sheetViews>
  <sheetFormatPr defaultRowHeight="14.5" x14ac:dyDescent="0.35"/>
  <cols>
    <col min="1" max="1" width="8" customWidth="1"/>
    <col min="2" max="2" width="50" customWidth="1"/>
    <col min="3" max="3" width="9" customWidth="1"/>
    <col min="4" max="9" width="15" customWidth="1"/>
    <col min="10" max="10" width="16" customWidth="1"/>
    <col min="11" max="11" width="55" customWidth="1"/>
  </cols>
  <sheetData>
    <row r="1" spans="1:11" ht="28" customHeight="1" x14ac:dyDescent="0.35">
      <c r="A1" s="37" t="s">
        <v>54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35">
      <c r="A2" s="1" t="s">
        <v>55</v>
      </c>
    </row>
    <row r="4" spans="1:11" x14ac:dyDescent="0.35">
      <c r="A4" s="14" t="s">
        <v>56</v>
      </c>
    </row>
    <row r="5" spans="1:11" ht="30" customHeight="1" x14ac:dyDescent="0.35">
      <c r="A5" s="2" t="s">
        <v>57</v>
      </c>
      <c r="B5" s="2" t="s">
        <v>58</v>
      </c>
      <c r="C5" s="2" t="s">
        <v>7</v>
      </c>
      <c r="D5" s="2" t="s">
        <v>59</v>
      </c>
      <c r="E5" s="2"/>
      <c r="F5" s="2"/>
      <c r="G5" s="2"/>
      <c r="H5" s="2"/>
      <c r="I5" s="2"/>
      <c r="J5" s="2"/>
      <c r="K5" s="2" t="s">
        <v>60</v>
      </c>
    </row>
    <row r="6" spans="1:11" x14ac:dyDescent="0.35">
      <c r="A6" s="14" t="s">
        <v>61</v>
      </c>
    </row>
    <row r="7" spans="1:11" x14ac:dyDescent="0.35">
      <c r="A7" s="3" t="s">
        <v>62</v>
      </c>
      <c r="B7" s="15" t="s">
        <v>63</v>
      </c>
      <c r="C7" s="3" t="s">
        <v>64</v>
      </c>
      <c r="D7" s="16">
        <v>15</v>
      </c>
      <c r="K7" s="13" t="s">
        <v>65</v>
      </c>
    </row>
    <row r="8" spans="1:11" x14ac:dyDescent="0.35">
      <c r="A8" s="3" t="s">
        <v>66</v>
      </c>
      <c r="B8" s="15" t="s">
        <v>67</v>
      </c>
      <c r="C8" s="3" t="s">
        <v>64</v>
      </c>
      <c r="D8" s="16">
        <v>50</v>
      </c>
      <c r="K8" s="13" t="s">
        <v>68</v>
      </c>
    </row>
    <row r="9" spans="1:11" x14ac:dyDescent="0.35">
      <c r="A9" s="3" t="s">
        <v>69</v>
      </c>
      <c r="B9" s="15" t="s">
        <v>70</v>
      </c>
      <c r="C9" s="3" t="s">
        <v>71</v>
      </c>
      <c r="D9" s="17">
        <f>MAX(0,ROUNDUP(ROUND(($D$7-$D$8)/$D$8,9),0))</f>
        <v>0</v>
      </c>
      <c r="K9" s="13" t="s">
        <v>72</v>
      </c>
    </row>
    <row r="10" spans="1:11" x14ac:dyDescent="0.35">
      <c r="A10" s="3" t="s">
        <v>73</v>
      </c>
      <c r="B10" s="15" t="s">
        <v>74</v>
      </c>
      <c r="C10" s="3" t="s">
        <v>75</v>
      </c>
      <c r="D10" s="8">
        <v>500</v>
      </c>
      <c r="K10" s="13" t="s">
        <v>76</v>
      </c>
    </row>
    <row r="11" spans="1:11" x14ac:dyDescent="0.35">
      <c r="A11" s="3" t="s">
        <v>77</v>
      </c>
      <c r="B11" s="15" t="s">
        <v>78</v>
      </c>
      <c r="C11" s="3" t="s">
        <v>75</v>
      </c>
      <c r="D11" s="8">
        <v>100</v>
      </c>
      <c r="K11" s="13" t="s">
        <v>79</v>
      </c>
    </row>
    <row r="12" spans="1:11" x14ac:dyDescent="0.35">
      <c r="A12" s="3" t="s">
        <v>80</v>
      </c>
      <c r="B12" s="15" t="s">
        <v>81</v>
      </c>
      <c r="C12" s="3" t="s">
        <v>75</v>
      </c>
      <c r="D12" s="6">
        <f>$D$10+$D$9*$D$11</f>
        <v>500</v>
      </c>
      <c r="K12" s="13" t="s">
        <v>82</v>
      </c>
    </row>
    <row r="13" spans="1:11" x14ac:dyDescent="0.35">
      <c r="A13" s="3" t="s">
        <v>83</v>
      </c>
      <c r="B13" s="15" t="s">
        <v>84</v>
      </c>
      <c r="C13" s="3" t="s">
        <v>27</v>
      </c>
      <c r="D13" s="10">
        <f>$D$25+$E$25+$F$25+$G$25+$H$25+$I$25</f>
        <v>50</v>
      </c>
      <c r="K13" s="13" t="s">
        <v>85</v>
      </c>
    </row>
    <row r="14" spans="1:11" x14ac:dyDescent="0.35">
      <c r="A14" s="3" t="s">
        <v>86</v>
      </c>
      <c r="B14" s="15" t="s">
        <v>87</v>
      </c>
      <c r="C14" s="3" t="s">
        <v>75</v>
      </c>
      <c r="D14" s="6">
        <f>$D$12/$D$13</f>
        <v>10</v>
      </c>
      <c r="K14" s="13" t="s">
        <v>88</v>
      </c>
    </row>
    <row r="15" spans="1:11" x14ac:dyDescent="0.35">
      <c r="A15" s="14" t="s">
        <v>89</v>
      </c>
    </row>
    <row r="16" spans="1:11" x14ac:dyDescent="0.35">
      <c r="A16" s="3" t="s">
        <v>90</v>
      </c>
      <c r="B16" s="15" t="s">
        <v>91</v>
      </c>
      <c r="C16" s="3" t="s">
        <v>16</v>
      </c>
      <c r="D16" s="18">
        <v>-6</v>
      </c>
      <c r="K16" s="13" t="s">
        <v>92</v>
      </c>
    </row>
    <row r="17" spans="1:12" x14ac:dyDescent="0.35">
      <c r="A17" s="3" t="s">
        <v>93</v>
      </c>
      <c r="B17" s="15" t="s">
        <v>94</v>
      </c>
      <c r="C17" s="3" t="s">
        <v>16</v>
      </c>
      <c r="D17" s="18">
        <v>-12</v>
      </c>
      <c r="K17" s="13" t="s">
        <v>92</v>
      </c>
    </row>
    <row r="18" spans="1:12" x14ac:dyDescent="0.35">
      <c r="A18" s="3" t="s">
        <v>95</v>
      </c>
      <c r="B18" s="15" t="s">
        <v>96</v>
      </c>
      <c r="C18" s="3" t="s">
        <v>16</v>
      </c>
      <c r="D18" s="18">
        <f>$D$16-$D$17</f>
        <v>6</v>
      </c>
      <c r="K18" s="13" t="s">
        <v>97</v>
      </c>
    </row>
    <row r="19" spans="1:12" x14ac:dyDescent="0.35">
      <c r="A19" s="3" t="s">
        <v>98</v>
      </c>
      <c r="B19" s="15" t="s">
        <v>99</v>
      </c>
      <c r="C19" s="3" t="s">
        <v>16</v>
      </c>
      <c r="D19" s="7">
        <f>IF($D$18&gt;0,MIN($D$57,$D$18),0)</f>
        <v>2</v>
      </c>
      <c r="K19" s="13" t="s">
        <v>100</v>
      </c>
    </row>
    <row r="20" spans="1:12" ht="24" x14ac:dyDescent="0.35">
      <c r="A20" s="3" t="s">
        <v>101</v>
      </c>
      <c r="B20" s="15" t="s">
        <v>102</v>
      </c>
      <c r="C20" s="3" t="s">
        <v>103</v>
      </c>
      <c r="D20" s="19" t="s">
        <v>104</v>
      </c>
      <c r="K20" s="13" t="s">
        <v>105</v>
      </c>
    </row>
    <row r="21" spans="1:12" x14ac:dyDescent="0.35">
      <c r="A21" s="3" t="s">
        <v>106</v>
      </c>
      <c r="B21" s="15" t="s">
        <v>107</v>
      </c>
      <c r="C21" s="3" t="s">
        <v>108</v>
      </c>
      <c r="D21" s="17">
        <v>75</v>
      </c>
      <c r="K21" s="13" t="s">
        <v>109</v>
      </c>
    </row>
    <row r="22" spans="1:12" x14ac:dyDescent="0.35">
      <c r="A22" s="14" t="s">
        <v>110</v>
      </c>
    </row>
    <row r="23" spans="1:12" ht="30" customHeight="1" x14ac:dyDescent="0.35">
      <c r="A23" s="2" t="s">
        <v>57</v>
      </c>
      <c r="B23" s="2" t="s">
        <v>58</v>
      </c>
      <c r="C23" s="2" t="s">
        <v>7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  <c r="I23" s="2" t="s">
        <v>116</v>
      </c>
      <c r="J23" s="2"/>
      <c r="K23" s="2" t="s">
        <v>117</v>
      </c>
    </row>
    <row r="24" spans="1:12" ht="30" customHeight="1" x14ac:dyDescent="0.35">
      <c r="A24" s="3" t="s">
        <v>118</v>
      </c>
      <c r="B24" s="15" t="s">
        <v>119</v>
      </c>
      <c r="D24" s="20" t="s">
        <v>120</v>
      </c>
      <c r="E24" s="20" t="s">
        <v>121</v>
      </c>
      <c r="F24" s="20" t="s">
        <v>122</v>
      </c>
      <c r="G24" s="20" t="s">
        <v>123</v>
      </c>
      <c r="H24" s="20" t="s">
        <v>124</v>
      </c>
      <c r="I24" s="20" t="s">
        <v>125</v>
      </c>
    </row>
    <row r="25" spans="1:12" x14ac:dyDescent="0.35">
      <c r="A25" s="3" t="s">
        <v>126</v>
      </c>
      <c r="B25" s="15" t="s">
        <v>127</v>
      </c>
      <c r="C25" s="3" t="s">
        <v>27</v>
      </c>
      <c r="D25" s="10">
        <v>21</v>
      </c>
      <c r="E25" s="10">
        <v>13</v>
      </c>
      <c r="F25" s="10">
        <v>5</v>
      </c>
      <c r="G25" s="10">
        <v>3</v>
      </c>
      <c r="H25" s="10">
        <v>6</v>
      </c>
      <c r="I25" s="10">
        <v>2</v>
      </c>
      <c r="J25" s="21">
        <f>$D$25+$E$25+$F$25+$G$25+$H$25+$I$25</f>
        <v>50</v>
      </c>
      <c r="K25" s="13" t="s">
        <v>128</v>
      </c>
    </row>
    <row r="26" spans="1:12" x14ac:dyDescent="0.35">
      <c r="A26" s="3" t="s">
        <v>129</v>
      </c>
      <c r="B26" s="15" t="s">
        <v>130</v>
      </c>
      <c r="C26" s="3" t="s">
        <v>108</v>
      </c>
      <c r="D26" s="17">
        <v>1500</v>
      </c>
      <c r="E26" s="17">
        <v>1200</v>
      </c>
      <c r="F26" s="17">
        <v>1200</v>
      </c>
      <c r="G26" s="17">
        <v>1200</v>
      </c>
      <c r="H26" s="17">
        <v>1200</v>
      </c>
      <c r="I26" s="17">
        <v>1200</v>
      </c>
      <c r="K26" s="13" t="s">
        <v>131</v>
      </c>
    </row>
    <row r="27" spans="1:12" x14ac:dyDescent="0.35">
      <c r="A27" s="3" t="s">
        <v>132</v>
      </c>
      <c r="B27" s="15" t="s">
        <v>133</v>
      </c>
      <c r="C27" s="3" t="s">
        <v>16</v>
      </c>
      <c r="D27" s="7">
        <v>22</v>
      </c>
      <c r="E27" s="7">
        <v>16</v>
      </c>
      <c r="F27" s="7">
        <v>17</v>
      </c>
      <c r="G27" s="7">
        <v>18</v>
      </c>
      <c r="H27" s="7">
        <v>19</v>
      </c>
      <c r="I27" s="7">
        <v>10.5</v>
      </c>
      <c r="K27" s="13" t="s">
        <v>134</v>
      </c>
      <c r="L27" s="46"/>
    </row>
    <row r="28" spans="1:12" x14ac:dyDescent="0.35">
      <c r="A28" s="3" t="s">
        <v>135</v>
      </c>
      <c r="B28" s="15" t="s">
        <v>136</v>
      </c>
      <c r="C28" s="3" t="s">
        <v>27</v>
      </c>
      <c r="D28" s="10">
        <v>16</v>
      </c>
      <c r="E28" s="10">
        <v>16</v>
      </c>
      <c r="F28" s="10">
        <v>16</v>
      </c>
      <c r="G28" s="10">
        <v>16</v>
      </c>
      <c r="H28" s="10">
        <v>16</v>
      </c>
      <c r="I28" s="10">
        <v>16</v>
      </c>
      <c r="K28" s="13" t="s">
        <v>137</v>
      </c>
    </row>
    <row r="29" spans="1:12" x14ac:dyDescent="0.35">
      <c r="A29" s="3" t="s">
        <v>138</v>
      </c>
      <c r="B29" s="15" t="s">
        <v>139</v>
      </c>
      <c r="C29" s="3" t="s">
        <v>108</v>
      </c>
      <c r="D29" s="17">
        <v>32</v>
      </c>
      <c r="E29" s="17">
        <v>25</v>
      </c>
      <c r="F29" s="17">
        <v>25</v>
      </c>
      <c r="G29" s="17">
        <v>25</v>
      </c>
      <c r="H29" s="17">
        <v>25</v>
      </c>
      <c r="I29" s="17">
        <v>25</v>
      </c>
      <c r="K29" s="13"/>
    </row>
    <row r="30" spans="1:12" x14ac:dyDescent="0.35">
      <c r="A30" s="3" t="s">
        <v>140</v>
      </c>
      <c r="B30" s="15" t="s">
        <v>141</v>
      </c>
      <c r="C30" s="3" t="s">
        <v>16</v>
      </c>
      <c r="D30" s="7">
        <v>1.4850000000000001</v>
      </c>
      <c r="E30" s="7">
        <v>1.4850000000000001</v>
      </c>
      <c r="F30" s="7">
        <v>1.4850000000000001</v>
      </c>
      <c r="G30" s="7">
        <v>1.4850000000000001</v>
      </c>
      <c r="H30" s="7">
        <v>1.4850000000000001</v>
      </c>
      <c r="I30" s="7">
        <v>0.58499999999999996</v>
      </c>
      <c r="K30" s="13" t="s">
        <v>142</v>
      </c>
      <c r="L30" t="s">
        <v>352</v>
      </c>
    </row>
    <row r="31" spans="1:12" x14ac:dyDescent="0.35">
      <c r="A31" s="3" t="s">
        <v>143</v>
      </c>
      <c r="B31" s="15" t="s">
        <v>144</v>
      </c>
      <c r="C31" s="3" t="s">
        <v>16</v>
      </c>
      <c r="D31" s="7">
        <v>0.22500000000000001</v>
      </c>
      <c r="E31" s="7">
        <v>0.22500000000000001</v>
      </c>
      <c r="F31" s="7">
        <v>0.22500000000000001</v>
      </c>
      <c r="G31" s="7">
        <v>0.22500000000000001</v>
      </c>
      <c r="H31" s="7">
        <v>0.22500000000000001</v>
      </c>
      <c r="I31" s="7">
        <v>0.22500000000000001</v>
      </c>
      <c r="K31" s="13" t="s">
        <v>145</v>
      </c>
      <c r="L31" t="s">
        <v>353</v>
      </c>
    </row>
    <row r="32" spans="1:12" x14ac:dyDescent="0.35">
      <c r="A32" s="3" t="s">
        <v>146</v>
      </c>
      <c r="B32" s="15" t="s">
        <v>147</v>
      </c>
      <c r="C32" s="3" t="s">
        <v>16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K32" s="13"/>
    </row>
    <row r="33" spans="1:12" x14ac:dyDescent="0.35">
      <c r="A33" s="3" t="s">
        <v>148</v>
      </c>
      <c r="B33" s="15" t="s">
        <v>149</v>
      </c>
      <c r="C33" s="3" t="s">
        <v>108</v>
      </c>
      <c r="D33" s="17">
        <v>14</v>
      </c>
      <c r="E33" s="17">
        <v>12</v>
      </c>
      <c r="F33" s="17">
        <v>12</v>
      </c>
      <c r="G33" s="17">
        <v>12</v>
      </c>
      <c r="H33" s="17">
        <v>12</v>
      </c>
      <c r="I33" s="17">
        <v>12</v>
      </c>
      <c r="K33" s="13" t="s">
        <v>150</v>
      </c>
    </row>
    <row r="34" spans="1:12" x14ac:dyDescent="0.35">
      <c r="A34" s="3" t="s">
        <v>151</v>
      </c>
      <c r="B34" s="15" t="s">
        <v>152</v>
      </c>
      <c r="C34" s="3" t="s">
        <v>108</v>
      </c>
      <c r="D34" s="17">
        <v>100</v>
      </c>
      <c r="E34" s="17">
        <v>100</v>
      </c>
      <c r="F34" s="17">
        <v>100</v>
      </c>
      <c r="G34" s="17">
        <v>100</v>
      </c>
      <c r="H34" s="17">
        <v>100</v>
      </c>
      <c r="I34" s="17">
        <v>100</v>
      </c>
      <c r="K34" s="13" t="s">
        <v>153</v>
      </c>
    </row>
    <row r="35" spans="1:12" x14ac:dyDescent="0.35">
      <c r="A35" s="3" t="s">
        <v>154</v>
      </c>
      <c r="B35" s="15" t="s">
        <v>155</v>
      </c>
      <c r="C35" s="3" t="s">
        <v>16</v>
      </c>
      <c r="D35" s="7">
        <v>3</v>
      </c>
      <c r="E35" s="7">
        <v>3</v>
      </c>
      <c r="F35" s="7">
        <v>3</v>
      </c>
      <c r="G35" s="7">
        <v>3</v>
      </c>
      <c r="H35" s="7">
        <v>3</v>
      </c>
      <c r="I35" s="7">
        <v>3</v>
      </c>
      <c r="K35" s="13" t="s">
        <v>156</v>
      </c>
    </row>
    <row r="36" spans="1:12" x14ac:dyDescent="0.35">
      <c r="A36" s="3" t="s">
        <v>157</v>
      </c>
      <c r="B36" s="15" t="s">
        <v>158</v>
      </c>
      <c r="C36" s="3" t="s">
        <v>108</v>
      </c>
      <c r="D36" s="17">
        <v>150</v>
      </c>
      <c r="E36" s="17">
        <v>150</v>
      </c>
      <c r="F36" s="17">
        <v>150</v>
      </c>
      <c r="G36" s="17">
        <v>150</v>
      </c>
      <c r="H36" s="17">
        <v>150</v>
      </c>
      <c r="I36" s="17">
        <v>150</v>
      </c>
      <c r="K36" s="13" t="s">
        <v>159</v>
      </c>
    </row>
    <row r="37" spans="1:12" ht="24" x14ac:dyDescent="0.35">
      <c r="A37" s="3" t="s">
        <v>160</v>
      </c>
      <c r="B37" s="15" t="s">
        <v>161</v>
      </c>
      <c r="C37" s="3" t="s">
        <v>27</v>
      </c>
      <c r="D37" s="10">
        <v>10</v>
      </c>
      <c r="E37" s="10">
        <v>10</v>
      </c>
      <c r="F37" s="10">
        <v>10</v>
      </c>
      <c r="G37" s="10">
        <v>10</v>
      </c>
      <c r="H37" s="10">
        <v>10</v>
      </c>
      <c r="I37" s="10">
        <v>5</v>
      </c>
      <c r="K37" s="13" t="s">
        <v>162</v>
      </c>
      <c r="L37" t="s">
        <v>354</v>
      </c>
    </row>
    <row r="38" spans="1:12" x14ac:dyDescent="0.35">
      <c r="A38" s="3" t="s">
        <v>163</v>
      </c>
      <c r="B38" s="15" t="s">
        <v>164</v>
      </c>
      <c r="C38" s="3" t="s">
        <v>27</v>
      </c>
      <c r="D38" s="10">
        <v>8</v>
      </c>
      <c r="E38" s="10">
        <v>8</v>
      </c>
      <c r="F38" s="10">
        <v>8</v>
      </c>
      <c r="G38" s="10">
        <v>8</v>
      </c>
      <c r="H38" s="10">
        <v>8</v>
      </c>
      <c r="I38" s="10">
        <v>8</v>
      </c>
      <c r="K38" s="13" t="s">
        <v>165</v>
      </c>
    </row>
    <row r="39" spans="1:12" x14ac:dyDescent="0.35">
      <c r="A39" s="3" t="s">
        <v>166</v>
      </c>
      <c r="B39" s="15" t="s">
        <v>167</v>
      </c>
      <c r="C39" s="3" t="s">
        <v>108</v>
      </c>
      <c r="D39" s="17">
        <v>32</v>
      </c>
      <c r="E39" s="17">
        <v>25</v>
      </c>
      <c r="F39" s="17">
        <v>25</v>
      </c>
      <c r="G39" s="17">
        <v>25</v>
      </c>
      <c r="H39" s="17">
        <v>25</v>
      </c>
      <c r="I39" s="17">
        <v>25</v>
      </c>
      <c r="K39" s="13"/>
    </row>
    <row r="40" spans="1:12" x14ac:dyDescent="0.35">
      <c r="A40" s="3" t="s">
        <v>168</v>
      </c>
      <c r="B40" s="15" t="s">
        <v>169</v>
      </c>
      <c r="C40" s="3" t="s">
        <v>16</v>
      </c>
      <c r="D40" s="7">
        <v>4.55</v>
      </c>
      <c r="E40" s="7">
        <v>3.55</v>
      </c>
      <c r="F40" s="7">
        <v>3.55</v>
      </c>
      <c r="G40" s="7">
        <v>3.55</v>
      </c>
      <c r="H40" s="7">
        <v>3.55</v>
      </c>
      <c r="I40" s="7">
        <v>3.55</v>
      </c>
      <c r="K40" s="13" t="s">
        <v>170</v>
      </c>
    </row>
    <row r="42" spans="1:12" x14ac:dyDescent="0.35">
      <c r="A42" s="22" t="s">
        <v>171</v>
      </c>
    </row>
    <row r="43" spans="1:12" ht="30" customHeight="1" x14ac:dyDescent="0.35">
      <c r="A43" s="2" t="s">
        <v>57</v>
      </c>
      <c r="B43" s="2" t="s">
        <v>6</v>
      </c>
      <c r="C43" s="2" t="s">
        <v>7</v>
      </c>
      <c r="D43" s="2" t="s">
        <v>172</v>
      </c>
      <c r="E43" s="2" t="s">
        <v>173</v>
      </c>
      <c r="F43" s="2" t="s">
        <v>174</v>
      </c>
      <c r="G43" s="2" t="s">
        <v>175</v>
      </c>
    </row>
    <row r="44" spans="1:12" x14ac:dyDescent="0.35">
      <c r="A44" s="23" t="s">
        <v>176</v>
      </c>
      <c r="B44" s="23" t="s">
        <v>177</v>
      </c>
      <c r="C44" s="23" t="s">
        <v>16</v>
      </c>
      <c r="D44" s="24">
        <f>$D$25*$D$62</f>
        <v>588</v>
      </c>
      <c r="E44" s="25">
        <f>$D$25</f>
        <v>21</v>
      </c>
      <c r="F44" s="24">
        <f>$D$44/$E$44</f>
        <v>28</v>
      </c>
      <c r="G44" s="23" t="s">
        <v>178</v>
      </c>
    </row>
    <row r="45" spans="1:12" x14ac:dyDescent="0.35">
      <c r="A45" s="23" t="s">
        <v>179</v>
      </c>
      <c r="B45" s="23" t="s">
        <v>180</v>
      </c>
      <c r="C45" s="23" t="s">
        <v>16</v>
      </c>
      <c r="D45" s="24">
        <f>$E$25*$E$62+$F$25*$F$62+$G$25*$G$62+$H$25*$H$62+$I$25*$I$62</f>
        <v>656</v>
      </c>
      <c r="E45" s="25">
        <f>$E$25+$F$25+$G$25+$H$25+$I$25</f>
        <v>29</v>
      </c>
      <c r="F45" s="24">
        <f>$D$45/$E$45</f>
        <v>22.620689655172413</v>
      </c>
      <c r="G45" s="23" t="s">
        <v>178</v>
      </c>
    </row>
    <row r="46" spans="1:12" x14ac:dyDescent="0.35">
      <c r="A46" s="23" t="s">
        <v>181</v>
      </c>
      <c r="B46" s="23" t="s">
        <v>182</v>
      </c>
      <c r="C46" s="23" t="s">
        <v>21</v>
      </c>
      <c r="D46" s="24">
        <f>$J$65</f>
        <v>1651.5038420656183</v>
      </c>
      <c r="E46" s="25">
        <f>$D$13</f>
        <v>50</v>
      </c>
      <c r="F46" s="24">
        <f>$D$46/$E$46</f>
        <v>33.030076841312365</v>
      </c>
      <c r="G46" s="23" t="s">
        <v>178</v>
      </c>
    </row>
    <row r="47" spans="1:12" x14ac:dyDescent="0.35">
      <c r="A47" s="23" t="s">
        <v>183</v>
      </c>
      <c r="B47" s="23" t="s">
        <v>184</v>
      </c>
      <c r="C47" s="23" t="s">
        <v>24</v>
      </c>
      <c r="D47" s="26">
        <f>$J$78</f>
        <v>127440.96415773945</v>
      </c>
      <c r="E47" s="25">
        <f>$D$13</f>
        <v>50</v>
      </c>
      <c r="F47" s="26">
        <f>$D$47/$E$47</f>
        <v>2548.819283154789</v>
      </c>
      <c r="G47" s="23" t="s">
        <v>178</v>
      </c>
    </row>
    <row r="48" spans="1:12" x14ac:dyDescent="0.35">
      <c r="A48" s="23" t="s">
        <v>185</v>
      </c>
      <c r="B48" s="23" t="s">
        <v>186</v>
      </c>
      <c r="C48" s="23" t="s">
        <v>27</v>
      </c>
      <c r="D48" s="25">
        <f>$J$79</f>
        <v>800</v>
      </c>
      <c r="E48" s="25">
        <f>$D$13</f>
        <v>50</v>
      </c>
      <c r="F48" s="25">
        <f>$D$48/$E$48</f>
        <v>16</v>
      </c>
      <c r="G48" s="23" t="s">
        <v>178</v>
      </c>
    </row>
    <row r="49" spans="1:11" x14ac:dyDescent="0.35">
      <c r="A49" s="23" t="s">
        <v>187</v>
      </c>
      <c r="B49" s="23" t="s">
        <v>188</v>
      </c>
      <c r="C49" s="23" t="s">
        <v>27</v>
      </c>
      <c r="D49" s="25">
        <f>$J$80</f>
        <v>50</v>
      </c>
      <c r="E49" s="25">
        <f>$D$13</f>
        <v>50</v>
      </c>
      <c r="F49" s="25">
        <f>$D$49/$E$49</f>
        <v>1</v>
      </c>
      <c r="G49" s="23" t="s">
        <v>178</v>
      </c>
    </row>
    <row r="51" spans="1:11" x14ac:dyDescent="0.35">
      <c r="A51" s="14" t="s">
        <v>189</v>
      </c>
    </row>
    <row r="52" spans="1:11" ht="30" customHeight="1" x14ac:dyDescent="0.35">
      <c r="A52" s="2" t="s">
        <v>57</v>
      </c>
      <c r="B52" s="2" t="s">
        <v>190</v>
      </c>
      <c r="C52" s="2" t="s">
        <v>7</v>
      </c>
      <c r="D52" s="2" t="s">
        <v>59</v>
      </c>
      <c r="E52" s="2"/>
      <c r="F52" s="2"/>
      <c r="G52" s="2"/>
      <c r="H52" s="2"/>
      <c r="I52" s="2"/>
      <c r="J52" s="2"/>
      <c r="K52" s="2" t="s">
        <v>191</v>
      </c>
    </row>
    <row r="53" spans="1:11" x14ac:dyDescent="0.35">
      <c r="A53" s="3" t="s">
        <v>192</v>
      </c>
      <c r="B53" s="15" t="s">
        <v>193</v>
      </c>
      <c r="C53" s="3" t="s">
        <v>194</v>
      </c>
      <c r="D53" s="27">
        <v>0.1</v>
      </c>
      <c r="K53" s="13" t="s">
        <v>195</v>
      </c>
    </row>
    <row r="54" spans="1:11" x14ac:dyDescent="0.35">
      <c r="A54" s="3" t="s">
        <v>196</v>
      </c>
      <c r="B54" s="15" t="s">
        <v>197</v>
      </c>
      <c r="C54" s="3" t="s">
        <v>103</v>
      </c>
      <c r="D54" s="10">
        <v>7850</v>
      </c>
      <c r="K54" s="13" t="s">
        <v>198</v>
      </c>
    </row>
    <row r="55" spans="1:11" x14ac:dyDescent="0.35">
      <c r="A55" s="3" t="s">
        <v>199</v>
      </c>
      <c r="B55" s="15" t="s">
        <v>200</v>
      </c>
      <c r="C55" s="3" t="s">
        <v>16</v>
      </c>
      <c r="D55" s="7">
        <v>12</v>
      </c>
      <c r="K55" s="13" t="s">
        <v>201</v>
      </c>
    </row>
    <row r="56" spans="1:11" x14ac:dyDescent="0.35">
      <c r="A56" s="3" t="s">
        <v>202</v>
      </c>
      <c r="B56" s="15" t="s">
        <v>203</v>
      </c>
      <c r="C56" s="3" t="s">
        <v>103</v>
      </c>
      <c r="D56" s="17">
        <v>50</v>
      </c>
      <c r="K56" s="13" t="s">
        <v>204</v>
      </c>
    </row>
    <row r="57" spans="1:11" x14ac:dyDescent="0.35">
      <c r="A57" s="3" t="s">
        <v>205</v>
      </c>
      <c r="B57" s="15" t="s">
        <v>206</v>
      </c>
      <c r="C57" s="3" t="s">
        <v>16</v>
      </c>
      <c r="D57" s="7">
        <v>2</v>
      </c>
      <c r="K57" s="13" t="s">
        <v>207</v>
      </c>
    </row>
    <row r="58" spans="1:11" x14ac:dyDescent="0.35">
      <c r="A58" s="3" t="s">
        <v>208</v>
      </c>
      <c r="B58" s="15" t="s">
        <v>209</v>
      </c>
      <c r="C58" s="3" t="s">
        <v>103</v>
      </c>
      <c r="D58" s="19">
        <f>PI()</f>
        <v>3.1415926535897931</v>
      </c>
      <c r="K58" s="13" t="s">
        <v>210</v>
      </c>
    </row>
    <row r="60" spans="1:11" x14ac:dyDescent="0.35">
      <c r="A60" s="14" t="s">
        <v>211</v>
      </c>
    </row>
    <row r="61" spans="1:11" ht="30" customHeight="1" x14ac:dyDescent="0.35">
      <c r="A61" s="2" t="s">
        <v>212</v>
      </c>
      <c r="B61" s="2" t="s">
        <v>213</v>
      </c>
      <c r="C61" s="2" t="s">
        <v>7</v>
      </c>
      <c r="D61" s="2" t="s">
        <v>214</v>
      </c>
      <c r="E61" s="2" t="s">
        <v>215</v>
      </c>
      <c r="F61" s="2" t="s">
        <v>216</v>
      </c>
      <c r="G61" s="2" t="s">
        <v>217</v>
      </c>
      <c r="H61" s="2" t="s">
        <v>218</v>
      </c>
      <c r="I61" s="2" t="s">
        <v>219</v>
      </c>
      <c r="J61" s="2" t="s">
        <v>172</v>
      </c>
      <c r="K61" s="2" t="s">
        <v>220</v>
      </c>
    </row>
    <row r="62" spans="1:11" x14ac:dyDescent="0.35">
      <c r="A62" s="3" t="s">
        <v>11</v>
      </c>
      <c r="B62" s="15" t="s">
        <v>221</v>
      </c>
      <c r="C62" s="3" t="s">
        <v>16</v>
      </c>
      <c r="D62" s="7">
        <f>$D$27+$D$18</f>
        <v>28</v>
      </c>
      <c r="E62" s="7">
        <f>$E$27+$D$18</f>
        <v>22</v>
      </c>
      <c r="F62" s="7">
        <f>$F$27+$D$18</f>
        <v>23</v>
      </c>
      <c r="G62" s="7">
        <f>$G$27+$D$18</f>
        <v>24</v>
      </c>
      <c r="H62" s="7">
        <f>$H$27+$D$18</f>
        <v>25</v>
      </c>
      <c r="I62" s="7">
        <f>$I$27+$D$18</f>
        <v>16.5</v>
      </c>
      <c r="J62" s="28">
        <f>$D$25*$D$62+$E$25*$E$62+$F$25*$F$62+$G$25*$G$62+$H$25*$H$62+$I$25*$I$62</f>
        <v>1244</v>
      </c>
      <c r="K62" s="13" t="s">
        <v>222</v>
      </c>
    </row>
    <row r="63" spans="1:11" x14ac:dyDescent="0.35">
      <c r="A63" s="3" t="s">
        <v>223</v>
      </c>
      <c r="B63" s="15" t="s">
        <v>224</v>
      </c>
      <c r="C63" s="3" t="s">
        <v>21</v>
      </c>
      <c r="D63" s="7">
        <f>$D$58*($D$26/1000)^2/4*$D$62</f>
        <v>49.480084294039244</v>
      </c>
      <c r="E63" s="7">
        <f>$D$58*($E$26/1000)^2/4*$E$62</f>
        <v>24.881413816431163</v>
      </c>
      <c r="F63" s="7">
        <f>$D$58*($F$26/1000)^2/4*$F$62</f>
        <v>26.012387171723489</v>
      </c>
      <c r="G63" s="7">
        <f>$D$58*($G$26/1000)^2/4*$G$62</f>
        <v>27.143360527015815</v>
      </c>
      <c r="H63" s="7">
        <f>$D$58*($H$26/1000)^2/4*$H$62</f>
        <v>28.274333882308138</v>
      </c>
      <c r="I63" s="7">
        <f>$D$58*($I$26/1000)^2/4*$I$62</f>
        <v>18.661060362323372</v>
      </c>
      <c r="J63" s="28">
        <f>$D$25*$D$63+$E$25*$E$63+$F$25*$F$63+$G$25*$G$63+$H$25*$H$63+$I$25*$I$63</f>
        <v>1781.00029124659</v>
      </c>
      <c r="K63" s="13" t="s">
        <v>225</v>
      </c>
    </row>
    <row r="64" spans="1:11" x14ac:dyDescent="0.35">
      <c r="A64" s="3" t="s">
        <v>19</v>
      </c>
      <c r="B64" s="15" t="s">
        <v>226</v>
      </c>
      <c r="C64" s="3" t="s">
        <v>16</v>
      </c>
      <c r="D64" s="7">
        <f>$D$27+$D$19</f>
        <v>24</v>
      </c>
      <c r="E64" s="7">
        <f>$E$27+$D$19</f>
        <v>18</v>
      </c>
      <c r="F64" s="7">
        <f>$F$27+$D$19</f>
        <v>19</v>
      </c>
      <c r="G64" s="7">
        <f>$G$27+$D$19</f>
        <v>20</v>
      </c>
      <c r="H64" s="7">
        <f>$H$27+$D$19</f>
        <v>21</v>
      </c>
      <c r="I64" s="7">
        <f>$I$27+$D$19</f>
        <v>12.5</v>
      </c>
      <c r="J64" s="3" t="s">
        <v>227</v>
      </c>
      <c r="K64" s="13" t="s">
        <v>228</v>
      </c>
    </row>
    <row r="65" spans="1:12" x14ac:dyDescent="0.35">
      <c r="A65" s="3" t="s">
        <v>22</v>
      </c>
      <c r="B65" s="15" t="s">
        <v>229</v>
      </c>
      <c r="C65" s="3" t="s">
        <v>21</v>
      </c>
      <c r="D65" s="7">
        <f>$D$58*($D$26/1000)^2/4*$D$64*(1+$D$53)</f>
        <v>46.652650905808429</v>
      </c>
      <c r="E65" s="7">
        <f>$D$58*($E$26/1000)^2/4*$E$64*(1+$D$53)</f>
        <v>22.393272434788049</v>
      </c>
      <c r="F65" s="7">
        <f>$D$58*($F$26/1000)^2/4*$F$64*(1+$D$53)</f>
        <v>23.637343125609604</v>
      </c>
      <c r="G65" s="7">
        <f>$D$58*($G$26/1000)^2/4*$G$64*(1+$D$53)</f>
        <v>24.881413816431163</v>
      </c>
      <c r="H65" s="7">
        <f>$D$58*($H$26/1000)^2/4*$H$64*(1+$D$53)</f>
        <v>26.125484507252722</v>
      </c>
      <c r="I65" s="7">
        <f>$D$58*($I$26/1000)^2/4*$I$64*(1+$D$53)</f>
        <v>15.550883635269477</v>
      </c>
      <c r="J65" s="28">
        <f>$D$25*$D$65+$E$25*$E$65+$F$25*$F$65+$G$25*$G$65+$H$25*$H$65+$I$25*$I$65</f>
        <v>1651.5038420656183</v>
      </c>
      <c r="K65" s="13" t="s">
        <v>230</v>
      </c>
    </row>
    <row r="66" spans="1:12" x14ac:dyDescent="0.35">
      <c r="A66" s="3" t="s">
        <v>25</v>
      </c>
      <c r="B66" s="15" t="s">
        <v>231</v>
      </c>
      <c r="C66" s="3" t="s">
        <v>108</v>
      </c>
      <c r="D66" s="17">
        <f>$D$26-2*$D$21</f>
        <v>1350</v>
      </c>
      <c r="E66" s="17">
        <f>$E$26-2*$D$21</f>
        <v>1050</v>
      </c>
      <c r="F66" s="17">
        <f>$F$26-2*$D$21</f>
        <v>1050</v>
      </c>
      <c r="G66" s="17">
        <f>$G$26-2*$D$21</f>
        <v>1050</v>
      </c>
      <c r="H66" s="17">
        <f>$H$26-2*$D$21</f>
        <v>1050</v>
      </c>
      <c r="I66" s="17">
        <f>$I$26-2*$D$21</f>
        <v>1050</v>
      </c>
      <c r="J66" s="3" t="s">
        <v>227</v>
      </c>
      <c r="K66" s="13" t="s">
        <v>232</v>
      </c>
    </row>
    <row r="67" spans="1:12" x14ac:dyDescent="0.35">
      <c r="A67" s="3" t="s">
        <v>28</v>
      </c>
      <c r="B67" s="15" t="s">
        <v>233</v>
      </c>
      <c r="C67" s="3" t="s">
        <v>16</v>
      </c>
      <c r="D67" s="7">
        <f>$D$58*$D$66/1000</f>
        <v>4.2411500823462207</v>
      </c>
      <c r="E67" s="7">
        <f>$D$58*$E$66/1000</f>
        <v>3.2986722862692828</v>
      </c>
      <c r="F67" s="7">
        <f>$D$58*$F$66/1000</f>
        <v>3.2986722862692828</v>
      </c>
      <c r="G67" s="7">
        <f>$D$58*$G$66/1000</f>
        <v>3.2986722862692828</v>
      </c>
      <c r="H67" s="7">
        <f>$D$58*$H$66/1000</f>
        <v>3.2986722862692828</v>
      </c>
      <c r="I67" s="7">
        <f>$D$58*$I$66/1000</f>
        <v>3.2986722862692828</v>
      </c>
      <c r="J67" s="3" t="s">
        <v>227</v>
      </c>
      <c r="K67" s="13" t="s">
        <v>234</v>
      </c>
    </row>
    <row r="68" spans="1:12" x14ac:dyDescent="0.35">
      <c r="A68" s="3" t="s">
        <v>235</v>
      </c>
      <c r="B68" s="15" t="s">
        <v>236</v>
      </c>
      <c r="C68" s="3" t="s">
        <v>16</v>
      </c>
      <c r="D68" s="7">
        <f>$D$27+$D$30+$D$31+$D$32</f>
        <v>23.71</v>
      </c>
      <c r="E68" s="7">
        <f>$E$27+$E$30+$E$31+$E$32</f>
        <v>17.71</v>
      </c>
      <c r="F68" s="7">
        <f>$F$27+$F$30+$F$31+$F$32</f>
        <v>18.71</v>
      </c>
      <c r="G68" s="7">
        <f>$G$27+$G$30+$G$31+$G$32</f>
        <v>19.71</v>
      </c>
      <c r="H68" s="7">
        <f>$H$27+$H$30+$H$31+$H$32</f>
        <v>20.71</v>
      </c>
      <c r="I68" s="7">
        <f>$I$27+$I$30+$I$31+$I$32</f>
        <v>11.31</v>
      </c>
      <c r="J68" s="3" t="s">
        <v>227</v>
      </c>
      <c r="K68" s="13" t="s">
        <v>237</v>
      </c>
    </row>
    <row r="69" spans="1:12" x14ac:dyDescent="0.35">
      <c r="A69" s="3" t="s">
        <v>238</v>
      </c>
      <c r="B69" s="15" t="s">
        <v>239</v>
      </c>
      <c r="C69" s="3" t="s">
        <v>27</v>
      </c>
      <c r="D69" s="10">
        <f>IF($D$68&gt;$D$55,INT(($D$68-0.001)/$D$55),0)</f>
        <v>1</v>
      </c>
      <c r="E69" s="10">
        <f>IF($E$68&gt;$D$55,INT(($E$68-0.001)/$D$55),0)</f>
        <v>1</v>
      </c>
      <c r="F69" s="10">
        <f>IF($F$68&gt;$D$55,INT(($F$68-0.001)/$D$55),0)</f>
        <v>1</v>
      </c>
      <c r="G69" s="10">
        <f>IF($G$68&gt;$D$55,INT(($G$68-0.001)/$D$55),0)</f>
        <v>1</v>
      </c>
      <c r="H69" s="10">
        <f>IF($H$68&gt;$D$55,INT(($H$68-0.001)/$D$55),0)</f>
        <v>1</v>
      </c>
      <c r="I69" s="10">
        <f>IF($I$68&gt;$D$55,INT(($I$68-0.001)/$D$55),0)</f>
        <v>0</v>
      </c>
      <c r="J69" s="3" t="s">
        <v>227</v>
      </c>
      <c r="K69" s="13" t="s">
        <v>240</v>
      </c>
    </row>
    <row r="70" spans="1:12" x14ac:dyDescent="0.35">
      <c r="A70" s="3" t="s">
        <v>241</v>
      </c>
      <c r="B70" s="15" t="s">
        <v>242</v>
      </c>
      <c r="C70" s="3" t="s">
        <v>16</v>
      </c>
      <c r="D70" s="7">
        <f>$D$68+$D$69*$D$56*$D$29/1000</f>
        <v>25.310000000000002</v>
      </c>
      <c r="E70" s="7">
        <f>$E$68+$E$69*$D$56*$E$29/1000</f>
        <v>18.96</v>
      </c>
      <c r="F70" s="7">
        <f>$F$68+$F$69*$D$56*$F$29/1000</f>
        <v>19.96</v>
      </c>
      <c r="G70" s="7">
        <f>$G$68+$G$69*$D$56*$G$29/1000</f>
        <v>20.96</v>
      </c>
      <c r="H70" s="7">
        <f>$H$68+$H$69*$D$56*$H$29/1000</f>
        <v>21.96</v>
      </c>
      <c r="I70" s="7">
        <f>$I$68+$I$69*$D$56*$I$29/1000</f>
        <v>11.31</v>
      </c>
      <c r="J70" s="3" t="s">
        <v>227</v>
      </c>
      <c r="K70" s="13" t="s">
        <v>243</v>
      </c>
    </row>
    <row r="71" spans="1:12" x14ac:dyDescent="0.35">
      <c r="A71" s="3" t="s">
        <v>244</v>
      </c>
      <c r="B71" s="15" t="s">
        <v>245</v>
      </c>
      <c r="C71" s="3" t="s">
        <v>246</v>
      </c>
      <c r="D71" s="29">
        <f>$D$58*($D$29/1000)^2/4*$D$54</f>
        <v>6.3133445966540478</v>
      </c>
      <c r="E71" s="29">
        <f>$D$58*($E$29/1000)^2/4*$D$54</f>
        <v>3.8533597391687309</v>
      </c>
      <c r="F71" s="29">
        <f>$D$58*($F$29/1000)^2/4*$D$54</f>
        <v>3.8533597391687309</v>
      </c>
      <c r="G71" s="29">
        <f>$D$58*($G$29/1000)^2/4*$D$54</f>
        <v>3.8533597391687309</v>
      </c>
      <c r="H71" s="29">
        <f>$D$58*($H$29/1000)^2/4*$D$54</f>
        <v>3.8533597391687309</v>
      </c>
      <c r="I71" s="29">
        <f>$D$58*($I$29/1000)^2/4*$D$54</f>
        <v>3.8533597391687309</v>
      </c>
      <c r="J71" s="3" t="s">
        <v>227</v>
      </c>
      <c r="K71" s="13" t="s">
        <v>247</v>
      </c>
    </row>
    <row r="72" spans="1:12" x14ac:dyDescent="0.35">
      <c r="A72" s="3" t="s">
        <v>248</v>
      </c>
      <c r="B72" s="15" t="s">
        <v>249</v>
      </c>
      <c r="C72" s="3" t="s">
        <v>24</v>
      </c>
      <c r="D72" s="9">
        <f>$D$28*$D$70*$D$71</f>
        <v>2556.6520278610233</v>
      </c>
      <c r="E72" s="9">
        <f>$E$28*$E$70*$E$71</f>
        <v>1168.9552104742263</v>
      </c>
      <c r="F72" s="9">
        <f>$F$28*$F$70*$F$71</f>
        <v>1230.6089663009259</v>
      </c>
      <c r="G72" s="9">
        <f>$G$28*$G$70*$G$71</f>
        <v>1292.2627221276257</v>
      </c>
      <c r="H72" s="9">
        <f>$H$28*$H$70*$H$71</f>
        <v>1353.9164779543253</v>
      </c>
      <c r="I72" s="9">
        <f>$I$28*$I$70*$I$71</f>
        <v>697.30397839997352</v>
      </c>
      <c r="J72" s="30">
        <f>$D$25*$D$72+$E$25*$E$72+$F$25*$F$72+$G$25*$G$72+$H$25*$H$72+$I$25*$I$72</f>
        <v>88434.050143659828</v>
      </c>
      <c r="K72" s="13" t="s">
        <v>250</v>
      </c>
    </row>
    <row r="73" spans="1:12" x14ac:dyDescent="0.35">
      <c r="A73" s="3" t="s">
        <v>251</v>
      </c>
      <c r="B73" s="15" t="s">
        <v>252</v>
      </c>
      <c r="C73" s="3" t="s">
        <v>27</v>
      </c>
      <c r="D73" s="10">
        <f>ROUNDUP(ROUND(MIN($D$27,2*$D$35)*1000/$D$34+MAX(0,$D$27-2*$D$35)*1000/$D$36,6),0)</f>
        <v>167</v>
      </c>
      <c r="E73" s="10">
        <f>ROUNDUP(ROUND(MIN($E$27,2*$E$35)*1000/$E$34+MAX(0,$E$27-2*$E$35)*1000/$E$36,6),0)</f>
        <v>127</v>
      </c>
      <c r="F73" s="10">
        <f>ROUNDUP(ROUND(MIN($F$27,2*$F$35)*1000/$F$34+MAX(0,$F$27-2*$F$35)*1000/$F$36,6),0)</f>
        <v>134</v>
      </c>
      <c r="G73" s="10">
        <f>ROUNDUP(ROUND(MIN($G$27,2*$G$35)*1000/$G$34+MAX(0,$G$27-2*$G$35)*1000/$G$36,6),0)</f>
        <v>140</v>
      </c>
      <c r="H73" s="10">
        <f>ROUNDUP(ROUND(MIN($H$27,2*$H$35)*1000/$H$34+MAX(0,$H$27-2*$H$35)*1000/$H$36,6),0)</f>
        <v>147</v>
      </c>
      <c r="I73" s="10">
        <f>ROUNDUP(ROUND(MIN($I$27,2*$I$35)*1000/$I$34+MAX(0,$I$27-2*$I$35)*1000/$I$36,6),0)</f>
        <v>90</v>
      </c>
      <c r="J73" s="3" t="s">
        <v>227</v>
      </c>
      <c r="K73" s="13" t="s">
        <v>253</v>
      </c>
      <c r="L73" s="46" t="s">
        <v>355</v>
      </c>
    </row>
    <row r="74" spans="1:12" x14ac:dyDescent="0.35">
      <c r="A74" s="3" t="s">
        <v>254</v>
      </c>
      <c r="B74" s="15" t="s">
        <v>255</v>
      </c>
      <c r="C74" s="3" t="s">
        <v>246</v>
      </c>
      <c r="D74" s="29">
        <f>$D$58*($D$33/1000)^2/4*$D$54</f>
        <v>1.2084136142033142</v>
      </c>
      <c r="E74" s="29">
        <f>$D$58*($E$33/1000)^2/4*$D$54</f>
        <v>0.88781408390447547</v>
      </c>
      <c r="F74" s="29">
        <f>$D$58*($F$33/1000)^2/4*$D$54</f>
        <v>0.88781408390447547</v>
      </c>
      <c r="G74" s="29">
        <f>$D$58*($G$33/1000)^2/4*$D$54</f>
        <v>0.88781408390447547</v>
      </c>
      <c r="H74" s="29">
        <f>$D$58*($H$33/1000)^2/4*$D$54</f>
        <v>0.88781408390447547</v>
      </c>
      <c r="I74" s="29">
        <f>$D$58*($I$33/1000)^2/4*$D$54</f>
        <v>0.88781408390447547</v>
      </c>
      <c r="J74" s="3" t="s">
        <v>227</v>
      </c>
      <c r="K74" s="13" t="s">
        <v>247</v>
      </c>
    </row>
    <row r="75" spans="1:12" x14ac:dyDescent="0.35">
      <c r="A75" s="3" t="s">
        <v>256</v>
      </c>
      <c r="B75" s="15" t="s">
        <v>257</v>
      </c>
      <c r="C75" s="3" t="s">
        <v>24</v>
      </c>
      <c r="D75" s="9">
        <f>$D$73*$D$67*$D$74</f>
        <v>855.88560439757566</v>
      </c>
      <c r="E75" s="9">
        <f>$E$73*$E$67*$E$74</f>
        <v>371.93317966977611</v>
      </c>
      <c r="F75" s="9">
        <f>$F$73*$F$67*$F$74</f>
        <v>392.43343366732284</v>
      </c>
      <c r="G75" s="9">
        <f>$G$73*$G$67*$G$74</f>
        <v>410.00507995093432</v>
      </c>
      <c r="H75" s="9">
        <f>$H$73*$H$67*$H$74</f>
        <v>430.50533394848105</v>
      </c>
      <c r="I75" s="9">
        <f>$I$73*$I$67*$I$74</f>
        <v>263.57469425417207</v>
      </c>
      <c r="J75" s="30">
        <f>$D$25*$D$75+$E$25*$E$75+$F$25*$F$75+$G$25*$G$75+$H$25*$H$75+$I$25*$I$75</f>
        <v>29111.092828444827</v>
      </c>
      <c r="K75" s="13" t="s">
        <v>258</v>
      </c>
    </row>
    <row r="76" spans="1:12" x14ac:dyDescent="0.35">
      <c r="A76" s="3" t="s">
        <v>259</v>
      </c>
      <c r="B76" s="15" t="s">
        <v>260</v>
      </c>
      <c r="C76" s="3" t="s">
        <v>24</v>
      </c>
      <c r="D76" s="9">
        <f>$D$37*$D$67*$D$74</f>
        <v>51.250634993866797</v>
      </c>
      <c r="E76" s="9">
        <f>$E$37*$E$67*$E$74</f>
        <v>29.28607713935245</v>
      </c>
      <c r="F76" s="9">
        <f>$F$37*$F$67*$F$74</f>
        <v>29.28607713935245</v>
      </c>
      <c r="G76" s="9">
        <f>$G$37*$G$67*$G$74</f>
        <v>29.28607713935245</v>
      </c>
      <c r="H76" s="9">
        <f>$H$37*$H$67*$H$74</f>
        <v>29.28607713935245</v>
      </c>
      <c r="I76" s="9">
        <f>$I$37*$I$67*$I$74</f>
        <v>14.643038569676225</v>
      </c>
      <c r="J76" s="30">
        <f>$D$25*$D$76+$E$25*$E$76+$F$25*$F$76+$G$25*$G$76+$H$25*$H$76+$I$25*$I$76</f>
        <v>1896.2734947730712</v>
      </c>
      <c r="K76" s="13" t="s">
        <v>261</v>
      </c>
    </row>
    <row r="77" spans="1:12" x14ac:dyDescent="0.35">
      <c r="A77" s="3" t="s">
        <v>262</v>
      </c>
      <c r="B77" s="15" t="s">
        <v>263</v>
      </c>
      <c r="C77" s="3" t="s">
        <v>24</v>
      </c>
      <c r="D77" s="9">
        <f>$D$38*$D$40*$D$58*($D$39/1000)^2/4*$D$54</f>
        <v>229.80574331820731</v>
      </c>
      <c r="E77" s="9">
        <f>$E$38*$E$40*$D$58*($E$39/1000)^2/4*$D$54</f>
        <v>109.43541659239196</v>
      </c>
      <c r="F77" s="9">
        <f>$F$38*$F$40*$D$58*($F$39/1000)^2/4*$D$54</f>
        <v>109.43541659239196</v>
      </c>
      <c r="G77" s="9">
        <f>$G$38*$G$40*$D$58*($G$39/1000)^2/4*$D$54</f>
        <v>109.43541659239196</v>
      </c>
      <c r="H77" s="9">
        <f>$H$38*$H$40*$D$58*($H$39/1000)^2/4*$D$54</f>
        <v>109.43541659239196</v>
      </c>
      <c r="I77" s="9">
        <f>$I$38*$I$40*$D$58*($I$39/1000)^2/4*$D$54</f>
        <v>109.43541659239196</v>
      </c>
      <c r="J77" s="30">
        <f>$D$25*$D$77+$E$25*$E$77+$F$25*$F$77+$G$25*$G$77+$H$25*$H$77+$I$25*$I$77</f>
        <v>7999.5476908617202</v>
      </c>
      <c r="K77" s="13" t="s">
        <v>264</v>
      </c>
    </row>
    <row r="78" spans="1:12" x14ac:dyDescent="0.35">
      <c r="A78" s="3" t="s">
        <v>265</v>
      </c>
      <c r="B78" s="15" t="s">
        <v>266</v>
      </c>
      <c r="C78" s="3" t="s">
        <v>24</v>
      </c>
      <c r="D78" s="9">
        <f>$D$72+$D$75+$D$76+$D$77</f>
        <v>3693.5940105706732</v>
      </c>
      <c r="E78" s="9">
        <f>$E$72+$E$75+$E$76+$E$77</f>
        <v>1679.6098838757468</v>
      </c>
      <c r="F78" s="9">
        <f>$F$72+$F$75+$F$76+$F$77</f>
        <v>1761.7638936999931</v>
      </c>
      <c r="G78" s="9">
        <f>$G$72+$G$75+$G$76+$G$77</f>
        <v>1840.9892958103044</v>
      </c>
      <c r="H78" s="9">
        <f>$H$72+$H$75+$H$76+$H$77</f>
        <v>1923.1433056345509</v>
      </c>
      <c r="I78" s="9">
        <f>$I$72+$I$75+$I$76+$I$77</f>
        <v>1084.9571278162139</v>
      </c>
      <c r="J78" s="30">
        <f>$D$25*$D$78+$E$25*$E$78+$F$25*$F$78+$G$25*$G$78+$H$25*$H$78+$I$25*$I$78</f>
        <v>127440.96415773945</v>
      </c>
      <c r="K78" s="13" t="s">
        <v>267</v>
      </c>
    </row>
    <row r="79" spans="1:12" x14ac:dyDescent="0.35">
      <c r="A79" s="3" t="s">
        <v>268</v>
      </c>
      <c r="B79" s="15" t="s">
        <v>269</v>
      </c>
      <c r="C79" s="3" t="s">
        <v>27</v>
      </c>
      <c r="D79" s="10">
        <f>IF($D$18&gt;0,$D$28,0)</f>
        <v>16</v>
      </c>
      <c r="E79" s="10">
        <f>IF($D$18&gt;0,$E$28,0)</f>
        <v>16</v>
      </c>
      <c r="F79" s="10">
        <f>IF($D$18&gt;0,$F$28,0)</f>
        <v>16</v>
      </c>
      <c r="G79" s="10">
        <f>IF($D$18&gt;0,$G$28,0)</f>
        <v>16</v>
      </c>
      <c r="H79" s="10">
        <f>IF($D$18&gt;0,$H$28,0)</f>
        <v>16</v>
      </c>
      <c r="I79" s="10">
        <f>IF($D$18&gt;0,$I$28,0)</f>
        <v>16</v>
      </c>
      <c r="J79" s="21">
        <f>$D$25*$D$79+$E$25*$E$79+$F$25*$F$79+$G$25*$G$79+$H$25*$H$79+$I$25*$I$79</f>
        <v>800</v>
      </c>
      <c r="K79" s="13" t="s">
        <v>270</v>
      </c>
    </row>
    <row r="80" spans="1:12" x14ac:dyDescent="0.35">
      <c r="A80" s="3" t="s">
        <v>271</v>
      </c>
      <c r="B80" s="15" t="s">
        <v>272</v>
      </c>
      <c r="C80" s="3" t="s">
        <v>27</v>
      </c>
      <c r="D80" s="10">
        <f t="shared" ref="D80:I80" si="0">IF($D$18&gt;0,1,0)</f>
        <v>1</v>
      </c>
      <c r="E80" s="10">
        <f t="shared" si="0"/>
        <v>1</v>
      </c>
      <c r="F80" s="10">
        <f t="shared" si="0"/>
        <v>1</v>
      </c>
      <c r="G80" s="10">
        <f t="shared" si="0"/>
        <v>1</v>
      </c>
      <c r="H80" s="10">
        <f t="shared" si="0"/>
        <v>1</v>
      </c>
      <c r="I80" s="10">
        <f t="shared" si="0"/>
        <v>1</v>
      </c>
      <c r="J80" s="21">
        <f>$D$25*$D$80+$E$25*$E$80+$F$25*$F$80+$G$25*$G$80+$H$25*$H$80+$I$25*$I$80</f>
        <v>50</v>
      </c>
      <c r="K80" s="13" t="s">
        <v>273</v>
      </c>
    </row>
    <row r="82" spans="1:11" x14ac:dyDescent="0.35">
      <c r="A82" s="14" t="s">
        <v>274</v>
      </c>
    </row>
    <row r="83" spans="1:11" ht="26" x14ac:dyDescent="0.35">
      <c r="A83" s="2" t="s">
        <v>4</v>
      </c>
      <c r="B83" s="2" t="s">
        <v>275</v>
      </c>
      <c r="C83" s="2" t="s">
        <v>276</v>
      </c>
      <c r="D83" s="2" t="s">
        <v>59</v>
      </c>
      <c r="E83" s="45" t="s">
        <v>277</v>
      </c>
      <c r="F83" s="38"/>
      <c r="G83" s="38"/>
      <c r="H83" s="38"/>
      <c r="I83" s="38"/>
      <c r="J83" s="38"/>
      <c r="K83" s="38"/>
    </row>
    <row r="84" spans="1:11" ht="30" customHeight="1" x14ac:dyDescent="0.35">
      <c r="A84" s="3" t="s">
        <v>11</v>
      </c>
      <c r="B84" s="4" t="s">
        <v>278</v>
      </c>
      <c r="C84" s="31" t="s">
        <v>279</v>
      </c>
      <c r="D84" s="3" t="s">
        <v>280</v>
      </c>
      <c r="E84" s="42" t="s">
        <v>281</v>
      </c>
      <c r="F84" s="38"/>
      <c r="G84" s="38"/>
      <c r="H84" s="38"/>
      <c r="I84" s="38"/>
      <c r="J84" s="38"/>
      <c r="K84" s="38"/>
    </row>
    <row r="85" spans="1:11" ht="30" customHeight="1" x14ac:dyDescent="0.35">
      <c r="A85" s="3" t="s">
        <v>223</v>
      </c>
      <c r="B85" s="4" t="s">
        <v>282</v>
      </c>
      <c r="C85" s="31" t="s">
        <v>279</v>
      </c>
      <c r="D85" s="3" t="s">
        <v>283</v>
      </c>
      <c r="E85" s="42" t="s">
        <v>284</v>
      </c>
      <c r="F85" s="38"/>
      <c r="G85" s="38"/>
      <c r="H85" s="38"/>
      <c r="I85" s="38"/>
      <c r="J85" s="38"/>
      <c r="K85" s="38"/>
    </row>
    <row r="86" spans="1:11" ht="45" customHeight="1" x14ac:dyDescent="0.35">
      <c r="A86" s="3" t="s">
        <v>19</v>
      </c>
      <c r="B86" s="4" t="s">
        <v>285</v>
      </c>
      <c r="C86" s="31" t="s">
        <v>279</v>
      </c>
      <c r="D86" s="3" t="s">
        <v>286</v>
      </c>
      <c r="E86" s="42" t="s">
        <v>287</v>
      </c>
      <c r="F86" s="38"/>
      <c r="G86" s="38"/>
      <c r="H86" s="38"/>
      <c r="I86" s="38"/>
      <c r="J86" s="38"/>
      <c r="K86" s="38"/>
    </row>
    <row r="87" spans="1:11" ht="15" customHeight="1" x14ac:dyDescent="0.35">
      <c r="A87" s="3" t="s">
        <v>22</v>
      </c>
      <c r="B87" s="4" t="s">
        <v>288</v>
      </c>
      <c r="C87" s="31" t="s">
        <v>279</v>
      </c>
      <c r="D87" s="3" t="s">
        <v>289</v>
      </c>
      <c r="E87" s="42" t="s">
        <v>290</v>
      </c>
      <c r="F87" s="38"/>
      <c r="G87" s="38"/>
      <c r="H87" s="38"/>
      <c r="I87" s="38"/>
      <c r="J87" s="38"/>
      <c r="K87" s="38"/>
    </row>
    <row r="88" spans="1:11" ht="30" customHeight="1" x14ac:dyDescent="0.35">
      <c r="A88" s="3" t="s">
        <v>25</v>
      </c>
      <c r="B88" s="4" t="s">
        <v>291</v>
      </c>
      <c r="C88" s="31" t="s">
        <v>279</v>
      </c>
      <c r="D88" s="3" t="s">
        <v>292</v>
      </c>
      <c r="E88" s="42" t="s">
        <v>293</v>
      </c>
      <c r="F88" s="38"/>
      <c r="G88" s="38"/>
      <c r="H88" s="38"/>
      <c r="I88" s="38"/>
      <c r="J88" s="38"/>
      <c r="K88" s="38"/>
    </row>
    <row r="89" spans="1:11" ht="45" customHeight="1" x14ac:dyDescent="0.35">
      <c r="A89" s="3" t="s">
        <v>28</v>
      </c>
      <c r="B89" s="4" t="s">
        <v>294</v>
      </c>
      <c r="C89" s="31" t="s">
        <v>279</v>
      </c>
      <c r="D89" s="3" t="s">
        <v>295</v>
      </c>
      <c r="E89" s="42" t="s">
        <v>296</v>
      </c>
      <c r="F89" s="38"/>
      <c r="G89" s="38"/>
      <c r="H89" s="38"/>
      <c r="I89" s="38"/>
      <c r="J89" s="38"/>
      <c r="K89" s="38"/>
    </row>
    <row r="90" spans="1:11" ht="45" customHeight="1" x14ac:dyDescent="0.35">
      <c r="A90" s="3" t="s">
        <v>235</v>
      </c>
      <c r="B90" s="4" t="s">
        <v>102</v>
      </c>
      <c r="C90" s="31" t="s">
        <v>279</v>
      </c>
      <c r="D90" s="3" t="s">
        <v>104</v>
      </c>
      <c r="E90" s="42" t="s">
        <v>297</v>
      </c>
      <c r="F90" s="38"/>
      <c r="G90" s="38"/>
      <c r="H90" s="38"/>
      <c r="I90" s="38"/>
      <c r="J90" s="38"/>
      <c r="K90" s="38"/>
    </row>
    <row r="91" spans="1:11" ht="15" customHeight="1" x14ac:dyDescent="0.35">
      <c r="A91" s="3" t="s">
        <v>238</v>
      </c>
      <c r="B91" s="4" t="s">
        <v>298</v>
      </c>
      <c r="C91" s="32" t="s">
        <v>299</v>
      </c>
      <c r="D91" s="3" t="s">
        <v>300</v>
      </c>
      <c r="E91" s="42" t="s">
        <v>301</v>
      </c>
      <c r="F91" s="38"/>
      <c r="G91" s="38"/>
      <c r="H91" s="38"/>
      <c r="I91" s="38"/>
      <c r="J91" s="38"/>
      <c r="K91" s="38"/>
    </row>
    <row r="92" spans="1:11" ht="15" customHeight="1" x14ac:dyDescent="0.35">
      <c r="A92" s="3" t="s">
        <v>241</v>
      </c>
      <c r="B92" s="4" t="s">
        <v>302</v>
      </c>
      <c r="C92" s="31" t="s">
        <v>279</v>
      </c>
      <c r="D92" s="3" t="s">
        <v>303</v>
      </c>
      <c r="E92" s="42" t="s">
        <v>304</v>
      </c>
      <c r="F92" s="38"/>
      <c r="G92" s="38"/>
      <c r="H92" s="38"/>
      <c r="I92" s="38"/>
      <c r="J92" s="38"/>
      <c r="K92" s="38"/>
    </row>
    <row r="93" spans="1:11" ht="15" customHeight="1" x14ac:dyDescent="0.35">
      <c r="A93" s="3" t="s">
        <v>244</v>
      </c>
      <c r="B93" s="4" t="s">
        <v>305</v>
      </c>
      <c r="C93" s="31" t="s">
        <v>279</v>
      </c>
      <c r="D93" s="3" t="s">
        <v>306</v>
      </c>
      <c r="E93" s="42" t="s">
        <v>307</v>
      </c>
      <c r="F93" s="38"/>
      <c r="G93" s="38"/>
      <c r="H93" s="38"/>
      <c r="I93" s="38"/>
      <c r="J93" s="38"/>
      <c r="K93" s="38"/>
    </row>
    <row r="94" spans="1:11" ht="30" customHeight="1" x14ac:dyDescent="0.35">
      <c r="A94" s="3" t="s">
        <v>248</v>
      </c>
      <c r="B94" s="4" t="s">
        <v>308</v>
      </c>
      <c r="C94" s="31" t="s">
        <v>279</v>
      </c>
      <c r="D94" s="3" t="s">
        <v>309</v>
      </c>
      <c r="E94" s="42" t="s">
        <v>310</v>
      </c>
      <c r="F94" s="38"/>
      <c r="G94" s="38"/>
      <c r="H94" s="38"/>
      <c r="I94" s="38"/>
      <c r="J94" s="38"/>
      <c r="K94" s="38"/>
    </row>
    <row r="95" spans="1:11" ht="45" customHeight="1" x14ac:dyDescent="0.35">
      <c r="A95" s="3" t="s">
        <v>251</v>
      </c>
      <c r="B95" s="4" t="s">
        <v>311</v>
      </c>
      <c r="C95" s="33" t="s">
        <v>312</v>
      </c>
      <c r="D95" s="3" t="s">
        <v>313</v>
      </c>
      <c r="E95" s="42" t="s">
        <v>314</v>
      </c>
      <c r="F95" s="38"/>
      <c r="G95" s="38"/>
      <c r="H95" s="38"/>
      <c r="I95" s="38"/>
      <c r="J95" s="38"/>
      <c r="K95" s="38"/>
    </row>
    <row r="96" spans="1:11" ht="15" customHeight="1" x14ac:dyDescent="0.35">
      <c r="A96" s="3" t="s">
        <v>254</v>
      </c>
      <c r="B96" s="4" t="s">
        <v>315</v>
      </c>
      <c r="C96" s="33" t="s">
        <v>312</v>
      </c>
      <c r="D96" s="3" t="s">
        <v>316</v>
      </c>
      <c r="E96" s="42" t="s">
        <v>317</v>
      </c>
      <c r="F96" s="38"/>
      <c r="G96" s="38"/>
      <c r="H96" s="38"/>
      <c r="I96" s="38"/>
      <c r="J96" s="38"/>
      <c r="K96" s="38"/>
    </row>
    <row r="97" spans="1:11" ht="30" customHeight="1" x14ac:dyDescent="0.35">
      <c r="A97" s="3" t="s">
        <v>256</v>
      </c>
      <c r="B97" s="4" t="s">
        <v>318</v>
      </c>
      <c r="C97" s="33" t="s">
        <v>312</v>
      </c>
      <c r="D97" s="3" t="s">
        <v>319</v>
      </c>
      <c r="E97" s="42" t="s">
        <v>320</v>
      </c>
      <c r="F97" s="38"/>
      <c r="G97" s="38"/>
      <c r="H97" s="38"/>
      <c r="I97" s="38"/>
      <c r="J97" s="38"/>
      <c r="K97" s="38"/>
    </row>
    <row r="98" spans="1:11" ht="15" customHeight="1" x14ac:dyDescent="0.35">
      <c r="A98" s="3" t="s">
        <v>259</v>
      </c>
      <c r="B98" s="4" t="s">
        <v>321</v>
      </c>
      <c r="C98" s="31" t="s">
        <v>279</v>
      </c>
      <c r="D98" s="3" t="s">
        <v>322</v>
      </c>
      <c r="E98" s="42" t="s">
        <v>323</v>
      </c>
      <c r="F98" s="38"/>
      <c r="G98" s="38"/>
      <c r="H98" s="38"/>
      <c r="I98" s="38"/>
      <c r="J98" s="38"/>
      <c r="K98" s="38"/>
    </row>
    <row r="99" spans="1:11" ht="30" customHeight="1" x14ac:dyDescent="0.35">
      <c r="A99" s="3" t="s">
        <v>262</v>
      </c>
      <c r="B99" s="4" t="s">
        <v>324</v>
      </c>
      <c r="C99" s="31" t="s">
        <v>279</v>
      </c>
      <c r="D99" s="3" t="s">
        <v>325</v>
      </c>
      <c r="E99" s="42" t="s">
        <v>326</v>
      </c>
      <c r="F99" s="38"/>
      <c r="G99" s="38"/>
      <c r="H99" s="38"/>
      <c r="I99" s="38"/>
      <c r="J99" s="38"/>
      <c r="K99" s="38"/>
    </row>
    <row r="100" spans="1:11" ht="60" customHeight="1" x14ac:dyDescent="0.35">
      <c r="A100" s="3" t="s">
        <v>265</v>
      </c>
      <c r="B100" s="4" t="s">
        <v>327</v>
      </c>
      <c r="C100" s="34" t="s">
        <v>328</v>
      </c>
      <c r="D100" s="3" t="s">
        <v>329</v>
      </c>
      <c r="E100" s="42" t="s">
        <v>330</v>
      </c>
      <c r="F100" s="38"/>
      <c r="G100" s="38"/>
      <c r="H100" s="38"/>
      <c r="I100" s="38"/>
      <c r="J100" s="38"/>
      <c r="K100" s="38"/>
    </row>
    <row r="101" spans="1:11" ht="15" customHeight="1" x14ac:dyDescent="0.35">
      <c r="A101" s="3" t="s">
        <v>268</v>
      </c>
      <c r="B101" s="4" t="s">
        <v>331</v>
      </c>
      <c r="C101" s="31" t="s">
        <v>279</v>
      </c>
      <c r="D101" s="3" t="s">
        <v>332</v>
      </c>
      <c r="E101" s="42" t="s">
        <v>333</v>
      </c>
      <c r="F101" s="38"/>
      <c r="G101" s="38"/>
      <c r="H101" s="38"/>
      <c r="I101" s="38"/>
      <c r="J101" s="38"/>
      <c r="K101" s="38"/>
    </row>
    <row r="102" spans="1:11" ht="15" customHeight="1" x14ac:dyDescent="0.35">
      <c r="A102" s="3" t="s">
        <v>271</v>
      </c>
      <c r="B102" s="4" t="s">
        <v>334</v>
      </c>
      <c r="C102" s="35" t="s">
        <v>335</v>
      </c>
      <c r="D102" s="3" t="s">
        <v>336</v>
      </c>
      <c r="E102" s="42" t="s">
        <v>337</v>
      </c>
      <c r="F102" s="38"/>
      <c r="G102" s="38"/>
      <c r="H102" s="38"/>
      <c r="I102" s="38"/>
      <c r="J102" s="38"/>
      <c r="K102" s="38"/>
    </row>
    <row r="103" spans="1:11" ht="30" customHeight="1" x14ac:dyDescent="0.35">
      <c r="A103" s="3" t="s">
        <v>338</v>
      </c>
      <c r="B103" s="4" t="s">
        <v>339</v>
      </c>
      <c r="C103" s="35" t="s">
        <v>335</v>
      </c>
      <c r="D103" s="3" t="s">
        <v>340</v>
      </c>
      <c r="E103" s="42" t="s">
        <v>341</v>
      </c>
      <c r="F103" s="38"/>
      <c r="G103" s="38"/>
      <c r="H103" s="38"/>
      <c r="I103" s="38"/>
      <c r="J103" s="38"/>
      <c r="K103" s="38"/>
    </row>
    <row r="104" spans="1:11" ht="15" customHeight="1" x14ac:dyDescent="0.35">
      <c r="A104" s="3" t="s">
        <v>342</v>
      </c>
      <c r="B104" s="4" t="s">
        <v>343</v>
      </c>
      <c r="C104" s="32" t="s">
        <v>299</v>
      </c>
      <c r="D104" s="3" t="s">
        <v>344</v>
      </c>
      <c r="E104" s="42" t="s">
        <v>345</v>
      </c>
      <c r="F104" s="38"/>
      <c r="G104" s="38"/>
      <c r="H104" s="38"/>
      <c r="I104" s="38"/>
      <c r="J104" s="38"/>
      <c r="K104" s="38"/>
    </row>
    <row r="105" spans="1:11" ht="105" customHeight="1" x14ac:dyDescent="0.35">
      <c r="A105" s="3" t="s">
        <v>346</v>
      </c>
      <c r="B105" s="4" t="s">
        <v>347</v>
      </c>
      <c r="C105" s="36" t="s">
        <v>348</v>
      </c>
      <c r="D105" s="3" t="s">
        <v>349</v>
      </c>
      <c r="E105" s="42" t="s">
        <v>350</v>
      </c>
      <c r="F105" s="38"/>
      <c r="G105" s="38"/>
      <c r="H105" s="38"/>
      <c r="I105" s="38"/>
      <c r="J105" s="38"/>
      <c r="K105" s="38"/>
    </row>
    <row r="106" spans="1:11" x14ac:dyDescent="0.35">
      <c r="A106" s="1" t="s">
        <v>351</v>
      </c>
    </row>
  </sheetData>
  <mergeCells count="24">
    <mergeCell ref="A1:K1"/>
    <mergeCell ref="E97:K97"/>
    <mergeCell ref="E93:K93"/>
    <mergeCell ref="E96:K96"/>
    <mergeCell ref="E83:K83"/>
    <mergeCell ref="E86:K86"/>
    <mergeCell ref="E92:K92"/>
    <mergeCell ref="E88:K88"/>
    <mergeCell ref="E87:K87"/>
    <mergeCell ref="E91:K91"/>
    <mergeCell ref="E85:K85"/>
    <mergeCell ref="E103:K103"/>
    <mergeCell ref="E94:K94"/>
    <mergeCell ref="E84:K84"/>
    <mergeCell ref="E90:K90"/>
    <mergeCell ref="E105:K105"/>
    <mergeCell ref="E99:K99"/>
    <mergeCell ref="E95:K95"/>
    <mergeCell ref="E89:K89"/>
    <mergeCell ref="E104:K104"/>
    <mergeCell ref="E102:K102"/>
    <mergeCell ref="E98:K98"/>
    <mergeCell ref="E101:K101"/>
    <mergeCell ref="E100:K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263</vt:i4>
      </vt:variant>
    </vt:vector>
  </HeadingPairs>
  <TitlesOfParts>
    <vt:vector size="265" baseType="lpstr">
      <vt:lpstr>Οικονομική Προσφορά</vt:lpstr>
      <vt:lpstr>Τεχνικοί Υπολογισμοί</vt:lpstr>
      <vt:lpstr>N_c_barlen</vt:lpstr>
      <vt:lpstr>N_c_density</vt:lpstr>
      <vt:lpstr>N_c_lap</vt:lpstr>
      <vt:lpstr>N_c_loss</vt:lpstr>
      <vt:lpstr>N_c_overc</vt:lpstr>
      <vt:lpstr>N_c_pi</vt:lpstr>
      <vt:lpstr>N_conc_class</vt:lpstr>
      <vt:lpstr>N_cover_mm</vt:lpstr>
      <vt:lpstr>N_cutoff</vt:lpstr>
      <vt:lpstr>N_dh</vt:lpstr>
      <vt:lpstr>N_dist_km</vt:lpstr>
      <vt:lpstr>N_extra_zones</vt:lpstr>
      <vt:lpstr>N_g0_bottom_bend</vt:lpstr>
      <vt:lpstr>N_g0_breaking</vt:lpstr>
      <vt:lpstr>N_g0_count</vt:lpstr>
      <vt:lpstr>N_g0_D_cage</vt:lpstr>
      <vt:lpstr>N_g0_D_mm</vt:lpstr>
      <vt:lpstr>N_g0_end_zone</vt:lpstr>
      <vt:lpstr>N_g0_extra_len</vt:lpstr>
      <vt:lpstr>N_g0_extra_n</vt:lpstr>
      <vt:lpstr>N_g0_extra_y</vt:lpstr>
      <vt:lpstr>N_g0_head_links</vt:lpstr>
      <vt:lpstr>N_g0_L_bar</vt:lpstr>
      <vt:lpstr>N_g0_L_base</vt:lpstr>
      <vt:lpstr>N_g0_L_conc</vt:lpstr>
      <vt:lpstr>N_g0_L_drill</vt:lpstr>
      <vt:lpstr>N_g0_L_pile</vt:lpstr>
      <vt:lpstr>N_g0_n_laps</vt:lpstr>
      <vt:lpstr>N_g0_n_turns</vt:lpstr>
      <vt:lpstr>N_g0_n_vert</vt:lpstr>
      <vt:lpstr>N_g0_P_cage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N_g1_D_cage</vt:lpstr>
      <vt:lpstr>N_g1_D_mm</vt:lpstr>
      <vt:lpstr>N_g1_end_zone</vt:lpstr>
      <vt:lpstr>N_g1_extra_len</vt:lpstr>
      <vt:lpstr>N_g1_extra_n</vt:lpstr>
      <vt:lpstr>N_g1_extra_y</vt:lpstr>
      <vt:lpstr>N_g1_head_links</vt:lpstr>
      <vt:lpstr>N_g1_L_bar</vt:lpstr>
      <vt:lpstr>N_g1_L_base</vt:lpstr>
      <vt:lpstr>N_g1_L_conc</vt:lpstr>
      <vt:lpstr>N_g1_L_drill</vt:lpstr>
      <vt:lpstr>N_g1_L_pile</vt:lpstr>
      <vt:lpstr>N_g1_n_laps</vt:lpstr>
      <vt:lpstr>N_g1_n_turns</vt:lpstr>
      <vt:lpstr>N_g1_n_vert</vt:lpstr>
      <vt:lpstr>N_g1_P_cage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N_g2_bottom_bend</vt:lpstr>
      <vt:lpstr>N_g2_breaking</vt:lpstr>
      <vt:lpstr>N_g2_count</vt:lpstr>
      <vt:lpstr>N_g2_D_cage</vt:lpstr>
      <vt:lpstr>N_g2_D_mm</vt:lpstr>
      <vt:lpstr>N_g2_end_zone</vt:lpstr>
      <vt:lpstr>N_g2_extra_len</vt:lpstr>
      <vt:lpstr>N_g2_extra_n</vt:lpstr>
      <vt:lpstr>N_g2_extra_y</vt:lpstr>
      <vt:lpstr>N_g2_head_links</vt:lpstr>
      <vt:lpstr>N_g2_L_bar</vt:lpstr>
      <vt:lpstr>N_g2_L_base</vt:lpstr>
      <vt:lpstr>N_g2_L_conc</vt:lpstr>
      <vt:lpstr>N_g2_L_drill</vt:lpstr>
      <vt:lpstr>N_g2_L_pile</vt:lpstr>
      <vt:lpstr>N_g2_n_laps</vt:lpstr>
      <vt:lpstr>N_g2_n_turns</vt:lpstr>
      <vt:lpstr>N_g2_n_vert</vt:lpstr>
      <vt:lpstr>N_g2_P_cage</vt:lpstr>
      <vt:lpstr>N_g2_s_end</vt:lpstr>
      <vt:lpstr>N_g2_s_mid</vt:lpstr>
      <vt:lpstr>N_g2_sleeves</vt:lpstr>
      <vt:lpstr>N_g2_starter</vt:lpstr>
      <vt:lpstr>N_g2_top_bend</vt:lpstr>
      <vt:lpstr>N_g2_V_conc</vt:lpstr>
      <vt:lpstr>N_g2_V_exc</vt:lpstr>
      <vt:lpstr>N_g2_W_extra</vt:lpstr>
      <vt:lpstr>N_g2_W_head</vt:lpstr>
      <vt:lpstr>N_g2_W_spiral</vt:lpstr>
      <vt:lpstr>N_g2_W_total</vt:lpstr>
      <vt:lpstr>N_g2_W_vert</vt:lpstr>
      <vt:lpstr>N_g2_y_spiral</vt:lpstr>
      <vt:lpstr>N_g2_y_vert</vt:lpstr>
      <vt:lpstr>N_g3_bottom_bend</vt:lpstr>
      <vt:lpstr>N_g3_breaking</vt:lpstr>
      <vt:lpstr>N_g3_count</vt:lpstr>
      <vt:lpstr>N_g3_D_cage</vt:lpstr>
      <vt:lpstr>N_g3_D_mm</vt:lpstr>
      <vt:lpstr>N_g3_end_zone</vt:lpstr>
      <vt:lpstr>N_g3_extra_len</vt:lpstr>
      <vt:lpstr>N_g3_extra_n</vt:lpstr>
      <vt:lpstr>N_g3_extra_y</vt:lpstr>
      <vt:lpstr>N_g3_head_links</vt:lpstr>
      <vt:lpstr>N_g3_L_bar</vt:lpstr>
      <vt:lpstr>N_g3_L_base</vt:lpstr>
      <vt:lpstr>N_g3_L_conc</vt:lpstr>
      <vt:lpstr>N_g3_L_drill</vt:lpstr>
      <vt:lpstr>N_g3_L_pile</vt:lpstr>
      <vt:lpstr>N_g3_n_laps</vt:lpstr>
      <vt:lpstr>N_g3_n_turns</vt:lpstr>
      <vt:lpstr>N_g3_n_vert</vt:lpstr>
      <vt:lpstr>N_g3_P_cage</vt:lpstr>
      <vt:lpstr>N_g3_s_end</vt:lpstr>
      <vt:lpstr>N_g3_s_mid</vt:lpstr>
      <vt:lpstr>N_g3_sleeves</vt:lpstr>
      <vt:lpstr>N_g3_starter</vt:lpstr>
      <vt:lpstr>N_g3_top_bend</vt:lpstr>
      <vt:lpstr>N_g3_V_conc</vt:lpstr>
      <vt:lpstr>N_g3_V_exc</vt:lpstr>
      <vt:lpstr>N_g3_W_extra</vt:lpstr>
      <vt:lpstr>N_g3_W_head</vt:lpstr>
      <vt:lpstr>N_g3_W_spiral</vt:lpstr>
      <vt:lpstr>N_g3_W_total</vt:lpstr>
      <vt:lpstr>N_g3_W_vert</vt:lpstr>
      <vt:lpstr>N_g3_y_spiral</vt:lpstr>
      <vt:lpstr>N_g3_y_vert</vt:lpstr>
      <vt:lpstr>N_g4_bottom_bend</vt:lpstr>
      <vt:lpstr>N_g4_breaking</vt:lpstr>
      <vt:lpstr>N_g4_count</vt:lpstr>
      <vt:lpstr>N_g4_D_cage</vt:lpstr>
      <vt:lpstr>N_g4_D_mm</vt:lpstr>
      <vt:lpstr>N_g4_end_zone</vt:lpstr>
      <vt:lpstr>N_g4_extra_len</vt:lpstr>
      <vt:lpstr>N_g4_extra_n</vt:lpstr>
      <vt:lpstr>N_g4_extra_y</vt:lpstr>
      <vt:lpstr>N_g4_head_links</vt:lpstr>
      <vt:lpstr>N_g4_L_bar</vt:lpstr>
      <vt:lpstr>N_g4_L_base</vt:lpstr>
      <vt:lpstr>N_g4_L_conc</vt:lpstr>
      <vt:lpstr>N_g4_L_drill</vt:lpstr>
      <vt:lpstr>N_g4_L_pile</vt:lpstr>
      <vt:lpstr>N_g4_n_laps</vt:lpstr>
      <vt:lpstr>N_g4_n_turns</vt:lpstr>
      <vt:lpstr>N_g4_n_vert</vt:lpstr>
      <vt:lpstr>N_g4_P_cage</vt:lpstr>
      <vt:lpstr>N_g4_s_end</vt:lpstr>
      <vt:lpstr>N_g4_s_mid</vt:lpstr>
      <vt:lpstr>N_g4_sleeves</vt:lpstr>
      <vt:lpstr>N_g4_starter</vt:lpstr>
      <vt:lpstr>N_g4_top_bend</vt:lpstr>
      <vt:lpstr>N_g4_V_conc</vt:lpstr>
      <vt:lpstr>N_g4_V_exc</vt:lpstr>
      <vt:lpstr>N_g4_W_extra</vt:lpstr>
      <vt:lpstr>N_g4_W_head</vt:lpstr>
      <vt:lpstr>N_g4_W_spiral</vt:lpstr>
      <vt:lpstr>N_g4_W_total</vt:lpstr>
      <vt:lpstr>N_g4_W_vert</vt:lpstr>
      <vt:lpstr>N_g4_y_spiral</vt:lpstr>
      <vt:lpstr>N_g4_y_vert</vt:lpstr>
      <vt:lpstr>N_g5_bottom_bend</vt:lpstr>
      <vt:lpstr>N_g5_breaking</vt:lpstr>
      <vt:lpstr>N_g5_count</vt:lpstr>
      <vt:lpstr>N_g5_D_cage</vt:lpstr>
      <vt:lpstr>N_g5_D_mm</vt:lpstr>
      <vt:lpstr>N_g5_end_zone</vt:lpstr>
      <vt:lpstr>N_g5_extra_len</vt:lpstr>
      <vt:lpstr>N_g5_extra_n</vt:lpstr>
      <vt:lpstr>N_g5_extra_y</vt:lpstr>
      <vt:lpstr>N_g5_head_links</vt:lpstr>
      <vt:lpstr>N_g5_L_bar</vt:lpstr>
      <vt:lpstr>N_g5_L_base</vt:lpstr>
      <vt:lpstr>N_g5_L_conc</vt:lpstr>
      <vt:lpstr>N_g5_L_drill</vt:lpstr>
      <vt:lpstr>N_g5_L_pile</vt:lpstr>
      <vt:lpstr>N_g5_n_laps</vt:lpstr>
      <vt:lpstr>N_g5_n_turns</vt:lpstr>
      <vt:lpstr>N_g5_n_vert</vt:lpstr>
      <vt:lpstr>N_g5_P_cage</vt:lpstr>
      <vt:lpstr>N_g5_s_end</vt:lpstr>
      <vt:lpstr>N_g5_s_mid</vt:lpstr>
      <vt:lpstr>N_g5_sleeves</vt:lpstr>
      <vt:lpstr>N_g5_starter</vt:lpstr>
      <vt:lpstr>N_g5_top_bend</vt:lpstr>
      <vt:lpstr>N_g5_V_conc</vt:lpstr>
      <vt:lpstr>N_g5_V_exc</vt:lpstr>
      <vt:lpstr>N_g5_W_extra</vt:lpstr>
      <vt:lpstr>N_g5_W_head</vt:lpstr>
      <vt:lpstr>N_g5_W_spiral</vt:lpstr>
      <vt:lpstr>N_g5_W_total</vt:lpstr>
      <vt:lpstr>N_g5_W_vert</vt:lpstr>
      <vt:lpstr>N_g5_y_spiral</vt:lpstr>
      <vt:lpstr>N_g5_y_vert</vt:lpstr>
      <vt:lpstr>N_grand_total</vt:lpstr>
      <vt:lpstr>N_h_overc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N_line_drill_1200_price</vt:lpstr>
      <vt:lpstr>N_line_drill_1200_qty</vt:lpstr>
      <vt:lpstr>N_line_drill_1200_total</vt:lpstr>
      <vt:lpstr>N_line_drill_1500_price</vt:lpstr>
      <vt:lpstr>N_line_drill_1500_qty</vt:lpstr>
      <vt:lpstr>N_line_drill_1500_total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N_q_drill_1200</vt:lpstr>
      <vt:lpstr>N_q_drill_1200_n</vt:lpstr>
      <vt:lpstr>N_q_drill_1500</vt:lpstr>
      <vt:lpstr>N_q_drill_1500_n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2026-10-15T11:49:18Z</dcterms:created>
  <dcterms:modified xsi:type="dcterms:W3CDTF">2026-10-15T13:30:14Z</dcterms:modified>
</cp:coreProperties>
</file>