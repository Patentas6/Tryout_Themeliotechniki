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1_Στοιχεία_Μελέτης_&amp;_Ποσότητες" sheetId="1" state="visible" r:id="rId1"/>
    <sheet xmlns:r="http://schemas.openxmlformats.org/officeDocument/2006/relationships" name="2_Υπολογισμοί_&amp;_Κοστολόγηση" sheetId="2" state="visible" r:id="rId2"/>
    <sheet xmlns:r="http://schemas.openxmlformats.org/officeDocument/2006/relationships" name="3_Πίνακες_Διατομών_Χάλυβα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5">
    <numFmt numFmtId="164" formatCode="#,##0.0000"/>
    <numFmt numFmtId="165" formatCode="#,##0.000"/>
    <numFmt numFmtId="166" formatCode="0.0%"/>
    <numFmt numFmtId="167" formatCode="#,##0.000000"/>
    <numFmt numFmtId="168" formatCode="#,##0.0"/>
  </numFmts>
  <fonts count="15">
    <font>
      <name val="Calibri"/>
      <family val="2"/>
      <color theme="1"/>
      <sz val="11"/>
      <scheme val="minor"/>
    </font>
    <font>
      <name val="Segoe UI"/>
      <b val="1"/>
      <color rgb="00FFFFFF"/>
      <sz val="13"/>
    </font>
    <font>
      <name val="Segoe UI"/>
      <i val="1"/>
      <color rgb="00FFFFFF"/>
      <sz val="10"/>
    </font>
    <font>
      <name val="Segoe UI"/>
      <b val="1"/>
      <color rgb="00FFFFFF"/>
      <sz val="11"/>
    </font>
    <font>
      <name val="Segoe UI"/>
      <b val="1"/>
      <color rgb="00FFFFFF"/>
      <sz val="10"/>
    </font>
    <font>
      <name val="Segoe UI"/>
      <b val="1"/>
      <color rgb="001F4E78"/>
      <sz val="10"/>
    </font>
    <font>
      <name val="Segoe UI"/>
      <color rgb="00000000"/>
      <sz val="10"/>
    </font>
    <font>
      <name val="Segoe UI"/>
      <color rgb="00262626"/>
      <sz val="9"/>
    </font>
    <font>
      <name val="Segoe UI"/>
      <b val="1"/>
      <color rgb="00000000"/>
      <sz val="10"/>
    </font>
    <font>
      <name val="Segoe UI"/>
      <b val="1"/>
      <color rgb="00C00000"/>
      <sz val="10"/>
    </font>
    <font>
      <name val="Segoe UI"/>
      <b val="1"/>
      <color rgb="009C0006"/>
      <sz val="10"/>
    </font>
    <font>
      <name val="Segoe UI"/>
      <b val="1"/>
      <color rgb="00006100"/>
      <sz val="11"/>
    </font>
    <font>
      <name val="Segoe UI"/>
      <b val="1"/>
      <color rgb="00000000"/>
      <sz val="11"/>
    </font>
    <font>
      <name val="Segoe UI"/>
      <b val="1"/>
      <color rgb="00006100"/>
      <sz val="12"/>
    </font>
    <font>
      <name val="Segoe UI"/>
      <b val="1"/>
      <color rgb="00FFFFFF"/>
      <sz val="12"/>
    </font>
  </fonts>
  <fills count="14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2F5597"/>
        <bgColor rgb="002F5597"/>
      </patternFill>
    </fill>
    <fill>
      <patternFill patternType="solid">
        <fgColor rgb="00F2F2F2"/>
        <bgColor rgb="00F2F2F2"/>
      </patternFill>
    </fill>
    <fill>
      <patternFill patternType="solid">
        <fgColor rgb="00FFFFFF"/>
        <bgColor rgb="00FFFFFF"/>
      </patternFill>
    </fill>
    <fill>
      <patternFill patternType="solid">
        <fgColor rgb="00E2EFDA"/>
        <bgColor rgb="00E2EFDA"/>
      </patternFill>
    </fill>
    <fill>
      <patternFill patternType="solid">
        <fgColor rgb="00FCE4D6"/>
        <bgColor rgb="00FCE4D6"/>
      </patternFill>
    </fill>
    <fill>
      <patternFill patternType="solid">
        <fgColor rgb="00D9E1F2"/>
        <bgColor rgb="00D9E1F2"/>
      </patternFill>
    </fill>
    <fill>
      <patternFill patternType="solid">
        <fgColor rgb="00FFC7CE"/>
        <bgColor rgb="00FFC7CE"/>
      </patternFill>
    </fill>
    <fill>
      <patternFill patternType="solid">
        <fgColor rgb="00C6EFCE"/>
        <bgColor rgb="00C6EFCE"/>
      </patternFill>
    </fill>
    <fill>
      <patternFill patternType="solid">
        <fgColor rgb="00375623"/>
        <bgColor rgb="00375623"/>
      </patternFill>
    </fill>
    <fill>
      <patternFill patternType="solid">
        <fgColor rgb="00FFF2CC"/>
        <bgColor rgb="00FFF2CC"/>
      </patternFill>
    </fill>
    <fill>
      <patternFill patternType="solid">
        <fgColor rgb="00FFE699"/>
        <bgColor rgb="00FFE699"/>
      </patternFill>
    </fill>
  </fills>
  <borders count="28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 style="medium">
        <color rgb="001F4E78"/>
      </left>
      <right/>
      <top style="medium">
        <color rgb="001F4E78"/>
      </top>
      <bottom/>
    </border>
    <border>
      <left/>
      <right/>
      <top style="medium">
        <color rgb="001F4E78"/>
      </top>
      <bottom/>
    </border>
    <border>
      <left/>
      <right style="medium">
        <color rgb="001F4E78"/>
      </right>
      <top style="medium">
        <color rgb="001F4E78"/>
      </top>
      <bottom/>
    </border>
    <border>
      <left style="medium">
        <color rgb="001F4E78"/>
      </left>
      <right style="thin">
        <color rgb="00BFBFBF"/>
      </right>
      <top style="thin">
        <color rgb="00BFBFBF"/>
      </top>
      <bottom style="thin">
        <color rgb="00BFBFBF"/>
      </bottom>
    </border>
    <border>
      <left style="thin">
        <color rgb="00BFBFBF"/>
      </left>
      <right style="medium">
        <color rgb="001F4E78"/>
      </right>
      <top style="thin">
        <color rgb="00BFBFBF"/>
      </top>
      <bottom style="thin">
        <color rgb="00BFBFBF"/>
      </bottom>
    </border>
    <border>
      <left style="medium">
        <color rgb="001F4E78"/>
      </left>
      <right style="thin">
        <color rgb="00BFBFBF"/>
      </right>
      <top style="thin">
        <color rgb="00BFBFBF"/>
      </top>
      <bottom style="medium">
        <color rgb="001F4E78"/>
      </bottom>
    </border>
    <border>
      <left style="thin">
        <color rgb="00BFBFBF"/>
      </left>
      <right style="thin">
        <color rgb="00BFBFBF"/>
      </right>
      <top style="thin">
        <color rgb="00BFBFBF"/>
      </top>
      <bottom style="medium">
        <color rgb="001F4E78"/>
      </bottom>
    </border>
    <border>
      <left style="thin">
        <color rgb="00BFBFBF"/>
      </left>
      <right style="medium">
        <color rgb="001F4E78"/>
      </right>
      <top style="thin">
        <color rgb="00BFBFBF"/>
      </top>
      <bottom style="medium">
        <color rgb="001F4E78"/>
      </bottom>
    </border>
    <border>
      <left style="medium">
        <color rgb="00375623"/>
      </left>
      <right/>
      <top style="medium">
        <color rgb="00375623"/>
      </top>
      <bottom/>
    </border>
    <border>
      <left/>
      <right/>
      <top style="medium">
        <color rgb="00375623"/>
      </top>
      <bottom/>
    </border>
    <border>
      <left/>
      <right style="medium">
        <color rgb="00375623"/>
      </right>
      <top style="medium">
        <color rgb="00375623"/>
      </top>
      <bottom/>
    </border>
    <border>
      <left style="medium">
        <color rgb="00375623"/>
      </left>
      <right style="thin">
        <color rgb="00BFBFBF"/>
      </right>
      <top style="thin">
        <color rgb="00BFBFBF"/>
      </top>
      <bottom style="thin">
        <color rgb="00BFBFBF"/>
      </bottom>
    </border>
    <border>
      <left style="thin">
        <color rgb="00BFBFBF"/>
      </left>
      <right style="medium">
        <color rgb="00375623"/>
      </right>
      <top style="thin">
        <color rgb="00BFBFBF"/>
      </top>
      <bottom style="thin">
        <color rgb="00BFBFBF"/>
      </bottom>
    </border>
    <border>
      <left style="medium">
        <color rgb="00375623"/>
      </left>
      <right style="thin">
        <color rgb="00BFBFBF"/>
      </right>
      <top style="thin">
        <color rgb="00BFBFBF"/>
      </top>
      <bottom style="medium">
        <color rgb="00375623"/>
      </bottom>
    </border>
    <border>
      <left style="thin">
        <color rgb="00BFBFBF"/>
      </left>
      <right style="thin">
        <color rgb="00BFBFBF"/>
      </right>
      <top style="thin">
        <color rgb="00BFBFBF"/>
      </top>
      <bottom style="medium">
        <color rgb="00375623"/>
      </bottom>
    </border>
    <border>
      <left style="thin">
        <color rgb="00BFBFBF"/>
      </left>
      <right style="medium">
        <color rgb="00375623"/>
      </right>
      <top style="thin">
        <color rgb="00BFBFBF"/>
      </top>
      <bottom style="medium">
        <color rgb="00375623"/>
      </bottom>
    </border>
    <border>
      <left style="thin">
        <color rgb="00BFBFBF"/>
      </left>
      <right/>
      <top/>
      <bottom/>
      <diagonal/>
    </border>
    <border>
      <left style="thin">
        <color rgb="00BFBFBF"/>
      </left>
      <right style="thin">
        <color rgb="00BFBFBF"/>
      </right>
      <top/>
      <bottom/>
      <diagonal/>
    </border>
    <border>
      <left style="thin">
        <color rgb="00BFBFBF"/>
      </left>
      <right style="thin">
        <color rgb="00BFBFBF"/>
      </right>
      <top/>
      <bottom style="thin">
        <color rgb="00BFBFBF"/>
      </bottom>
      <diagonal/>
    </border>
    <border>
      <left style="thin">
        <color rgb="00BFBFBF"/>
      </left>
      <right style="thin">
        <color rgb="00BFBFBF"/>
      </right>
      <top/>
      <bottom/>
    </border>
    <border>
      <left style="thin">
        <color rgb="00BFBFBF"/>
      </left>
      <right style="thin">
        <color rgb="00BFBFBF"/>
      </right>
      <top/>
      <bottom style="medium">
        <color rgb="001F4E78"/>
      </bottom>
    </border>
    <border>
      <left style="thin">
        <color rgb="00BFBFBF"/>
      </left>
      <right style="thin">
        <color rgb="00BFBFBF"/>
      </right>
      <top/>
      <bottom style="medium">
        <color rgb="00375623"/>
      </bottom>
    </border>
    <border>
      <left style="thin">
        <color rgb="00BFBFBF"/>
      </left>
      <right style="thin">
        <color rgb="00BFBFBF"/>
      </right>
      <top style="medium">
        <color rgb="001F4E78"/>
      </top>
      <bottom style="double">
        <color rgb="00006100"/>
      </bottom>
    </border>
    <border>
      <left style="medium">
        <color rgb="001F4E78"/>
      </left>
      <right style="thin">
        <color rgb="00BFBFBF"/>
      </right>
      <top style="medium">
        <color rgb="001F4E78"/>
      </top>
      <bottom style="medium">
        <color rgb="001F4E78"/>
      </bottom>
    </border>
    <border>
      <left style="thin">
        <color rgb="00BFBFBF"/>
      </left>
      <right style="thin">
        <color rgb="00BFBFBF"/>
      </right>
      <top style="medium">
        <color rgb="001F4E78"/>
      </top>
      <bottom style="medium">
        <color rgb="001F4E78"/>
      </bottom>
    </border>
    <border>
      <left style="thin">
        <color rgb="00BFBFBF"/>
      </left>
      <right style="medium">
        <color rgb="001F4E78"/>
      </right>
      <top style="medium">
        <color rgb="001F4E78"/>
      </top>
      <bottom style="medium">
        <color rgb="001F4E78"/>
      </bottom>
    </border>
  </borders>
  <cellStyleXfs count="1">
    <xf numFmtId="0" fontId="0" fillId="0" borderId="0"/>
  </cellStyleXfs>
  <cellXfs count="120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center" vertical="center" wrapText="1"/>
    </xf>
    <xf numFmtId="0" fontId="3" fillId="2" borderId="0" applyAlignment="1" pivotButton="0" quotePrefix="0" xfId="0">
      <alignment horizontal="left" vertical="center" wrapText="1"/>
    </xf>
    <xf numFmtId="0" fontId="4" fillId="3" borderId="1" applyAlignment="1" pivotButton="0" quotePrefix="0" xfId="0">
      <alignment horizontal="center" vertical="center" wrapText="1"/>
    </xf>
    <xf numFmtId="0" fontId="3" fillId="3" borderId="2" applyAlignment="1" pivotButton="0" quotePrefix="0" xfId="0">
      <alignment horizontal="left" vertical="center" wrapText="1"/>
    </xf>
    <xf numFmtId="0" fontId="0" fillId="0" borderId="3" pivotButton="0" quotePrefix="0" xfId="0"/>
    <xf numFmtId="0" fontId="0" fillId="0" borderId="4" pivotButton="0" quotePrefix="0" xfId="0"/>
    <xf numFmtId="0" fontId="5" fillId="4" borderId="5" applyAlignment="1" pivotButton="0" quotePrefix="0" xfId="0">
      <alignment horizontal="center" vertical="center" wrapText="1"/>
    </xf>
    <xf numFmtId="0" fontId="6" fillId="5" borderId="1" applyAlignment="1" pivotButton="0" quotePrefix="0" xfId="0">
      <alignment horizontal="left" vertical="center" wrapText="1"/>
    </xf>
    <xf numFmtId="49" fontId="5" fillId="6" borderId="1" applyAlignment="1" pivotButton="0" quotePrefix="0" xfId="0">
      <alignment horizontal="center" vertical="center" wrapText="1"/>
    </xf>
    <xf numFmtId="0" fontId="6" fillId="5" borderId="1" applyAlignment="1" pivotButton="0" quotePrefix="0" xfId="0">
      <alignment horizontal="center" vertical="center" wrapText="1"/>
    </xf>
    <xf numFmtId="0" fontId="7" fillId="5" borderId="1" applyAlignment="1" pivotButton="0" quotePrefix="0" xfId="0">
      <alignment horizontal="left" vertical="center" wrapText="1"/>
    </xf>
    <xf numFmtId="0" fontId="7" fillId="5" borderId="6" applyAlignment="1" pivotButton="0" quotePrefix="0" xfId="0">
      <alignment horizontal="left" vertical="center" wrapText="1"/>
    </xf>
    <xf numFmtId="3" fontId="5" fillId="6" borderId="1" applyAlignment="1" pivotButton="0" quotePrefix="0" xfId="0">
      <alignment horizontal="right" vertical="center" wrapText="1"/>
    </xf>
    <xf numFmtId="4" fontId="5" fillId="6" borderId="1" applyAlignment="1" pivotButton="0" quotePrefix="0" xfId="0">
      <alignment horizontal="right" vertical="center" wrapText="1"/>
    </xf>
    <xf numFmtId="0" fontId="8" fillId="7" borderId="1" applyAlignment="1" pivotButton="0" quotePrefix="0" xfId="0">
      <alignment horizontal="left" vertical="center" wrapText="1"/>
    </xf>
    <xf numFmtId="3" fontId="9" fillId="7" borderId="1" applyAlignment="1" pivotButton="0" quotePrefix="0" xfId="0">
      <alignment horizontal="right" vertical="center" wrapText="1"/>
    </xf>
    <xf numFmtId="0" fontId="6" fillId="7" borderId="1" applyAlignment="1" pivotButton="0" quotePrefix="0" xfId="0">
      <alignment horizontal="center" vertical="center" wrapText="1"/>
    </xf>
    <xf numFmtId="0" fontId="7" fillId="7" borderId="1" applyAlignment="1" pivotButton="0" quotePrefix="0" xfId="0">
      <alignment horizontal="left" vertical="center" wrapText="1"/>
    </xf>
    <xf numFmtId="0" fontId="9" fillId="7" borderId="6" applyAlignment="1" pivotButton="0" quotePrefix="0" xfId="0">
      <alignment horizontal="left" vertical="center" wrapText="1"/>
    </xf>
    <xf numFmtId="0" fontId="8" fillId="8" borderId="1" applyAlignment="1" pivotButton="0" quotePrefix="0" xfId="0">
      <alignment horizontal="left" vertical="center" wrapText="1"/>
    </xf>
    <xf numFmtId="164" fontId="8" fillId="8" borderId="1" applyAlignment="1" pivotButton="0" quotePrefix="0" xfId="0">
      <alignment horizontal="right" vertical="center" wrapText="1"/>
    </xf>
    <xf numFmtId="0" fontId="6" fillId="8" borderId="1" applyAlignment="1" pivotButton="0" quotePrefix="0" xfId="0">
      <alignment horizontal="center" vertical="center" wrapText="1"/>
    </xf>
    <xf numFmtId="0" fontId="7" fillId="8" borderId="1" applyAlignment="1" pivotButton="0" quotePrefix="0" xfId="0">
      <alignment horizontal="left" vertical="center" wrapText="1"/>
    </xf>
    <xf numFmtId="0" fontId="7" fillId="8" borderId="6" applyAlignment="1" pivotButton="0" quotePrefix="0" xfId="0">
      <alignment horizontal="left" vertical="center" wrapText="1"/>
    </xf>
    <xf numFmtId="0" fontId="5" fillId="4" borderId="7" applyAlignment="1" pivotButton="0" quotePrefix="0" xfId="0">
      <alignment horizontal="center" vertical="center" wrapText="1"/>
    </xf>
    <xf numFmtId="0" fontId="8" fillId="8" borderId="8" applyAlignment="1" pivotButton="0" quotePrefix="0" xfId="0">
      <alignment horizontal="left" vertical="center" wrapText="1"/>
    </xf>
    <xf numFmtId="4" fontId="8" fillId="8" borderId="8" applyAlignment="1" pivotButton="0" quotePrefix="0" xfId="0">
      <alignment horizontal="right" vertical="center" wrapText="1"/>
    </xf>
    <xf numFmtId="0" fontId="6" fillId="8" borderId="8" applyAlignment="1" pivotButton="0" quotePrefix="0" xfId="0">
      <alignment horizontal="center" vertical="center" wrapText="1"/>
    </xf>
    <xf numFmtId="0" fontId="7" fillId="8" borderId="8" applyAlignment="1" pivotButton="0" quotePrefix="0" xfId="0">
      <alignment horizontal="left" vertical="center" wrapText="1"/>
    </xf>
    <xf numFmtId="0" fontId="7" fillId="8" borderId="9" applyAlignment="1" pivotButton="0" quotePrefix="0" xfId="0">
      <alignment horizontal="left" vertical="center" wrapText="1"/>
    </xf>
    <xf numFmtId="0" fontId="3" fillId="2" borderId="2" applyAlignment="1" pivotButton="0" quotePrefix="0" xfId="0">
      <alignment horizontal="left" vertical="center" wrapText="1"/>
    </xf>
    <xf numFmtId="4" fontId="8" fillId="8" borderId="1" applyAlignment="1" pivotButton="0" quotePrefix="0" xfId="0">
      <alignment horizontal="right" vertical="center" wrapText="1"/>
    </xf>
    <xf numFmtId="0" fontId="8" fillId="9" borderId="1" applyAlignment="1" pivotButton="0" quotePrefix="0" xfId="0">
      <alignment horizontal="left" vertical="center" wrapText="1"/>
    </xf>
    <xf numFmtId="4" fontId="10" fillId="9" borderId="1" applyAlignment="1" pivotButton="0" quotePrefix="0" xfId="0">
      <alignment horizontal="right" vertical="center" wrapText="1"/>
    </xf>
    <xf numFmtId="0" fontId="6" fillId="9" borderId="1" applyAlignment="1" pivotButton="0" quotePrefix="0" xfId="0">
      <alignment horizontal="center" vertical="center" wrapText="1"/>
    </xf>
    <xf numFmtId="0" fontId="7" fillId="9" borderId="1" applyAlignment="1" pivotButton="0" quotePrefix="0" xfId="0">
      <alignment horizontal="left" vertical="center" wrapText="1"/>
    </xf>
    <xf numFmtId="0" fontId="10" fillId="9" borderId="6" applyAlignment="1" pivotButton="0" quotePrefix="0" xfId="0">
      <alignment horizontal="left" vertical="center" wrapText="1"/>
    </xf>
    <xf numFmtId="3" fontId="8" fillId="8" borderId="1" applyAlignment="1" pivotButton="0" quotePrefix="0" xfId="0">
      <alignment horizontal="right" vertical="center" wrapText="1"/>
    </xf>
    <xf numFmtId="0" fontId="6" fillId="5" borderId="8" applyAlignment="1" pivotButton="0" quotePrefix="0" xfId="0">
      <alignment horizontal="left" vertical="center" wrapText="1"/>
    </xf>
    <xf numFmtId="3" fontId="5" fillId="6" borderId="8" applyAlignment="1" pivotButton="0" quotePrefix="0" xfId="0">
      <alignment horizontal="right" vertical="center" wrapText="1"/>
    </xf>
    <xf numFmtId="0" fontId="6" fillId="5" borderId="8" applyAlignment="1" pivotButton="0" quotePrefix="0" xfId="0">
      <alignment horizontal="center" vertical="center" wrapText="1"/>
    </xf>
    <xf numFmtId="0" fontId="7" fillId="5" borderId="8" applyAlignment="1" pivotButton="0" quotePrefix="0" xfId="0">
      <alignment horizontal="left" vertical="center" wrapText="1"/>
    </xf>
    <xf numFmtId="0" fontId="7" fillId="5" borderId="9" applyAlignment="1" pivotButton="0" quotePrefix="0" xfId="0">
      <alignment horizontal="left" vertical="center" wrapText="1"/>
    </xf>
    <xf numFmtId="0" fontId="6" fillId="4" borderId="1" applyAlignment="1" pivotButton="0" quotePrefix="0" xfId="0">
      <alignment horizontal="left" vertical="center" wrapText="1"/>
    </xf>
    <xf numFmtId="3" fontId="8" fillId="4" borderId="1" applyAlignment="1" pivotButton="0" quotePrefix="0" xfId="0">
      <alignment horizontal="right" vertical="center" wrapText="1"/>
    </xf>
    <xf numFmtId="0" fontId="6" fillId="4" borderId="1" applyAlignment="1" pivotButton="0" quotePrefix="0" xfId="0">
      <alignment horizontal="center" vertical="center" wrapText="1"/>
    </xf>
    <xf numFmtId="0" fontId="7" fillId="4" borderId="1" applyAlignment="1" pivotButton="0" quotePrefix="0" xfId="0">
      <alignment horizontal="left" vertical="center" wrapText="1"/>
    </xf>
    <xf numFmtId="0" fontId="7" fillId="4" borderId="6" applyAlignment="1" pivotButton="0" quotePrefix="0" xfId="0">
      <alignment horizontal="left" vertical="center" wrapText="1"/>
    </xf>
    <xf numFmtId="4" fontId="8" fillId="4" borderId="1" applyAlignment="1" pivotButton="0" quotePrefix="0" xfId="0">
      <alignment horizontal="right" vertical="center" wrapText="1"/>
    </xf>
    <xf numFmtId="165" fontId="8" fillId="4" borderId="1" applyAlignment="1" pivotButton="0" quotePrefix="0" xfId="0">
      <alignment horizontal="right" vertical="center" wrapText="1"/>
    </xf>
    <xf numFmtId="166" fontId="8" fillId="4" borderId="1" applyAlignment="1" pivotButton="0" quotePrefix="0" xfId="0">
      <alignment horizontal="right" vertical="center" wrapText="1"/>
    </xf>
    <xf numFmtId="164" fontId="8" fillId="4" borderId="1" applyAlignment="1" pivotButton="0" quotePrefix="0" xfId="0">
      <alignment horizontal="right" vertical="center" wrapText="1"/>
    </xf>
    <xf numFmtId="167" fontId="8" fillId="4" borderId="1" applyAlignment="1" pivotButton="0" quotePrefix="0" xfId="0">
      <alignment horizontal="right" vertical="center" wrapText="1"/>
    </xf>
    <xf numFmtId="0" fontId="6" fillId="4" borderId="8" applyAlignment="1" pivotButton="0" quotePrefix="0" xfId="0">
      <alignment horizontal="left" vertical="center" wrapText="1"/>
    </xf>
    <xf numFmtId="4" fontId="8" fillId="4" borderId="8" applyAlignment="1" pivotButton="0" quotePrefix="0" xfId="0">
      <alignment horizontal="right" vertical="center" wrapText="1"/>
    </xf>
    <xf numFmtId="0" fontId="6" fillId="4" borderId="8" applyAlignment="1" pivotButton="0" quotePrefix="0" xfId="0">
      <alignment horizontal="center" vertical="center" wrapText="1"/>
    </xf>
    <xf numFmtId="0" fontId="7" fillId="4" borderId="8" applyAlignment="1" pivotButton="0" quotePrefix="0" xfId="0">
      <alignment horizontal="left" vertical="center" wrapText="1"/>
    </xf>
    <xf numFmtId="0" fontId="7" fillId="4" borderId="9" applyAlignment="1" pivotButton="0" quotePrefix="0" xfId="0">
      <alignment horizontal="left" vertical="center" wrapText="1"/>
    </xf>
    <xf numFmtId="0" fontId="5" fillId="10" borderId="5" applyAlignment="1" pivotButton="0" quotePrefix="0" xfId="0">
      <alignment horizontal="center" vertical="center" wrapText="1"/>
    </xf>
    <xf numFmtId="0" fontId="8" fillId="10" borderId="1" applyAlignment="1" pivotButton="0" quotePrefix="0" xfId="0">
      <alignment horizontal="left" vertical="center" wrapText="1"/>
    </xf>
    <xf numFmtId="4" fontId="11" fillId="10" borderId="1" applyAlignment="1" pivotButton="0" quotePrefix="0" xfId="0">
      <alignment horizontal="right" vertical="center" wrapText="1"/>
    </xf>
    <xf numFmtId="0" fontId="8" fillId="10" borderId="1" applyAlignment="1" pivotButton="0" quotePrefix="0" xfId="0">
      <alignment horizontal="center" vertical="center" wrapText="1"/>
    </xf>
    <xf numFmtId="0" fontId="7" fillId="10" borderId="1" applyAlignment="1" pivotButton="0" quotePrefix="0" xfId="0">
      <alignment horizontal="left" vertical="center" wrapText="1"/>
    </xf>
    <xf numFmtId="0" fontId="7" fillId="10" borderId="6" applyAlignment="1" pivotButton="0" quotePrefix="0" xfId="0">
      <alignment horizontal="left" vertical="center" wrapText="1"/>
    </xf>
    <xf numFmtId="3" fontId="11" fillId="10" borderId="1" applyAlignment="1" pivotButton="0" quotePrefix="0" xfId="0">
      <alignment horizontal="right" vertical="center" wrapText="1"/>
    </xf>
    <xf numFmtId="0" fontId="3" fillId="11" borderId="10" applyAlignment="1" pivotButton="0" quotePrefix="0" xfId="0">
      <alignment horizontal="left" vertical="center" wrapText="1"/>
    </xf>
    <xf numFmtId="0" fontId="0" fillId="0" borderId="11" pivotButton="0" quotePrefix="0" xfId="0"/>
    <xf numFmtId="0" fontId="0" fillId="0" borderId="12" pivotButton="0" quotePrefix="0" xfId="0"/>
    <xf numFmtId="0" fontId="5" fillId="4" borderId="13" applyAlignment="1" pivotButton="0" quotePrefix="0" xfId="0">
      <alignment horizontal="center" vertical="center" wrapText="1"/>
    </xf>
    <xf numFmtId="0" fontId="8" fillId="4" borderId="1" applyAlignment="1" pivotButton="0" quotePrefix="0" xfId="0">
      <alignment horizontal="left" vertical="center" wrapText="1"/>
    </xf>
    <xf numFmtId="0" fontId="7" fillId="4" borderId="14" applyAlignment="1" pivotButton="0" quotePrefix="0" xfId="0">
      <alignment horizontal="left" vertical="center" wrapText="1"/>
    </xf>
    <xf numFmtId="0" fontId="5" fillId="10" borderId="13" applyAlignment="1" pivotButton="0" quotePrefix="0" xfId="0">
      <alignment horizontal="center" vertical="center" wrapText="1"/>
    </xf>
    <xf numFmtId="0" fontId="7" fillId="10" borderId="14" applyAlignment="1" pivotButton="0" quotePrefix="0" xfId="0">
      <alignment horizontal="left" vertical="center" wrapText="1"/>
    </xf>
    <xf numFmtId="0" fontId="5" fillId="10" borderId="15" applyAlignment="1" pivotButton="0" quotePrefix="0" xfId="0">
      <alignment horizontal="center" vertical="center" wrapText="1"/>
    </xf>
    <xf numFmtId="0" fontId="8" fillId="10" borderId="16" applyAlignment="1" pivotButton="0" quotePrefix="0" xfId="0">
      <alignment horizontal="left" vertical="center" wrapText="1"/>
    </xf>
    <xf numFmtId="4" fontId="11" fillId="10" borderId="16" applyAlignment="1" pivotButton="0" quotePrefix="0" xfId="0">
      <alignment horizontal="right" vertical="center" wrapText="1"/>
    </xf>
    <xf numFmtId="0" fontId="8" fillId="10" borderId="16" applyAlignment="1" pivotButton="0" quotePrefix="0" xfId="0">
      <alignment horizontal="center" vertical="center" wrapText="1"/>
    </xf>
    <xf numFmtId="0" fontId="7" fillId="10" borderId="16" applyAlignment="1" pivotButton="0" quotePrefix="0" xfId="0">
      <alignment horizontal="left" vertical="center" wrapText="1"/>
    </xf>
    <xf numFmtId="0" fontId="7" fillId="10" borderId="17" applyAlignment="1" pivotButton="0" quotePrefix="0" xfId="0">
      <alignment horizontal="left" vertical="center" wrapText="1"/>
    </xf>
    <xf numFmtId="4" fontId="12" fillId="12" borderId="1" applyAlignment="1" pivotButton="0" quotePrefix="0" xfId="0">
      <alignment horizontal="right" vertical="center" wrapText="1"/>
    </xf>
    <xf numFmtId="4" fontId="13" fillId="10" borderId="1" applyAlignment="1" pivotButton="0" quotePrefix="0" xfId="0">
      <alignment horizontal="center" vertical="center" wrapText="1"/>
    </xf>
    <xf numFmtId="0" fontId="0" fillId="0" borderId="21" pivotButton="0" quotePrefix="0" xfId="0"/>
    <xf numFmtId="4" fontId="12" fillId="13" borderId="1" applyAlignment="1" pivotButton="0" quotePrefix="0" xfId="0">
      <alignment horizontal="right" vertical="center" wrapText="1"/>
    </xf>
    <xf numFmtId="3" fontId="8" fillId="4" borderId="8" applyAlignment="1" pivotButton="0" quotePrefix="0" xfId="0">
      <alignment horizontal="right" vertical="center" wrapText="1"/>
    </xf>
    <xf numFmtId="4" fontId="12" fillId="12" borderId="8" applyAlignment="1" pivotButton="0" quotePrefix="0" xfId="0">
      <alignment horizontal="right" vertical="center" wrapText="1"/>
    </xf>
    <xf numFmtId="0" fontId="0" fillId="0" borderId="22" pivotButton="0" quotePrefix="0" xfId="0"/>
    <xf numFmtId="0" fontId="7" fillId="5" borderId="14" applyAlignment="1" pivotButton="0" quotePrefix="0" xfId="0">
      <alignment horizontal="left" vertical="center" wrapText="1"/>
    </xf>
    <xf numFmtId="0" fontId="5" fillId="4" borderId="15" applyAlignment="1" pivotButton="0" quotePrefix="0" xfId="0">
      <alignment horizontal="center" vertical="center" wrapText="1"/>
    </xf>
    <xf numFmtId="0" fontId="6" fillId="5" borderId="16" applyAlignment="1" pivotButton="0" quotePrefix="0" xfId="0">
      <alignment horizontal="left" vertical="center" wrapText="1"/>
    </xf>
    <xf numFmtId="3" fontId="8" fillId="4" borderId="16" applyAlignment="1" pivotButton="0" quotePrefix="0" xfId="0">
      <alignment horizontal="right" vertical="center" wrapText="1"/>
    </xf>
    <xf numFmtId="0" fontId="6" fillId="5" borderId="16" applyAlignment="1" pivotButton="0" quotePrefix="0" xfId="0">
      <alignment horizontal="center" vertical="center" wrapText="1"/>
    </xf>
    <xf numFmtId="4" fontId="12" fillId="12" borderId="16" applyAlignment="1" pivotButton="0" quotePrefix="0" xfId="0">
      <alignment horizontal="right" vertical="center" wrapText="1"/>
    </xf>
    <xf numFmtId="4" fontId="8" fillId="4" borderId="16" applyAlignment="1" pivotButton="0" quotePrefix="0" xfId="0">
      <alignment horizontal="right" vertical="center" wrapText="1"/>
    </xf>
    <xf numFmtId="0" fontId="0" fillId="0" borderId="23" pivotButton="0" quotePrefix="0" xfId="0"/>
    <xf numFmtId="0" fontId="7" fillId="5" borderId="17" applyAlignment="1" pivotButton="0" quotePrefix="0" xfId="0">
      <alignment horizontal="left" vertical="center" wrapText="1"/>
    </xf>
    <xf numFmtId="0" fontId="8" fillId="10" borderId="1" pivotButton="0" quotePrefix="0" xfId="0"/>
    <xf numFmtId="166" fontId="8" fillId="10" borderId="1" applyAlignment="1" pivotButton="0" quotePrefix="0" xfId="0">
      <alignment horizontal="center" vertical="center" wrapText="1"/>
    </xf>
    <xf numFmtId="0" fontId="6" fillId="4" borderId="1" pivotButton="0" quotePrefix="0" xfId="0"/>
    <xf numFmtId="166" fontId="8" fillId="4" borderId="1" applyAlignment="1" pivotButton="0" quotePrefix="0" xfId="0">
      <alignment horizontal="center" vertical="center" wrapText="1"/>
    </xf>
    <xf numFmtId="0" fontId="14" fillId="2" borderId="25" applyAlignment="1" pivotButton="0" quotePrefix="0" xfId="0">
      <alignment horizontal="center" vertical="center" wrapText="1"/>
    </xf>
    <xf numFmtId="0" fontId="14" fillId="2" borderId="26" applyAlignment="1" pivotButton="0" quotePrefix="0" xfId="0">
      <alignment horizontal="left" vertical="center" wrapText="1"/>
    </xf>
    <xf numFmtId="0" fontId="14" fillId="2" borderId="26" pivotButton="0" quotePrefix="0" xfId="0"/>
    <xf numFmtId="4" fontId="14" fillId="2" borderId="26" applyAlignment="1" pivotButton="0" quotePrefix="0" xfId="0">
      <alignment horizontal="right" vertical="center" wrapText="1"/>
    </xf>
    <xf numFmtId="166" fontId="14" fillId="2" borderId="26" applyAlignment="1" pivotButton="0" quotePrefix="0" xfId="0">
      <alignment horizontal="center" vertical="center" wrapText="1"/>
    </xf>
    <xf numFmtId="0" fontId="2" fillId="2" borderId="27" applyAlignment="1" pivotButton="0" quotePrefix="0" xfId="0">
      <alignment horizontal="left" vertical="center" wrapText="1"/>
    </xf>
    <xf numFmtId="0" fontId="5" fillId="8" borderId="5" applyAlignment="1" pivotButton="0" quotePrefix="0" xfId="0">
      <alignment horizontal="center" vertical="center" wrapText="1"/>
    </xf>
    <xf numFmtId="0" fontId="0" fillId="8" borderId="1" pivotButton="0" quotePrefix="0" xfId="0"/>
    <xf numFmtId="4" fontId="11" fillId="8" borderId="1" applyAlignment="1" pivotButton="0" quotePrefix="0" xfId="0">
      <alignment horizontal="right" vertical="center" wrapText="1"/>
    </xf>
    <xf numFmtId="0" fontId="8" fillId="8" borderId="1" applyAlignment="1" pivotButton="0" quotePrefix="0" xfId="0">
      <alignment horizontal="center" vertical="center" wrapText="1"/>
    </xf>
    <xf numFmtId="0" fontId="5" fillId="8" borderId="7" applyAlignment="1" pivotButton="0" quotePrefix="0" xfId="0">
      <alignment horizontal="center" vertical="center" wrapText="1"/>
    </xf>
    <xf numFmtId="0" fontId="0" fillId="8" borderId="8" pivotButton="0" quotePrefix="0" xfId="0"/>
    <xf numFmtId="4" fontId="11" fillId="8" borderId="8" applyAlignment="1" pivotButton="0" quotePrefix="0" xfId="0">
      <alignment horizontal="right" vertical="center" wrapText="1"/>
    </xf>
    <xf numFmtId="0" fontId="8" fillId="8" borderId="8" applyAlignment="1" pivotButton="0" quotePrefix="0" xfId="0">
      <alignment horizontal="center" vertical="center" wrapText="1"/>
    </xf>
    <xf numFmtId="0" fontId="1" fillId="2" borderId="0" applyAlignment="1" pivotButton="0" quotePrefix="0" xfId="0">
      <alignment horizontal="left" vertical="center" wrapText="1"/>
    </xf>
    <xf numFmtId="0" fontId="2" fillId="3" borderId="0" applyAlignment="1" pivotButton="0" quotePrefix="0" xfId="0">
      <alignment horizontal="left" vertical="center" wrapText="1"/>
    </xf>
    <xf numFmtId="0" fontId="8" fillId="5" borderId="1" applyAlignment="1" pivotButton="0" quotePrefix="0" xfId="0">
      <alignment horizontal="center" vertical="center" wrapText="1"/>
    </xf>
    <xf numFmtId="168" fontId="6" fillId="5" borderId="1" applyAlignment="1" pivotButton="0" quotePrefix="0" xfId="0">
      <alignment horizontal="right" vertical="center" wrapText="1"/>
    </xf>
    <xf numFmtId="4" fontId="6" fillId="5" borderId="1" applyAlignment="1" pivotButton="0" quotePrefix="0" xfId="0">
      <alignment horizontal="righ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10"/>
  <sheetViews>
    <sheetView showGridLines="1" workbookViewId="0">
      <selection activeCell="A1" sqref="A1"/>
    </sheetView>
  </sheetViews>
  <sheetFormatPr baseColWidth="8" defaultRowHeight="15" outlineLevelCol="0"/>
  <cols>
    <col width="14" customWidth="1" min="1" max="1"/>
    <col width="62" customWidth="1" min="2" max="2"/>
    <col width="18" customWidth="1" min="3" max="3"/>
    <col width="14" customWidth="1" min="4" max="4"/>
    <col width="44" customWidth="1" min="5" max="5"/>
    <col width="76" customWidth="1" min="6" max="6"/>
  </cols>
  <sheetData>
    <row r="1" ht="28" customHeight="1">
      <c r="A1" s="1" t="inlineStr">
        <is>
          <t>ΕΡΓΟ: THE HUB (Μ.Π. 421) — ΠΡΟΣΩΡΙΝΟΣ ΤΟΙΧΟΣ ΑΝΤΙΣΤΗΡΙΞΗΣ ΤΥΠΟΥ 'ΒΕΡΟΛΙΝΟ' (ΣΤΟΙΧΕΙΑ ΜΕΛΕΤΗΣ &amp; ΠΟΣΟΤΗΤΕΣ ΧΩΡΙΣ €)</t>
        </is>
      </c>
    </row>
    <row r="2" ht="20" customHeight="1">
      <c r="A2" s="2" t="inlineStr">
        <is>
          <t>ΑΡΧΙΤΕΚΤΟΝΙΚΗ v8 (BOX LAYOUT): [ΚΕΦΑΛΑΙΟ Α] = RAW INPUTS, CITATIONS &amp; AUDITING | [ΚΕΦΑΛΑΙΟ Β] = 100% ΔΥΝΑΜΙΚΟΙ ΥΠΟΛΟΓΙΣΜΟΙ ΦΥΣΙΚΩΝ ΜΕΓΕΘΩΝ</t>
        </is>
      </c>
    </row>
    <row r="4" ht="24" customHeight="1">
      <c r="A4" s="3" t="inlineStr">
        <is>
          <t>🏛️ ΚΕΦΑΛΑΙΟ Α: ΣΤΟΙΧΕΙΑ ΠΟΥ ΔΙΑΒΑΣΤΗΚΑΝ ΑΠΟ ΤΗ ΜΕΛΕΤΗ (RAW INPUTS, CITATIONS &amp; ΕΛΕΓΧΟΣ ΚΑΝΟΝΩΝ)</t>
        </is>
      </c>
    </row>
    <row r="5" ht="22" customHeight="1">
      <c r="A5" s="4" t="inlineStr">
        <is>
          <t>Κουτί / Κωδ.</t>
        </is>
      </c>
      <c r="B5" s="4" t="inlineStr">
        <is>
          <t>Περιγραφή Στοιχείου Μελέτης</t>
        </is>
      </c>
      <c r="C5" s="4" t="inlineStr">
        <is>
          <t>Τιμή Μελέτης</t>
        </is>
      </c>
      <c r="D5" s="4" t="inlineStr">
        <is>
          <t>Μονάδα</t>
        </is>
      </c>
      <c r="E5" s="4" t="inlineStr">
        <is>
          <t>Πηγή Μελέτης (Σχέδιο / Σελίδα)</t>
        </is>
      </c>
      <c r="F5" s="4" t="inlineStr">
        <is>
          <t>Τεχνική Σημείωση / Έλεγχος Κανόνα (Auditing)</t>
        </is>
      </c>
    </row>
    <row r="6" ht="22" customHeight="1">
      <c r="A6" s="5" t="inlineStr">
        <is>
          <t>📦 ΚΟΥΤΙ [ΚΟΙΝΑ]: ΓΕΝΙΚΑ ΣΤΟΙΧΕΙΑ ΕΡΓΟΥ, ΣΧΑΡΕΣ, SHOTCRETE, ΛΑΜΕΣ ΣΥΝΔΕΣΗΣ &amp; ΓΩΝΙΕΣ ΣΤΗΡΙΞΗΣ</t>
        </is>
      </c>
      <c r="B6" s="6" t="n"/>
      <c r="C6" s="6" t="n"/>
      <c r="D6" s="6" t="n"/>
      <c r="E6" s="6" t="n"/>
      <c r="F6" s="7" t="n"/>
    </row>
    <row r="7" ht="22" customHeight="1">
      <c r="A7" s="8" t="inlineStr">
        <is>
          <t>ΚΟΙΝΑ</t>
        </is>
      </c>
      <c r="B7" s="9" t="inlineStr">
        <is>
          <t>Έδρα Εταιρείας (Αφετηρία Μετακινήσεων)</t>
        </is>
      </c>
      <c r="C7" s="10" t="inlineStr">
        <is>
          <t>Άγιος Συλάς, Σπύρου Κυπριανού 32, Λεμεσός</t>
        </is>
      </c>
      <c r="D7" s="11" t="inlineStr">
        <is>
          <t>-</t>
        </is>
      </c>
      <c r="E7" s="12" t="inlineStr">
        <is>
          <t>Τιμοκατάλογος Εταιρείας §1</t>
        </is>
      </c>
      <c r="F7" s="13" t="inlineStr">
        <is>
          <t>Σταθερή βάση εκκίνησης συνεργείων και μηχανημάτων (ΘΕΜΕΛΙΟΤΕΧΝΙΚΗ ΛΤΔ).</t>
        </is>
      </c>
    </row>
    <row r="8" ht="22" customHeight="1">
      <c r="A8" s="8" t="inlineStr">
        <is>
          <t>ΚΟΙΝΑ</t>
        </is>
      </c>
      <c r="B8" s="9" t="inlineStr">
        <is>
          <t>Τοποθεσία Εργοταξίου (Έργο: The Hub - Μ.Π. 421)</t>
        </is>
      </c>
      <c r="C8" s="10" t="inlineStr">
        <is>
          <t>Λεμεσός (Οδός Μισιαούλη &amp; Καβάζογλου)</t>
        </is>
      </c>
      <c r="D8" s="11" t="inlineStr">
        <is>
          <t>-</t>
        </is>
      </c>
      <c r="E8" s="12" t="inlineStr">
        <is>
          <t>Σχέδιο CB01 (Σελ. 1), Κάτοψη 1:250</t>
        </is>
      </c>
      <c r="F8" s="13" t="inlineStr">
        <is>
          <t>Οδός Μισιαούλη &amp; Καβάζογλου / Οδός Εμίρ, Τεμ. 609–615, Λεμεσός (Cybarco Development Ltd).</t>
        </is>
      </c>
    </row>
    <row r="9" ht="22" customHeight="1">
      <c r="A9" s="8" t="inlineStr">
        <is>
          <t>ΚΟΙΝΑ</t>
        </is>
      </c>
      <c r="B9" s="9" t="inlineStr">
        <is>
          <t>Χιλιομετρική Απόσταση Εργοταξίου από Έδρα</t>
        </is>
      </c>
      <c r="C9" s="14" t="n">
        <v>8</v>
      </c>
      <c r="D9" s="11" t="inlineStr">
        <is>
          <t>km</t>
        </is>
      </c>
      <c r="E9" s="12" t="inlineStr">
        <is>
          <t>Σχέδιο CB01 (Σελ. 1) / Google Maps</t>
        </is>
      </c>
      <c r="F9" s="13" t="inlineStr">
        <is>
          <t>Εντός βασικής ακτίνας 0–40 km Λεμεσού (μηδενική χιλιομετρική επιβάρυνση στρατών).</t>
        </is>
      </c>
    </row>
    <row r="10" ht="22" customHeight="1">
      <c r="A10" s="8" t="inlineStr">
        <is>
          <t>ΚΟΙΝΑ</t>
        </is>
      </c>
      <c r="B10" s="9" t="inlineStr">
        <is>
          <t>Οριζόντιο Βήμα Τοποθέτησης Νεφκών (s_c/c)</t>
        </is>
      </c>
      <c r="C10" s="15" t="n">
        <v>2</v>
      </c>
      <c r="D10" s="11" t="inlineStr">
        <is>
          <t>m</t>
        </is>
      </c>
      <c r="E10" s="12" t="inlineStr">
        <is>
          <t>Σχέδιο CD01 (Σελ. 2), Λεπτ. 1 (1:10)</t>
        </is>
      </c>
      <c r="F10" s="13" t="inlineStr">
        <is>
          <t>Αναγράφεται ρητά '2000 ΤΥΠ' (2000 mm = 2.00 m κέντρο με κέντρο) στην Τυπική Κάτοψη Τοίχου 1.</t>
        </is>
      </c>
    </row>
    <row r="11" ht="22" customHeight="1">
      <c r="A11" s="8" t="inlineStr">
        <is>
          <t>ΚΟΙΝΑ</t>
        </is>
      </c>
      <c r="B11" s="9" t="inlineStr">
        <is>
          <t>Διάμετρος Οπής Διάτρησης Μεγάλου Τρυπανιού (D_pile)</t>
        </is>
      </c>
      <c r="C11" s="15" t="n">
        <v>0.8</v>
      </c>
      <c r="D11" s="11" t="inlineStr">
        <is>
          <t>m</t>
        </is>
      </c>
      <c r="E11" s="12" t="inlineStr">
        <is>
          <t>Σχέδιο CD01 (Σελ. 2), Λεπτ. 1 &amp; 3</t>
        </is>
      </c>
      <c r="F11" s="13" t="inlineStr">
        <is>
          <t>[DEFAULT / OVERRIDE ΚΑΝΟΝΑ ΕΤΑΙΡΕΙΑΣ]: Δεν αναγράφεται αριθμητικά διάμετρος οπής στη μελέτη (σχεδιαστικά ~500mm). Εφαρμόζεται υποχρεωτικά Ø800 mm (0.80 m) βάσει κανόνα ελάχιστης διαμέτρου εταιρείας.</t>
        </is>
      </c>
    </row>
    <row r="12" ht="22" customHeight="1">
      <c r="A12" s="8" t="inlineStr">
        <is>
          <t>ΚΟΙΝΑ</t>
        </is>
      </c>
      <c r="B12" s="9" t="inlineStr">
        <is>
          <t>Τύπος Δομικού Πλέγματος Σχάρας Μετώπου</t>
        </is>
      </c>
      <c r="C12" s="10" t="inlineStr">
        <is>
          <t>A252 (B500B)</t>
        </is>
      </c>
      <c r="D12" s="11" t="inlineStr">
        <is>
          <t>-</t>
        </is>
      </c>
      <c r="E12" s="12" t="inlineStr">
        <is>
          <t>Σχέδιο CD01 (Σελ. 2), Λεπτ. 1 &amp; Υλικά §2</t>
        </is>
      </c>
      <c r="F12" s="13" t="inlineStr">
        <is>
          <t>Αναγράφεται ρητά 'ΣΧΑΡΑ ΟΠΛΙΣΜΟΥ Α252' (Λεπτ. 1) &amp; 'ΟΠΛΙΣΜΟΣ Α252 Β500Β' (Υλικά §2: Y8 @ 200×200 mm).</t>
        </is>
      </c>
    </row>
    <row r="13" ht="22" customHeight="1">
      <c r="A13" s="8" t="inlineStr">
        <is>
          <t>ΚΟΙΝΑ</t>
        </is>
      </c>
      <c r="B13" s="9" t="inlineStr">
        <is>
          <t>Διάμετρος Ράβδων Σχάρας Μετώπου (d_mesh)</t>
        </is>
      </c>
      <c r="C13" s="14" t="n">
        <v>8</v>
      </c>
      <c r="D13" s="11" t="inlineStr">
        <is>
          <t>mm</t>
        </is>
      </c>
      <c r="E13" s="12" t="inlineStr">
        <is>
          <t>Σχέδιο CD01 (Σελ. 2), Λεπτ. 1 &amp; Υλικά §2</t>
        </is>
      </c>
      <c r="F13" s="13" t="inlineStr">
        <is>
          <t>Τυποποιημένο δομικό πλέγμα A252 (ράβδοι Y8 = 8 mm, 3.95 kg/m²).</t>
        </is>
      </c>
    </row>
    <row r="14" ht="22" customHeight="1">
      <c r="A14" s="8" t="inlineStr">
        <is>
          <t>ΚΟΙΝΑ</t>
        </is>
      </c>
      <c r="B14" s="9" t="inlineStr">
        <is>
          <t>Οριζόντιο Βήμα Ράβδων Σχάρας (s_horiz)</t>
        </is>
      </c>
      <c r="C14" s="14" t="n">
        <v>200</v>
      </c>
      <c r="D14" s="11" t="inlineStr">
        <is>
          <t>mm</t>
        </is>
      </c>
      <c r="E14" s="12" t="inlineStr">
        <is>
          <t>Σχέδιο CD01 (Σελ. 2), Λεπτ. 1 &amp; Υλικά §2</t>
        </is>
      </c>
      <c r="F14" s="13" t="inlineStr">
        <is>
          <t>Τυποποιημένο βήμα πλέγματος A252 (200 mm οριζόντια).</t>
        </is>
      </c>
    </row>
    <row r="15" ht="22" customHeight="1">
      <c r="A15" s="8" t="inlineStr">
        <is>
          <t>ΚΟΙΝΑ</t>
        </is>
      </c>
      <c r="B15" s="9" t="inlineStr">
        <is>
          <t>Κάθετο Βήμα Ράβδων Σχάρας (s_vert)</t>
        </is>
      </c>
      <c r="C15" s="14" t="n">
        <v>200</v>
      </c>
      <c r="D15" s="11" t="inlineStr">
        <is>
          <t>mm</t>
        </is>
      </c>
      <c r="E15" s="12" t="inlineStr">
        <is>
          <t>Σχέδιο CD01 (Σελ. 2), Λεπτ. 1 &amp; Υλικά §2</t>
        </is>
      </c>
      <c r="F15" s="13" t="inlineStr">
        <is>
          <t>Τυποποιημένο βήμα πλέγματος A252 (200 mm κάθετα).</t>
        </is>
      </c>
    </row>
    <row r="16" ht="22" customHeight="1">
      <c r="A16" s="8" t="inlineStr">
        <is>
          <t>ΚΟΙΝΑ</t>
        </is>
      </c>
      <c r="B16" s="9" t="inlineStr">
        <is>
          <t>Κατηγορία Εκτοξευόμενου Σκυροδέματος (Shotcrete)</t>
        </is>
      </c>
      <c r="C16" s="10" t="inlineStr">
        <is>
          <t>C20/25</t>
        </is>
      </c>
      <c r="D16" s="11" t="inlineStr">
        <is>
          <t>-</t>
        </is>
      </c>
      <c r="E16" s="12" t="inlineStr">
        <is>
          <t>Σχέδιο CD01 (Σελ. 2), Λεπτ. 1 &amp; Υλικά §2</t>
        </is>
      </c>
      <c r="F16" s="13" t="inlineStr">
        <is>
          <t>[OVERRIDE / DEFAULT ΤΙΜΟΚΑΤΑΛΟΓΟΥ]: Η μελέτη ζητά C20/25 (fck=20MPa). Τιμολογείται με τη στάνταρ τιμή Shotcrete του τιμοκαταλόγου εταιρείας (90 €/m³ αγορά, 200 €/m³ βάση).</t>
        </is>
      </c>
    </row>
    <row r="17" ht="22" customHeight="1">
      <c r="A17" s="8" t="inlineStr">
        <is>
          <t>ΚΟΙΝΑ</t>
        </is>
      </c>
      <c r="B17" s="9" t="inlineStr">
        <is>
          <t>Ονομαστικό Πάχος Shotcrete Μελέτης (t_shot)</t>
        </is>
      </c>
      <c r="C17" s="15" t="n">
        <v>0.12</v>
      </c>
      <c r="D17" s="11" t="inlineStr">
        <is>
          <t>m</t>
        </is>
      </c>
      <c r="E17" s="12" t="inlineStr">
        <is>
          <t>Σχέδιο CD01 (Σελ. 2), Λεπτ. 1 (1:10)</t>
        </is>
      </c>
      <c r="F17" s="13" t="inlineStr">
        <is>
          <t>Αναγράφεται ρητά 'ΕΚΤΟΞΕΥΟΜΕΝΟ ΣΚΥΡΟΔΕΜΑ C20/25 ΜΕΣΟ ΠΑΧΟΣ 120mm' (0.12 m).</t>
        </is>
      </c>
    </row>
    <row r="18" ht="22" customHeight="1">
      <c r="A18" s="8" t="inlineStr">
        <is>
          <t>ΚΟΙΝΑ</t>
        </is>
      </c>
      <c r="B18" s="9" t="inlineStr">
        <is>
          <t>Πάγια Απώλεια / Αναπήδηση Shotcrete Εταιρείας (t_loss)</t>
        </is>
      </c>
      <c r="C18" s="15" t="n">
        <v>0.05</v>
      </c>
      <c r="D18" s="11" t="inlineStr">
        <is>
          <t>m</t>
        </is>
      </c>
      <c r="E18" s="12" t="inlineStr">
        <is>
          <t>Κανόνας Εταιρείας / Τιμοκατάλογος §Β</t>
        </is>
      </c>
      <c r="F18" s="13" t="inlineStr">
        <is>
          <t>[DEFAULT ΕΤΑΙΡΕΙΑΣ]: +0.05 m (+5 cm) πάγια προσαύξηση πάχους για αναπήδηση/υπερκατανάλωση (ενσωματώνεται στην τιμή εφαρμογής €/m³).</t>
        </is>
      </c>
    </row>
    <row r="19" ht="22" customHeight="1">
      <c r="A19" s="8" t="inlineStr">
        <is>
          <t>ΚΟΙΝΑ</t>
        </is>
      </c>
      <c r="B19" s="9" t="inlineStr">
        <is>
          <t>Κατακόρυφο Βήμα Λαμών Σύνδεσης Νεφκών (s_plate)</t>
        </is>
      </c>
      <c r="C19" s="15" t="n">
        <v>2</v>
      </c>
      <c r="D19" s="11" t="inlineStr">
        <is>
          <t>m</t>
        </is>
      </c>
      <c r="E19" s="12" t="inlineStr">
        <is>
          <t>Σχέδιο CD01 (Σελ. 2), Λεπτ. 1 &amp; Λεπτ. 2</t>
        </is>
      </c>
      <c r="F19" s="13" t="inlineStr">
        <is>
          <t>Αναγράφεται 'ΑΝΑ 2000mm ΚΑΘ' ΥΨΟΣ' (Λεπτ. 1) και 'ΠΕΡΙΠΟΥ ΑΝΑ 2m ΚΑΘ' ΥΨΟΣ' (Λεπτ. 2).</t>
        </is>
      </c>
    </row>
    <row r="20" ht="22" customHeight="1">
      <c r="A20" s="8" t="inlineStr">
        <is>
          <t>ΚΟΙΝΑ</t>
        </is>
      </c>
      <c r="B20" s="9" t="inlineStr">
        <is>
          <t>Πλάτος Λάμας Σύνδεσης Νεφκών (b_plate)</t>
        </is>
      </c>
      <c r="C20" s="14" t="n">
        <v>350</v>
      </c>
      <c r="D20" s="11" t="inlineStr">
        <is>
          <t>mm</t>
        </is>
      </c>
      <c r="E20" s="12" t="inlineStr">
        <is>
          <t>Σχέδιο CD01 (Σελ. 2), Λεπτ. 1 &amp; Λεπτ. 2</t>
        </is>
      </c>
      <c r="F20" s="13" t="inlineStr">
        <is>
          <t>Αναγράφεται 350 mm (350x100x10 στη Λεπτ. 1 και 350x100x6 στη Λεπτ. 2).</t>
        </is>
      </c>
    </row>
    <row r="21" ht="22" customHeight="1">
      <c r="A21" s="8" t="inlineStr">
        <is>
          <t>ΚΟΙΝΑ</t>
        </is>
      </c>
      <c r="B21" s="9" t="inlineStr">
        <is>
          <t>Μήκος / Ύψος Λάμας Σύνδεσης Νεφκών (h_plate)</t>
        </is>
      </c>
      <c r="C21" s="14" t="n">
        <v>100</v>
      </c>
      <c r="D21" s="11" t="inlineStr">
        <is>
          <t>mm</t>
        </is>
      </c>
      <c r="E21" s="12" t="inlineStr">
        <is>
          <t>Σχέδιο CD01 (Σελ. 2), Λεπτ. 1 &amp; Λεπτ. 2</t>
        </is>
      </c>
      <c r="F21" s="13" t="inlineStr">
        <is>
          <t>Αναγράφεται 100 mm (350x100x10 στη Λεπτ. 1 και 350x100x6 στη Λεπτ. 2).</t>
        </is>
      </c>
    </row>
    <row r="22" ht="34" customHeight="1">
      <c r="A22" s="8" t="inlineStr">
        <is>
          <t>ΚΟΙΝΑ</t>
        </is>
      </c>
      <c r="B22" s="16" t="inlineStr">
        <is>
          <t>Πάχος Λάμας Σύνδεσης Νεφκών (t_plate)</t>
        </is>
      </c>
      <c r="C22" s="17" t="n">
        <v>10</v>
      </c>
      <c r="D22" s="18" t="inlineStr">
        <is>
          <t>mm</t>
        </is>
      </c>
      <c r="E22" s="19" t="inlineStr">
        <is>
          <t>Σχέδιο CD01 (Σελ. 2), Λεπτ. 1 vs Λεπτ. 2</t>
        </is>
      </c>
      <c r="F22" s="20" t="inlineStr">
        <is>
          <t>[!!! ΣΥΓΚΡΟΥΣΗ ΜΕΛΕΤΗΣ !!!]: Στη Λεπτ. 1 (Τυπική Κάτοψη 1:10) αναγράφεται '350x100x10' (10mm), ενώ στη Λεπτ. 2 (Τυπική Όψη 1:50) αναγράφεται '350x100x6' (6mm). Βάσει Κανόνα 3.3 επιλέγεται υποχρεωτικά το στατικά ασφαλέστερο πάχος 10 mm!</t>
        </is>
      </c>
    </row>
    <row r="23" ht="22" customHeight="1">
      <c r="A23" s="8" t="inlineStr">
        <is>
          <t>ΚΟΙΝΑ</t>
        </is>
      </c>
      <c r="B23" s="21">
        <f>"Βάρος 1 Λάμας Σύνδεσης (" &amp; C20 &amp; "×" &amp; C21 &amp; "×" &amp; C22 &amp; " mm)"</f>
        <v/>
      </c>
      <c r="C23" s="22">
        <f>ROUND((C20/1000)*(C21/1000)*(C22/1000)*7850, 4)</f>
        <v/>
      </c>
      <c r="D23" s="23" t="inlineStr">
        <is>
          <t>kg / τεμ.</t>
        </is>
      </c>
      <c r="E23" s="24" t="inlineStr">
        <is>
          <t>Μαθηματικός Τύπος (Κανόνας 3.2.1)</t>
        </is>
      </c>
      <c r="F23" s="25">
        <f>"= (" &amp; C20 &amp; "/1000) × (" &amp; C21 &amp; "/1000) × (" &amp; C22 &amp; "/1000) × 7850 = " &amp; TEXT(C23,"0.0000") &amp; " kg/τεμ. (100% δυναμικός υπολογισμός)"</f>
        <v/>
      </c>
    </row>
    <row r="24" ht="22" customHeight="1">
      <c r="A24" s="8" t="inlineStr">
        <is>
          <t>ΚΟΙΝΑ</t>
        </is>
      </c>
      <c r="B24" s="9" t="inlineStr">
        <is>
          <t>Ύπαρξη Γωνιών Στήριξης Σχάρας στο Σχέδιο (L-Angles)</t>
        </is>
      </c>
      <c r="C24" s="10" t="inlineStr">
        <is>
          <t>ΝΑΙ</t>
        </is>
      </c>
      <c r="D24" s="11" t="inlineStr">
        <is>
          <t>-</t>
        </is>
      </c>
      <c r="E24" s="12" t="inlineStr">
        <is>
          <t>Σχέδιο CD01 (Σελ. 2), Λεπτ. 1 (1:10)</t>
        </is>
      </c>
      <c r="F24" s="13" t="inlineStr">
        <is>
          <t>Αναγράφεται ρητά 'L70x6 ΚΑΘ' ΥΨΟΣ' στις δύο παρειές του ζεύγους UPN 240 στην Τυπική Κάτοψη 1.</t>
        </is>
      </c>
    </row>
    <row r="25" ht="22" customHeight="1">
      <c r="A25" s="8" t="inlineStr">
        <is>
          <t>ΚΟΙΝΑ</t>
        </is>
      </c>
      <c r="B25" s="9" t="inlineStr">
        <is>
          <t>Διατομή Γωνιών Στήριξης Σχάρας</t>
        </is>
      </c>
      <c r="C25" s="10" t="inlineStr">
        <is>
          <t>L 70x70x6</t>
        </is>
      </c>
      <c r="D25" s="11" t="inlineStr">
        <is>
          <t>-</t>
        </is>
      </c>
      <c r="E25" s="12" t="inlineStr">
        <is>
          <t>Σχέδιο CD01 (Σελ. 2), Λεπτ. 1 &amp; Φύλλο 3</t>
        </is>
      </c>
      <c r="F25" s="13" t="inlineStr">
        <is>
          <t>Ισοσκελής γωνία L 70x70x6 (βλ. Φύλλο 3, Γραμμή 44).</t>
        </is>
      </c>
    </row>
    <row r="26" ht="22" customHeight="1">
      <c r="A26" s="26" t="inlineStr">
        <is>
          <t>ΚΟΙΝΑ</t>
        </is>
      </c>
      <c r="B26" s="27">
        <f>"Θεωρητικό Βάρος Γωνίας Στήριξης (" &amp; C25 &amp; ")"</f>
        <v/>
      </c>
      <c r="C26" s="28">
        <f>'3_Πίνακες_Διατομών_Χάλυβα'!G44</f>
        <v/>
      </c>
      <c r="D26" s="29" t="inlineStr">
        <is>
          <t>kg / m</t>
        </is>
      </c>
      <c r="E26" s="30" t="inlineStr">
        <is>
          <t>Φύλλο 3 (Πίνακας Γωνιών L, Γρ. 44)</t>
        </is>
      </c>
      <c r="F26" s="31">
        <f>"= " &amp; TEXT(C26,"0.00") &amp; " kg/m από Βιβλιοθήκη Διατομών (2 γωνιές ανά οπή καθ' όλο το ελεύθερο ύψος H_exc)."</f>
        <v/>
      </c>
    </row>
    <row r="28" ht="24" customHeight="1">
      <c r="A28" s="32">
        <f>"📦 ΚΟΥΤΙ [TYPE A]: ΠΕΡΙΜΕΤΡΙΚΟΣ ΤΟΙΧΟΣ ΑΝΤΙΣΤΗΡΙΞΗΣ ΤΥΠΟΥ 'ΒΕΡΟΛΙΝΟ' (" &amp; C32 &amp; " × " &amp; C31 &amp; " | L = " &amp; TEXT(C30,"#,##0.00") &amp; " m | H_exc = " &amp; TEXT(C35,"0.00") &amp; " m)"</f>
        <v/>
      </c>
      <c r="B28" s="6" t="n"/>
      <c r="C28" s="6" t="n"/>
      <c r="D28" s="6" t="n"/>
      <c r="E28" s="6" t="n"/>
      <c r="F28" s="7" t="n"/>
    </row>
    <row r="29" ht="22" customHeight="1">
      <c r="A29" s="8" t="inlineStr">
        <is>
          <t>TYPE A</t>
        </is>
      </c>
      <c r="B29" s="9" t="inlineStr">
        <is>
          <t>Πλήθος Οπών / Νεφκών Μετώπου Type A (N_piles)</t>
        </is>
      </c>
      <c r="C29" s="14" t="n">
        <v>120</v>
      </c>
      <c r="D29" s="11" t="inlineStr">
        <is>
          <t>οπές</t>
        </is>
      </c>
      <c r="E29" s="12" t="inlineStr">
        <is>
          <t>Σχέδιο CB01 (1:250) &amp; Σχέδιο CD01 (1:500)</t>
        </is>
      </c>
      <c r="F29" s="13">
        <f>"Καταμέτρηση OpenCV επί της περιμέτρου υπογείου (240.00 m / " &amp; TEXT(C10,"0.00") &amp; " m c/c = " &amp; C29 &amp; " οπές/νέφκες)."</f>
        <v/>
      </c>
    </row>
    <row r="30" ht="22" customHeight="1">
      <c r="A30" s="8" t="inlineStr">
        <is>
          <t>TYPE A</t>
        </is>
      </c>
      <c r="B30" s="21">
        <f>"Αναπτυγμένο Μήκος Μετώπου Type A (" &amp; C29 &amp; " × " &amp; TEXT(C10,"0.00") &amp; " m)"</f>
        <v/>
      </c>
      <c r="C30" s="33">
        <f>ROUND(C29*C10, 2)</f>
        <v/>
      </c>
      <c r="D30" s="23" t="inlineStr">
        <is>
          <t>m</t>
        </is>
      </c>
      <c r="E30" s="24" t="inlineStr">
        <is>
          <t>Σχέδιο CB01 (1:250) &amp; Σχέδιο CD01 (Λεπτ. 1)</t>
        </is>
      </c>
      <c r="F30" s="25">
        <f>"= " &amp; C29 &amp; " διαστήματα × " &amp; TEXT(C10,"0.00") &amp; " m c/c = " &amp; TEXT(C30,"#,##0.00") &amp; " m συνολική περίμετρος αντιστήριξης."</f>
        <v/>
      </c>
    </row>
    <row r="31" ht="22" customHeight="1">
      <c r="A31" s="8" t="inlineStr">
        <is>
          <t>TYPE A</t>
        </is>
      </c>
      <c r="B31" s="9" t="inlineStr">
        <is>
          <t>Τύπος Χαλύβδινης Διατομής Νέφκας (S275)</t>
        </is>
      </c>
      <c r="C31" s="10" t="inlineStr">
        <is>
          <t>UPN 240</t>
        </is>
      </c>
      <c r="D31" s="11" t="inlineStr">
        <is>
          <t>-</t>
        </is>
      </c>
      <c r="E31" s="12" t="inlineStr">
        <is>
          <t>Σχέδιο CD01 (Σελ. 2), Λεπτ. 1 &amp; Υλικά §3</t>
        </is>
      </c>
      <c r="F31" s="13" t="inlineStr">
        <is>
          <t>Αναγράφεται ρητά 'UPN 240' στην Τυπική Κάτοψη 1 &amp; 'ΚΑΤΗΓΟΡΙΑ ΧΑΛΥΒΑ S275' στα Υλικά §3.</t>
        </is>
      </c>
    </row>
    <row r="32" ht="22" customHeight="1">
      <c r="A32" s="8" t="inlineStr">
        <is>
          <t>TYPE A</t>
        </is>
      </c>
      <c r="B32" s="9" t="inlineStr">
        <is>
          <t>Πλήθος Προφίλ ανά Οπή Νέφκας (Ζεύγος UPN)</t>
        </is>
      </c>
      <c r="C32" s="14" t="n">
        <v>2</v>
      </c>
      <c r="D32" s="11" t="inlineStr">
        <is>
          <t>προφίλ/οπή</t>
        </is>
      </c>
      <c r="E32" s="12" t="inlineStr">
        <is>
          <t>Σχέδιο CD01 (Σελ. 2), Λεπτ. 1, 2, 5 &amp; 7</t>
        </is>
      </c>
      <c r="F32" s="13" t="inlineStr">
        <is>
          <t>Ζεύγος (2 τεμάχια) UPN 240 ανά διάτρημα σε διάταξη πλάτη-με-πλάτη ώστε να διέρχονται τα αγκύρια.</t>
        </is>
      </c>
    </row>
    <row r="33" ht="22" customHeight="1">
      <c r="A33" s="8" t="inlineStr">
        <is>
          <t>TYPE A</t>
        </is>
      </c>
      <c r="B33" s="21">
        <f>"Θεωρητικό Βάρος 1 Προφίλ (" &amp; C31 &amp; ")"</f>
        <v/>
      </c>
      <c r="C33" s="33">
        <f>'3_Πίνακες_Διατομών_Χάλυβα'!G35</f>
        <v/>
      </c>
      <c r="D33" s="23" t="inlineStr">
        <is>
          <t>kg / m</t>
        </is>
      </c>
      <c r="E33" s="24" t="inlineStr">
        <is>
          <t>Φύλλο 3 (Πίνακας UPN, Γρ. 35)</t>
        </is>
      </c>
      <c r="F33" s="25">
        <f>"= " &amp; TEXT(C33,"0.00") &amp; " kg/m ανά προφίλ " &amp; C31 &amp; " από Βιβλιοθήκη Διατομών Χάλυβα."</f>
        <v/>
      </c>
    </row>
    <row r="34" ht="22" customHeight="1">
      <c r="A34" s="8" t="inlineStr">
        <is>
          <t>TYPE A</t>
        </is>
      </c>
      <c r="B34" s="21">
        <f>"Συνολικό Βάρος Νέφκας ανά Μέτρο Οπής (" &amp; C32 &amp; " × " &amp; C31 &amp; ")"</f>
        <v/>
      </c>
      <c r="C34" s="33">
        <f>ROUND(C32*C33, 2)</f>
        <v/>
      </c>
      <c r="D34" s="23" t="inlineStr">
        <is>
          <t>kg / m</t>
        </is>
      </c>
      <c r="E34" s="24" t="inlineStr">
        <is>
          <t>Μαθηματικός Τύπος (C32 × C33)</t>
        </is>
      </c>
      <c r="F34" s="25">
        <f>"= " &amp; C32 &amp; " προφίλ × " &amp; TEXT(C33,"0.00") &amp; " kg/m = " &amp; TEXT(C34,"0.00") &amp; " kg/m ανά μέτρο νέφκας."</f>
        <v/>
      </c>
    </row>
    <row r="35" ht="22" customHeight="1">
      <c r="A35" s="8" t="inlineStr">
        <is>
          <t>TYPE A</t>
        </is>
      </c>
      <c r="B35" s="9" t="inlineStr">
        <is>
          <t>Ελεύθερο Ύψος Εκσκαφής Μετώπου (H_exc)</t>
        </is>
      </c>
      <c r="C35" s="15" t="n">
        <v>8.5</v>
      </c>
      <c r="D35" s="11" t="inlineStr">
        <is>
          <t>m</t>
        </is>
      </c>
      <c r="E35" s="12" t="inlineStr">
        <is>
          <t>Σχέδιο CD01 (Σελ. 2), Λεπτ. 2 (1:50) &amp; Λεπτ. 3</t>
        </is>
      </c>
      <c r="F35" s="13" t="inlineStr">
        <is>
          <t>Ανεξάρτητο Raw Input (Κανόνας 3.5): Αναγράφεται ρητά 8500 mm (= 1000 + 2000 + 2500 + 3000 mm = 8.50 m).</t>
        </is>
      </c>
    </row>
    <row r="36" ht="22" customHeight="1">
      <c r="A36" s="8" t="inlineStr">
        <is>
          <t>TYPE A</t>
        </is>
      </c>
      <c r="B36" s="9" t="inlineStr">
        <is>
          <t>Ύψος Πάκτωσης Σκυροδέματος C30/37 στη Βάση (H_embed)</t>
        </is>
      </c>
      <c r="C36" s="15" t="n">
        <v>3.5</v>
      </c>
      <c r="D36" s="11" t="inlineStr">
        <is>
          <t>m</t>
        </is>
      </c>
      <c r="E36" s="12" t="inlineStr">
        <is>
          <t>Σχέδιο CD01 (Σελ. 2), Λεπτ. 2 &amp; Λεπτ. 3</t>
        </is>
      </c>
      <c r="F36" s="13" t="inlineStr">
        <is>
          <t>Ανεξάρτητο Raw Input (Κανόνας 3.5): Υπόγειο τμήμα 12000 - 8500 = 3500 mm (3.50 m) πληρωμένο με σκυρόδεμα C30/37.</t>
        </is>
      </c>
    </row>
    <row r="37" ht="22" customHeight="1">
      <c r="A37" s="8" t="inlineStr">
        <is>
          <t>TYPE A</t>
        </is>
      </c>
      <c r="B37" s="9" t="inlineStr">
        <is>
          <t>Συνολικό Μήκος Χαλύβδινης Νέφκας Μελέτης (L_beam)</t>
        </is>
      </c>
      <c r="C37" s="15" t="n">
        <v>12</v>
      </c>
      <c r="D37" s="11" t="inlineStr">
        <is>
          <t>m</t>
        </is>
      </c>
      <c r="E37" s="12" t="inlineStr">
        <is>
          <t>Σχέδιο CD01 (Σελ. 2), Λεπτ. 2 (1:50) &amp; Λεπτ. 3</t>
        </is>
      </c>
      <c r="F37" s="13" t="inlineStr">
        <is>
          <t>Ανεξάρτητο Raw Input (Κανόνας 3.5): Αναγράφεται ρητά 12000 mm (12.00 m) τόσο στην Τυπική Όψη 2 όσο και στην Τυπική Τομή 3.</t>
        </is>
      </c>
    </row>
    <row r="38" ht="34" customHeight="1">
      <c r="A38" s="8" t="inlineStr">
        <is>
          <t>TYPE A</t>
        </is>
      </c>
      <c r="B38" s="34" t="inlineStr">
        <is>
          <t>Ύψος Εκσκαφής / Διάτρησης Νέφκας βάσει WPL / Cut-Off Level (L_drill_WPL)</t>
        </is>
      </c>
      <c r="C38" s="35" t="n"/>
      <c r="D38" s="36" t="inlineStr">
        <is>
          <t>m</t>
        </is>
      </c>
      <c r="E38" s="37" t="inlineStr">
        <is>
          <t>Έλεγχος WPL / Cut-Off Level (Κανόνας 3.8)</t>
        </is>
      </c>
      <c r="F38" s="38">
        <f>IF(ISBLANK(C38), "[!!! ΕΛΛΕΙΨΗ WPL / CUT-OFF LEVEL — ΚΟΚΚΙΝΟ ΚΕΛΙ !!!]: Δεν δόθηκε WPL / Cut-Off Level στη μελέτη. Θεωρείται ότι το ύψος εκσκαφής/διάτρησης ισούται με το μήκος της νέφκας (" &amp; TEXT(C37,"0.00") &amp; " m). Συμπληρώστε εδώ το ύψος εκσκαφής βάσει WPL αν διαφέρει!", "[ΕΦΑΡΜΟΓΗ WPL / CUT-OFF LEVEL]: Το ύψος εκσκαφής/διάτρησης νεφκών ορίστηκε βάσει WPL σε " &amp; TEXT(C38,"0.00") &amp; " m (αντί " &amp; TEXT(C37,"0.00") &amp; " m της νέφκας χάλυβα).")</f>
        <v/>
      </c>
    </row>
    <row r="39" ht="22" customHeight="1">
      <c r="A39" s="8" t="inlineStr">
        <is>
          <t>TYPE A</t>
        </is>
      </c>
      <c r="B39" s="21" t="inlineStr">
        <is>
          <t>Ενεργό Ύψος Διάτρησης Μεγάλου Τρυπανιού (L_drill_active)</t>
        </is>
      </c>
      <c r="C39" s="33">
        <f>IF(ISBLANK(C38), C37, C38)</f>
        <v/>
      </c>
      <c r="D39" s="23" t="inlineStr">
        <is>
          <t>m / οπή</t>
        </is>
      </c>
      <c r="E39" s="24" t="inlineStr">
        <is>
          <t>Κανόνας 3.8: =IF(ISBLANK(WPL), L_beam, WPL)</t>
        </is>
      </c>
      <c r="F39" s="25">
        <f>"= " &amp; TEXT(C39,"0.00") &amp; " m/οπή (καθορίζει αποκλειστικά τα μέτρα διάτρησης A.1 και τα κυβικά εκσκαφής A.1α)."</f>
        <v/>
      </c>
    </row>
    <row r="40" ht="22" customHeight="1">
      <c r="A40" s="8" t="inlineStr">
        <is>
          <t>TYPE A</t>
        </is>
      </c>
      <c r="B40" s="9" t="inlineStr">
        <is>
          <t>Πλήθος Οριζόντιων Σειρών Αγκυρώσεων Type A</t>
        </is>
      </c>
      <c r="C40" s="14" t="n">
        <v>3</v>
      </c>
      <c r="D40" s="11" t="inlineStr">
        <is>
          <t>σειρές</t>
        </is>
      </c>
      <c r="E40" s="12" t="inlineStr">
        <is>
          <t>Σχέδιο CD01 (Σελ. 2), Λεπτ. 2 &amp; Λεπτ. 3</t>
        </is>
      </c>
      <c r="F40" s="13" t="inlineStr">
        <is>
          <t>3 οριζόντιες σειρές προεντεταμένων αγκυρίων σε βάθη -1.00 m, -3.00 m και -5.50 m από τη στέψη (κλίση 27° ΤΥΠ).</t>
        </is>
      </c>
    </row>
    <row r="41" ht="22" customHeight="1">
      <c r="A41" s="8" t="inlineStr">
        <is>
          <t>TYPE A</t>
        </is>
      </c>
      <c r="B41" s="21" t="inlineStr">
        <is>
          <t>Πλήθος Αγκυρώσεων 1ης Σειράς (Βάθος -1.00m, Stress 150kN)</t>
        </is>
      </c>
      <c r="C41" s="39">
        <f>C29</f>
        <v/>
      </c>
      <c r="D41" s="23" t="inlineStr">
        <is>
          <t>τεμ.</t>
        </is>
      </c>
      <c r="E41" s="24" t="inlineStr">
        <is>
          <t>Σχέδιο CD01 (Σελ. 2), Λεπτ. 1, 2 &amp; 3</t>
        </is>
      </c>
      <c r="F41" s="25">
        <f>"= " &amp; C41 &amp; " αγκυρώσεις (1 αγκύριο ανά νέφκα στη Σειρά 1, δυναμικά συνδεδεμένο με C29)."</f>
        <v/>
      </c>
    </row>
    <row r="42" ht="22" customHeight="1">
      <c r="A42" s="8" t="inlineStr">
        <is>
          <t>TYPE A</t>
        </is>
      </c>
      <c r="B42" s="9" t="inlineStr">
        <is>
          <t>Ελεύθερο Μήκος Αγκυρίου 1ης Σειράς (L_free_1)</t>
        </is>
      </c>
      <c r="C42" s="15" t="n">
        <v>4</v>
      </c>
      <c r="D42" s="11" t="inlineStr">
        <is>
          <t>m</t>
        </is>
      </c>
      <c r="E42" s="12" t="inlineStr">
        <is>
          <t>Σχέδιο CD01 (Σελ. 2), Λεπτ. 4 (ΧΚ)</t>
        </is>
      </c>
      <c r="F42" s="13" t="inlineStr">
        <is>
          <t>Αναγράφεται ρητά '4000' (4.00 m) στο πρώτο τμήμα του αγκυρίου από την παρειά του τοίχου έως τον βολβό πάκτωσης.</t>
        </is>
      </c>
    </row>
    <row r="43" ht="22" customHeight="1">
      <c r="A43" s="8" t="inlineStr">
        <is>
          <t>TYPE A</t>
        </is>
      </c>
      <c r="B43" s="9" t="inlineStr">
        <is>
          <t>Πακτωμένο Μήκος Αγκυρίου 1ης Σειράς (L_bond_1)</t>
        </is>
      </c>
      <c r="C43" s="15" t="n">
        <v>12</v>
      </c>
      <c r="D43" s="11" t="inlineStr">
        <is>
          <t>m</t>
        </is>
      </c>
      <c r="E43" s="12" t="inlineStr">
        <is>
          <t>Σχέδιο CD01 (Σελ. 2), Λεπτ. 4 (ΧΚ)</t>
        </is>
      </c>
      <c r="F43" s="13" t="inlineStr">
        <is>
          <t>Αναγράφεται ρητά '12000 ΠΑΚΤΩΜΕΝΟ ΜΗΚΟΣ ΑΓΚΥΡΙΟΥ' (12.00 m) κατά μήκος του βολβού ενέματος πάκτωσης.</t>
        </is>
      </c>
    </row>
    <row r="44" ht="22" customHeight="1">
      <c r="A44" s="8" t="inlineStr">
        <is>
          <t>TYPE A</t>
        </is>
      </c>
      <c r="B44" s="21">
        <f>"Συνολικό Μήκος Διάτρησης Αγκυρίου 1ης Σειράς (" &amp; TEXT(C42,"0.00") &amp; "+" &amp; TEXT(C43,"0.00") &amp; "m)"</f>
        <v/>
      </c>
      <c r="C44" s="33">
        <f>ROUND(C42+C43, 2)</f>
        <v/>
      </c>
      <c r="D44" s="23" t="inlineStr">
        <is>
          <t>m / οπή</t>
        </is>
      </c>
      <c r="E44" s="24" t="inlineStr">
        <is>
          <t>Σχέδιο CD01 (Σελ. 2), Λεπτ. 4 (4000+12000)</t>
        </is>
      </c>
      <c r="F44" s="25">
        <f>"= " &amp; TEXT(C42,"0.00") &amp; " m ελεύθερο + " &amp; TEXT(C43,"0.00") &amp; " m πακτωμένο = " &amp; TEXT(C44,"0.00") &amp; " m συνολικό βάθος διάτρησης."</f>
        <v/>
      </c>
    </row>
    <row r="45" ht="22" customHeight="1">
      <c r="A45" s="8" t="inlineStr">
        <is>
          <t>TYPE A</t>
        </is>
      </c>
      <c r="B45" s="9" t="inlineStr">
        <is>
          <t>Πλήθος Τενόντων (Strands 0.6'') ανά Οπή 1ης Σειράς</t>
        </is>
      </c>
      <c r="C45" s="14" t="n">
        <v>3</v>
      </c>
      <c r="D45" s="11" t="inlineStr">
        <is>
          <t>τεμ. / οπή</t>
        </is>
      </c>
      <c r="E45" s="12" t="inlineStr">
        <is>
          <t>Σχέδιο CD01 (Σελ. 2), Λεπτ. 3 &amp; Υλικά §1</t>
        </is>
      </c>
      <c r="F45" s="13" t="inlineStr">
        <is>
          <t>Αναγράφεται ρητά '3 x TENDONS, STRESS 150kN' (τένοντες S 1570/1770, d=15.3mm / 0.6'').</t>
        </is>
      </c>
    </row>
    <row r="46" ht="22" customHeight="1">
      <c r="A46" s="8" t="inlineStr">
        <is>
          <t>TYPE A</t>
        </is>
      </c>
      <c r="B46" s="21" t="inlineStr">
        <is>
          <t>Πλήθος Αγκυρώσεων 2ης Σειράς (Βάθος -3.00m, Stress 270kN)</t>
        </is>
      </c>
      <c r="C46" s="39">
        <f>C29</f>
        <v/>
      </c>
      <c r="D46" s="23" t="inlineStr">
        <is>
          <t>τεμ.</t>
        </is>
      </c>
      <c r="E46" s="24" t="inlineStr">
        <is>
          <t>Σχέδιο CD01 (Σελ. 2), Λεπτ. 1, 2 &amp; 3</t>
        </is>
      </c>
      <c r="F46" s="25">
        <f>"= " &amp; C46 &amp; " αγκυρώσεις (1 αγκύριο ανά νέφκα στη Σειρά 2, δυναμικά συνδεδεμένο με C29)."</f>
        <v/>
      </c>
    </row>
    <row r="47" ht="22" customHeight="1">
      <c r="A47" s="8" t="inlineStr">
        <is>
          <t>TYPE A</t>
        </is>
      </c>
      <c r="B47" s="9" t="inlineStr">
        <is>
          <t>Ελεύθερο Μήκος Αγκυρίου 2ης Σειράς (L_free_2)</t>
        </is>
      </c>
      <c r="C47" s="15" t="n">
        <v>4</v>
      </c>
      <c r="D47" s="11" t="inlineStr">
        <is>
          <t>m</t>
        </is>
      </c>
      <c r="E47" s="12" t="inlineStr">
        <is>
          <t>Σχέδιο CD01 (Σελ. 2), Λεπτ. 3 &amp; Λεπτ. 4</t>
        </is>
      </c>
      <c r="F47" s="13" t="inlineStr">
        <is>
          <t>Αναγράφεται '4000' (4.00 m) στην Τυπική Λεπτομέρεια Αγκυρίου 4.</t>
        </is>
      </c>
    </row>
    <row r="48" ht="22" customHeight="1">
      <c r="A48" s="8" t="inlineStr">
        <is>
          <t>TYPE A</t>
        </is>
      </c>
      <c r="B48" s="9" t="inlineStr">
        <is>
          <t>Πακτωμένο Μήκος Αγκυρίου 2ης Σειράς (L_bond_2)</t>
        </is>
      </c>
      <c r="C48" s="15" t="n">
        <v>12</v>
      </c>
      <c r="D48" s="11" t="inlineStr">
        <is>
          <t>m</t>
        </is>
      </c>
      <c r="E48" s="12" t="inlineStr">
        <is>
          <t>Σχέδιο CD01 (Σελ. 2), Λεπτ. 3 &amp; Λεπτ. 4</t>
        </is>
      </c>
      <c r="F48" s="13" t="inlineStr">
        <is>
          <t>Αναγράφεται '12000' (12.00 m) στην Τυπική Λεπτομέρεια Αγκυρίου 4.</t>
        </is>
      </c>
    </row>
    <row r="49" ht="22" customHeight="1">
      <c r="A49" s="8" t="inlineStr">
        <is>
          <t>TYPE A</t>
        </is>
      </c>
      <c r="B49" s="21">
        <f>"Συνολικό Μήκος Διάτρησης Αγκυρίου 2ης Σειράς (" &amp; TEXT(C47,"0.00") &amp; "+" &amp; TEXT(C48,"0.00") &amp; "m)"</f>
        <v/>
      </c>
      <c r="C49" s="33">
        <f>ROUND(C47+C48, 2)</f>
        <v/>
      </c>
      <c r="D49" s="23" t="inlineStr">
        <is>
          <t>m / οπή</t>
        </is>
      </c>
      <c r="E49" s="24" t="inlineStr">
        <is>
          <t>Σχέδιο CD01 (Σελ. 2), Λεπτ. 4 (4000+12000)</t>
        </is>
      </c>
      <c r="F49" s="25">
        <f>"= " &amp; TEXT(C47,"0.00") &amp; " m ελεύθερο + " &amp; TEXT(C48,"0.00") &amp; " m πακτωμένο = " &amp; TEXT(C49,"0.00") &amp; " m συνολικό βάθος διάτρησης."</f>
        <v/>
      </c>
    </row>
    <row r="50" ht="22" customHeight="1">
      <c r="A50" s="8" t="inlineStr">
        <is>
          <t>TYPE A</t>
        </is>
      </c>
      <c r="B50" s="9" t="inlineStr">
        <is>
          <t>Πλήθος Τενόντων (Strands 0.6'') ανά Οπή 2ης Σειράς</t>
        </is>
      </c>
      <c r="C50" s="14" t="n">
        <v>3</v>
      </c>
      <c r="D50" s="11" t="inlineStr">
        <is>
          <t>τεμ. / οπή</t>
        </is>
      </c>
      <c r="E50" s="12" t="inlineStr">
        <is>
          <t>Σχέδιο CD01 (Σελ. 2), Λεπτ. 3 &amp; Υλικά §1</t>
        </is>
      </c>
      <c r="F50" s="13" t="inlineStr">
        <is>
          <t>Αναγράφεται ρητά '3 x TENDONS, STRESS 270kN' (τένοντες S 1570/1770, d=15.3mm / 0.6'').</t>
        </is>
      </c>
    </row>
    <row r="51" ht="22" customHeight="1">
      <c r="A51" s="8" t="inlineStr">
        <is>
          <t>TYPE A</t>
        </is>
      </c>
      <c r="B51" s="21" t="inlineStr">
        <is>
          <t>Πλήθος Αγκυρώσεων 3ης Σειράς (Βάθος -5.50m, Stress 300kN)</t>
        </is>
      </c>
      <c r="C51" s="39">
        <f>C29</f>
        <v/>
      </c>
      <c r="D51" s="23" t="inlineStr">
        <is>
          <t>τεμ.</t>
        </is>
      </c>
      <c r="E51" s="24" t="inlineStr">
        <is>
          <t>Σχέδιο CD01 (Σελ. 2), Λεπτ. 1, 2 &amp; 3</t>
        </is>
      </c>
      <c r="F51" s="25">
        <f>"= " &amp; C51 &amp; " αγκυρώσεις (1 αγκύριο ανά νέφκα στη Σειρά 3, δυναμικά συνδεδεμένο με C29)."</f>
        <v/>
      </c>
    </row>
    <row r="52" ht="22" customHeight="1">
      <c r="A52" s="8" t="inlineStr">
        <is>
          <t>TYPE A</t>
        </is>
      </c>
      <c r="B52" s="9" t="inlineStr">
        <is>
          <t>Ελεύθερο Μήκος Αγκυρίου 3ης Σειράς (L_free_3)</t>
        </is>
      </c>
      <c r="C52" s="15" t="n">
        <v>4</v>
      </c>
      <c r="D52" s="11" t="inlineStr">
        <is>
          <t>m</t>
        </is>
      </c>
      <c r="E52" s="12" t="inlineStr">
        <is>
          <t>Σχέδιο CD01 (Σελ. 2), Λεπτ. 3 &amp; Λεπτ. 4</t>
        </is>
      </c>
      <c r="F52" s="13" t="inlineStr">
        <is>
          <t>Αναγράφεται '4000' (4.00 m) στην Τυπική Λεπτομέρεια Αγκυρίου 4.</t>
        </is>
      </c>
    </row>
    <row r="53" ht="22" customHeight="1">
      <c r="A53" s="8" t="inlineStr">
        <is>
          <t>TYPE A</t>
        </is>
      </c>
      <c r="B53" s="9" t="inlineStr">
        <is>
          <t>Πακτωμένο Μήκος Αγκυρίου 3ης Σειράς (L_bond_3)</t>
        </is>
      </c>
      <c r="C53" s="15" t="n">
        <v>12</v>
      </c>
      <c r="D53" s="11" t="inlineStr">
        <is>
          <t>m</t>
        </is>
      </c>
      <c r="E53" s="12" t="inlineStr">
        <is>
          <t>Σχέδιο CD01 (Σελ. 2), Λεπτ. 3 &amp; Λεπτ. 4</t>
        </is>
      </c>
      <c r="F53" s="13" t="inlineStr">
        <is>
          <t>Αναγράφεται '12000' (12.00 m) στην Τυπική Λεπτομέρεια Αγκυρίου 4.</t>
        </is>
      </c>
    </row>
    <row r="54" ht="22" customHeight="1">
      <c r="A54" s="8" t="inlineStr">
        <is>
          <t>TYPE A</t>
        </is>
      </c>
      <c r="B54" s="21">
        <f>"Συνολικό Μήκος Διάτρησης Αγκυρίου 3ης Σειράς (" &amp; TEXT(C52,"0.00") &amp; "+" &amp; TEXT(C53,"0.00") &amp; "m)"</f>
        <v/>
      </c>
      <c r="C54" s="33">
        <f>ROUND(C52+C53, 2)</f>
        <v/>
      </c>
      <c r="D54" s="23" t="inlineStr">
        <is>
          <t>m / οπή</t>
        </is>
      </c>
      <c r="E54" s="24" t="inlineStr">
        <is>
          <t>Σχέδιο CD01 (Σελ. 2), Λεπτ. 4 (4000+12000)</t>
        </is>
      </c>
      <c r="F54" s="25">
        <f>"= " &amp; TEXT(C52,"0.00") &amp; " m ελεύθερο + " &amp; TEXT(C53,"0.00") &amp; " m πακτωμένο = " &amp; TEXT(C54,"0.00") &amp; " m συνολικό βάθος διάτρησης."</f>
        <v/>
      </c>
    </row>
    <row r="55" ht="22" customHeight="1">
      <c r="A55" s="26" t="inlineStr">
        <is>
          <t>TYPE A</t>
        </is>
      </c>
      <c r="B55" s="40" t="inlineStr">
        <is>
          <t>Πλήθος Τενόντων (Strands 0.6'') ανά Οπή 3ης Σειράς</t>
        </is>
      </c>
      <c r="C55" s="41" t="n">
        <v>3</v>
      </c>
      <c r="D55" s="42" t="inlineStr">
        <is>
          <t>τεμ. / οπή</t>
        </is>
      </c>
      <c r="E55" s="43" t="inlineStr">
        <is>
          <t>Σχέδιο CD01 (Σελ. 2), Λεπτ. 3 &amp; Υλικά §1</t>
        </is>
      </c>
      <c r="F55" s="44" t="inlineStr">
        <is>
          <t>Αναγράφεται ρητά '3 x TENDONS, STRESS 300kN' (τένοντες S 1570/1770, d=15.3mm / 0.6'').</t>
        </is>
      </c>
    </row>
    <row r="57" ht="24" customHeight="1">
      <c r="A57" s="3" t="inlineStr">
        <is>
          <t>⚙️ ΚΕΦΑΛΑΙΟ Β: ΥΠΟΛΟΓΙΣΜΟΙ ΦΥΣΙΚΩΝ ΜΕΓΕΘΩΝ &amp; ΠΟΣΟΤΗΤΩΝ ΕΡΓΟΥ (100% ΔΥΝΑΜΙΚΗ ΣΥΝΔΕΣΗ ΜΕ ΚΕΦΑΛΑΙΟ Α)</t>
        </is>
      </c>
    </row>
    <row r="58" ht="22" customHeight="1">
      <c r="A58" s="4" t="inlineStr">
        <is>
          <t>Κουτί / Κωδ.</t>
        </is>
      </c>
      <c r="B58" s="4" t="inlineStr">
        <is>
          <t>Περιγραφή Υπολογισμού Φυσικού Μεγέθους</t>
        </is>
      </c>
      <c r="C58" s="4" t="inlineStr">
        <is>
          <t>Αποτέλεσμα</t>
        </is>
      </c>
      <c r="D58" s="4" t="inlineStr">
        <is>
          <t>Μονάδα</t>
        </is>
      </c>
      <c r="E58" s="4" t="inlineStr">
        <is>
          <t>Αναλυτικός Μαθηματικός Τύπος &amp; Επαλήθευση</t>
        </is>
      </c>
      <c r="F58" s="4" t="inlineStr">
        <is>
          <t>Δυναμική Τεχνική Σημείωση Εφαρμογής Κανόνα</t>
        </is>
      </c>
    </row>
    <row r="59" ht="22" customHeight="1">
      <c r="A59" s="5" t="inlineStr">
        <is>
          <t>📦 ΚΟΥΤΙ [ΣΤΑΘ.]: ΦΥΣΙΚΕΣ ΣΤΑΘΕΡΕΣ &amp; ΜΟΝΑΔΙΑΙΟΙ ΣΥΝΤΕΛΕΣΤΕΣ ΥΠΟΛΟΓΙΣΜΩΝ</t>
        </is>
      </c>
      <c r="B59" s="6" t="n"/>
      <c r="C59" s="6" t="n"/>
      <c r="D59" s="6" t="n"/>
      <c r="E59" s="6" t="n"/>
      <c r="F59" s="7" t="n"/>
    </row>
    <row r="60" ht="21" customHeight="1">
      <c r="A60" s="8" t="inlineStr">
        <is>
          <t>ΣΤΑΘ.1</t>
        </is>
      </c>
      <c r="B60" s="45" t="inlineStr">
        <is>
          <t>Πυκνότητα Χάλυβα (ρ_steel)</t>
        </is>
      </c>
      <c r="C60" s="46" t="n">
        <v>7850</v>
      </c>
      <c r="D60" s="47" t="inlineStr">
        <is>
          <t>kg / m³</t>
        </is>
      </c>
      <c r="E60" s="48" t="inlineStr">
        <is>
          <t>Φυσική Σταθερά Ευρωκώδικα 3 (EN 1993-1-1)</t>
        </is>
      </c>
      <c r="F60" s="49" t="inlineStr">
        <is>
          <t>Χρησιμοποιείται στους τύπους βάρους ράβδων σχάρας και λαμών σύνδεσης.</t>
        </is>
      </c>
    </row>
    <row r="61" ht="21" customHeight="1">
      <c r="A61" s="8" t="inlineStr">
        <is>
          <t>ΣΤΑΘ.2</t>
        </is>
      </c>
      <c r="B61" s="45">
        <f>"Τρέχοντα Μέτρα Ράβδων Σχάρας (" &amp; C14 &amp; "×" &amp; C15 &amp; " mm) ανά m²"</f>
        <v/>
      </c>
      <c r="C61" s="50">
        <f>ROUND((1000/C14)+(1000/C15), 2)</f>
        <v/>
      </c>
      <c r="D61" s="47" t="inlineStr">
        <is>
          <t>m / m²</t>
        </is>
      </c>
      <c r="E61" s="48">
        <f>"= (1000/" &amp; C14 &amp; ") + (1000/" &amp; C15 &amp; ") = " &amp; TEXT(C61,"0.00") &amp; " m/m²"</f>
        <v/>
      </c>
      <c r="F61" s="49">
        <f>"Οριζόντιες + κάθετες ράβδοι ανά m² πλέγματος " &amp; C12 &amp; "."</f>
        <v/>
      </c>
    </row>
    <row r="62" ht="21" customHeight="1">
      <c r="A62" s="8" t="inlineStr">
        <is>
          <t>ΣΤΑΘ.3</t>
        </is>
      </c>
      <c r="B62" s="45">
        <f>"Θεωρητικό Βάρος Ράβδου Y" &amp; C13 &amp; " ανά Μέτρο"</f>
        <v/>
      </c>
      <c r="C62" s="51">
        <f>ROUND((PI()*((C13/1000)^2)/4)*C60, 3)</f>
        <v/>
      </c>
      <c r="D62" s="47" t="inlineStr">
        <is>
          <t>kg / m</t>
        </is>
      </c>
      <c r="E62" s="48">
        <f>"= π × (" &amp; C13 &amp; "/1000)² / 4 × " &amp; C60 &amp; " = " &amp; TEXT(C62,"0.000") &amp; " kg/m"</f>
        <v/>
      </c>
      <c r="F62" s="49">
        <f>"Βάρος ράβδου διαμέτρου " &amp; C13 &amp; " mm ανά τρέχον μέτρο."</f>
        <v/>
      </c>
    </row>
    <row r="63" ht="21" customHeight="1">
      <c r="A63" s="8" t="inlineStr">
        <is>
          <t>ΣΤΑΘ.4</t>
        </is>
      </c>
      <c r="B63" s="45">
        <f>"Υπολογιστικό Βάρος Σχάρας Μετώπου (" &amp; C12 &amp; ") ανά m²"</f>
        <v/>
      </c>
      <c r="C63" s="51">
        <f>ROUND(C61*C62, 3)</f>
        <v/>
      </c>
      <c r="D63" s="47" t="inlineStr">
        <is>
          <t>kg / m²</t>
        </is>
      </c>
      <c r="E63" s="48">
        <f>"= " &amp; TEXT(C61,"0.00") &amp; " m/m² × " &amp; TEXT(C62,"0.000") &amp; " kg/m = " &amp; TEXT(C63,"0.000") &amp; " kg/m²"</f>
        <v/>
      </c>
      <c r="F63" s="49">
        <f>"Τυποποιημένο βάρος δομικού πλέγματος " &amp; C12 &amp; " (" &amp; TEXT(C63,"0.000") &amp; " kg/m²)."</f>
        <v/>
      </c>
    </row>
    <row r="64" ht="21" customHeight="1">
      <c r="A64" s="8" t="inlineStr">
        <is>
          <t>ΣΤΑΘ.5</t>
        </is>
      </c>
      <c r="B64" s="45" t="inlineStr">
        <is>
          <t>Ποσοστό Απώλειας Shotcrete επί του Ονομαστικού Πάχους</t>
        </is>
      </c>
      <c r="C64" s="52">
        <f>C18/C17</f>
        <v/>
      </c>
      <c r="D64" s="47" t="inlineStr">
        <is>
          <t>%</t>
        </is>
      </c>
      <c r="E64" s="48">
        <f>"= Απώλεια " &amp; TEXT(C18,"0.00") &amp; " m / Ονομαστικό " &amp; TEXT(C17,"0.00") &amp; " m = " &amp; TEXT(C64,"0.0%")</f>
        <v/>
      </c>
      <c r="F64" s="49">
        <f>"Προσαυξάνει την τιμή εφαρμογής Shotcrete κατά +" &amp; TEXT(C64,"0.0%") &amp; "."</f>
        <v/>
      </c>
    </row>
    <row r="65" ht="21" customHeight="1">
      <c r="A65" s="8" t="inlineStr">
        <is>
          <t>ΣΤΑΘ.6</t>
        </is>
      </c>
      <c r="B65" s="45">
        <f>"Διατομή / Όγκος Οπής Νέφκας (Ø" &amp; TEXT(C11*1000,"0") &amp; " mm) ανά Μέτρο"</f>
        <v/>
      </c>
      <c r="C65" s="53">
        <f>ROUND(PI()*((C11/2)^2), 4)</f>
        <v/>
      </c>
      <c r="D65" s="47" t="inlineStr">
        <is>
          <t>m³ / m</t>
        </is>
      </c>
      <c r="E65" s="48">
        <f>"= π × (" &amp; TEXT(C11,"0.00") &amp; "/2)² = " &amp; TEXT(C65,"0.0000") &amp; " m³/m"</f>
        <v/>
      </c>
      <c r="F65" s="49">
        <f>"Κυβικά εκσκαφής και σκυροδέματος πάκτωσης ανά μέτρο οπής Ø" &amp; TEXT(C11*1000,"0") &amp; " mm."</f>
        <v/>
      </c>
    </row>
    <row r="66" ht="21" customHeight="1">
      <c r="A66" s="8" t="inlineStr">
        <is>
          <t>ΣΤΑΘ.7</t>
        </is>
      </c>
      <c r="B66" s="45" t="inlineStr">
        <is>
          <t>Επιπλέον Μήκος Τένοντα για Κεφαλή &amp; Γρύλο Προέντασης</t>
        </is>
      </c>
      <c r="C66" s="50" t="n">
        <v>1</v>
      </c>
      <c r="D66" s="47" t="inlineStr">
        <is>
          <t>m</t>
        </is>
      </c>
      <c r="E66" s="48" t="inlineStr">
        <is>
          <t>Πάγιος Κανόνας Εταιρείας (Τιμοκατάλογος §Β)</t>
        </is>
      </c>
      <c r="F66" s="49" t="inlineStr">
        <is>
          <t>[DEFAULT ΕΤΑΙΡΕΙΑΣ]: +1.00 m επιπλέον μήκος ανά τένοντα έξω από το μέτωπο για την κεφαλή και την τάνυση.</t>
        </is>
      </c>
    </row>
    <row r="67" ht="21" customHeight="1">
      <c r="A67" s="8" t="inlineStr">
        <is>
          <t>ΣΤΑΘ.8</t>
        </is>
      </c>
      <c r="B67" s="45" t="inlineStr">
        <is>
          <t>Διάμετρος Οπής Grout Αγκυρώσεων (D_anc)</t>
        </is>
      </c>
      <c r="C67" s="50" t="n">
        <v>0.12</v>
      </c>
      <c r="D67" s="47" t="inlineStr">
        <is>
          <t>m</t>
        </is>
      </c>
      <c r="E67" s="48" t="inlineStr">
        <is>
          <t>Πάγιος Κανόνας Εταιρείας vs Σχέδιο CD01 Λεπτ. 4</t>
        </is>
      </c>
      <c r="F67" s="49" t="inlineStr">
        <is>
          <t>[OVERRIDE ΚΑΝΟΝΑ]: Η μελέτη αναγράφει 180mm NOMINAL στη Λεπτ. 4. Εφαρμόζεται ο πάγιος κανόνας εταιρείας D_anc = 0.12 m (120 mm).</t>
        </is>
      </c>
    </row>
    <row r="68" ht="21" customHeight="1">
      <c r="A68" s="8" t="inlineStr">
        <is>
          <t>ΣΤΑΘ.9</t>
        </is>
      </c>
      <c r="B68" s="45" t="inlineStr">
        <is>
          <t>Συντελεστής Υπερκατανάλωσης Grout Αγκυρώσεων στο Έδαφος</t>
        </is>
      </c>
      <c r="C68" s="50" t="n">
        <v>1.2</v>
      </c>
      <c r="D68" s="47" t="inlineStr">
        <is>
          <t>-</t>
        </is>
      </c>
      <c r="E68" s="48" t="inlineStr">
        <is>
          <t>Πάγιος Κανόνας Εταιρείας (Τιμοκατάλογος §Β)</t>
        </is>
      </c>
      <c r="F68" s="49" t="inlineStr">
        <is>
          <t>[DEFAULT ΕΤΑΙΡΕΙΑΣ]: +20% (×1.20) υπερκατανάλωση τσιμεντενέματος πλήρωσης οπής αγκυρίων.</t>
        </is>
      </c>
    </row>
    <row r="69" ht="21" customHeight="1">
      <c r="A69" s="8" t="inlineStr">
        <is>
          <t>ΣΤΑΘ.10</t>
        </is>
      </c>
      <c r="B69" s="45" t="inlineStr">
        <is>
          <t>Όγκος Grout Αγκυρώσεων ανά Μέτρο Διάτρησης</t>
        </is>
      </c>
      <c r="C69" s="54">
        <f>ROUND(PI()*((C67/2)^2)*C68, 6)</f>
        <v/>
      </c>
      <c r="D69" s="47" t="inlineStr">
        <is>
          <t>m³ / m</t>
        </is>
      </c>
      <c r="E69" s="48">
        <f>"= π × (" &amp; TEXT(C67,"0.00") &amp; "/2)² × " &amp; TEXT(C68,"0.00") &amp; " = " &amp; TEXT(C69,"0.000000") &amp; " m³/m"</f>
        <v/>
      </c>
      <c r="F69" s="49">
        <f>"= " &amp; TEXT(C69,"0.000000") &amp; " m³ τσιμεντενέματος ανά τρέχον μέτρο διάτρησης αγκύρωσης."</f>
        <v/>
      </c>
    </row>
    <row r="70" ht="21" customHeight="1">
      <c r="A70" s="26" t="inlineStr">
        <is>
          <t>ΣΤΑΘ.11</t>
        </is>
      </c>
      <c r="B70" s="55" t="inlineStr">
        <is>
          <t>Θεωρητικό Βάρος Τένοντα Προέντασης (Strand 0.6'' / 15.3mm)</t>
        </is>
      </c>
      <c r="C70" s="56" t="n">
        <v>1.1</v>
      </c>
      <c r="D70" s="57" t="inlineStr">
        <is>
          <t>kg / m</t>
        </is>
      </c>
      <c r="E70" s="58" t="inlineStr">
        <is>
          <t>Τιμοκατάλογος Εταιρείας §4 / EN 10138</t>
        </is>
      </c>
      <c r="F70" s="59" t="inlineStr">
        <is>
          <t>Τυπικό βάρος συρματόσχοινου προέντασης 0.6'' (d=15.3mm, S 1570/1770) = 1.10 kg/m.</t>
        </is>
      </c>
    </row>
    <row r="72" ht="24" customHeight="1">
      <c r="A72" s="32">
        <f>"📦 ΚΟΥΤΙ [TYPE A — ΠΟΣΟΤΗΤΕΣ]: ΑΝΑΛΥΤΙΚΟΙ ΥΠΟΛΟΓΙΣΜΟΙ ΦΥΣΙΚΩΝ ΠΟΣΟΤΗΤΩΝ ΤΟΙΧΟΥ ΒΕΡΟΛΙΝΟΥ (L = " &amp; TEXT(C30,"#,##0.00") &amp; " m, A = " &amp; TEXT(C73,"#,##0.00") &amp; " m²)"</f>
        <v/>
      </c>
      <c r="B72" s="6" t="n"/>
      <c r="C72" s="6" t="n"/>
      <c r="D72" s="6" t="n"/>
      <c r="E72" s="6" t="n"/>
      <c r="F72" s="7" t="n"/>
    </row>
    <row r="73" ht="22" customHeight="1">
      <c r="A73" s="60" t="inlineStr">
        <is>
          <t>A.0</t>
        </is>
      </c>
      <c r="B73" s="61">
        <f>"Εμβαδόν Όψης Εκσκαφής Μετώπου Type A (L=" &amp; TEXT(C30,"0.00") &amp; "m × H_exc=" &amp; TEXT(C35,"0.00") &amp; "m)"</f>
        <v/>
      </c>
      <c r="C73" s="62">
        <f>ROUND(C30*C35, 2)</f>
        <v/>
      </c>
      <c r="D73" s="63" t="inlineStr">
        <is>
          <t>m²</t>
        </is>
      </c>
      <c r="E73" s="64">
        <f>"= " &amp; TEXT(C30,"#,##0.00") &amp; " m × " &amp; TEXT(C35,"0.00") &amp; " m = " &amp; TEXT(C73,"#,##0.00") &amp; " m²"</f>
        <v/>
      </c>
      <c r="F73" s="65">
        <f>"Συνολική καθαρή επιφάνεια όψης εκσκαφής για Σχάρα " &amp; C12 &amp; " και Shotcrete " &amp; C16 &amp; "."</f>
        <v/>
      </c>
    </row>
    <row r="74" ht="22" customHeight="1">
      <c r="A74" s="8" t="inlineStr">
        <is>
          <t>A.1</t>
        </is>
      </c>
      <c r="B74" s="45">
        <f>"Διάτρηση Μεγάλου Τρυπανιού Ø" &amp; TEXT(C11*1000,"0") &amp; " mm (" &amp; C29 &amp; " οπές × " &amp; TEXT(C39,"0.00") &amp; " m)"</f>
        <v/>
      </c>
      <c r="C74" s="50">
        <f>ROUND(C29*C39, 2)</f>
        <v/>
      </c>
      <c r="D74" s="47" t="inlineStr">
        <is>
          <t>m</t>
        </is>
      </c>
      <c r="E74" s="48">
        <f>"= " &amp; C29 &amp; " οπές × " &amp; TEXT(C39,"0.00") &amp; " m = " &amp; TEXT(C74,"#,##0.00") &amp; " m"</f>
        <v/>
      </c>
      <c r="F74" s="49">
        <f>IF(ISBLANK(C38), "[ΕΛΛΕΙΨΗ WPL]: Υπολογίστηκε με L_beam = " &amp; TEXT(C37,"0.00") &amp; " m (συνολικά " &amp; TEXT(C74,"#,##0.00") &amp; " m).", "[ΜΕ ΒΑΣΗ WPL]: Υπολογίστηκε με WPL = " &amp; TEXT(C38,"0.00") &amp; " m (συνολικά " &amp; TEXT(C74,"#,##0.00") &amp; " m).")</f>
        <v/>
      </c>
    </row>
    <row r="75" ht="22" customHeight="1">
      <c r="A75" s="8" t="inlineStr">
        <is>
          <t>A.1α</t>
        </is>
      </c>
      <c r="B75" s="45">
        <f>"Συνολικός Όγκος Εκσκαφής Οπών Νεφκών Ø" &amp; TEXT(C11*1000,"0") &amp; " mm (βάσει WPL / Cut-Off Level)"</f>
        <v/>
      </c>
      <c r="C75" s="50">
        <f>ROUND(C74*C65, 2)</f>
        <v/>
      </c>
      <c r="D75" s="47" t="inlineStr">
        <is>
          <t>m³</t>
        </is>
      </c>
      <c r="E75" s="48">
        <f>"= " &amp; TEXT(C74,"#,##0.00") &amp; " m × " &amp; TEXT(C65,"0.0000") &amp; " m³/m = " &amp; TEXT(C75,"#,##0.00") &amp; " m³"</f>
        <v/>
      </c>
      <c r="F75" s="49">
        <f>"= " &amp; C29 &amp; " οπές × " &amp; TEXT(C39,"0.00") &amp; " m × " &amp; TEXT(C65,"0.0000") &amp; " m³/m = " &amp; TEXT(C75,"#,##0.00") &amp; " m³ θεωρητικός όγκος εκσκαφής."</f>
        <v/>
      </c>
    </row>
    <row r="76" ht="22" customHeight="1">
      <c r="A76" s="8" t="inlineStr">
        <is>
          <t>A.2</t>
        </is>
      </c>
      <c r="B76" s="45">
        <f>"Χάλυβας Νεφκών (" &amp; C32 &amp; " × " &amp; C31 &amp; " S275 — " &amp; TEXT(C34,"0.00") &amp; " kg/m × " &amp; TEXT(C37,"0.00") &amp; " m)"</f>
        <v/>
      </c>
      <c r="C76" s="50">
        <f>ROUND(C29*C32*C37*C33, 2)</f>
        <v/>
      </c>
      <c r="D76" s="47" t="inlineStr">
        <is>
          <t>kg</t>
        </is>
      </c>
      <c r="E76" s="48">
        <f>"= " &amp; C29 &amp; " οπές × " &amp; C32 &amp; " προφίλ × " &amp; TEXT(C37,"0.00") &amp; " m × " &amp; TEXT(C33,"0.00") &amp; " kg/m"</f>
        <v/>
      </c>
      <c r="F76" s="49">
        <f>"= " &amp; TEXT(C29*C32*C37,"#,##0.00") &amp; " m προφίλ " &amp; C31 &amp; " × " &amp; TEXT(C33,"0.00") &amp; " kg/m = " &amp; TEXT(C76,"#,##0.00") &amp; " kg."</f>
        <v/>
      </c>
    </row>
    <row r="77" ht="22" customHeight="1">
      <c r="A77" s="8" t="inlineStr">
        <is>
          <t>A.3α</t>
        </is>
      </c>
      <c r="B77" s="45">
        <f>"Πλήθος Λαμών Σύνδεσης ανά Νέφκα (L_beam=" &amp; TEXT(C37,"0.00") &amp; "m / s=" &amp; TEXT(C19,"0.00") &amp; "m)"</f>
        <v/>
      </c>
      <c r="C77" s="46">
        <f>ROUNDUP(C37/C19, 0)</f>
        <v/>
      </c>
      <c r="D77" s="47" t="inlineStr">
        <is>
          <t>τεμ. / οπή</t>
        </is>
      </c>
      <c r="E77" s="48">
        <f>"= ROUNDUP(" &amp; TEXT(C37,"0.00") &amp; " / " &amp; TEXT(C19,"0.00") &amp; ", 0) = " &amp; C77 &amp; " λάμες/οπή"</f>
        <v/>
      </c>
      <c r="F77" s="49">
        <f>"Κανόνας 3.2.2: L_beam / s_plate = " &amp; TEXT(C37,"0.00") &amp; "m / " &amp; TEXT(C19,"0.00") &amp; "m = " &amp; C77 &amp; " λάμες ανά πάσσαλο."</f>
        <v/>
      </c>
    </row>
    <row r="78" ht="22" customHeight="1">
      <c r="A78" s="8" t="inlineStr">
        <is>
          <t>A.3β</t>
        </is>
      </c>
      <c r="B78" s="45">
        <f>"Συνολικό Πλήθος Λαμών Σύνδεσης (" &amp; C20 &amp; "×" &amp; C21 &amp; "×" &amp; C22 &amp; " mm)"</f>
        <v/>
      </c>
      <c r="C78" s="46">
        <f>C29*C77</f>
        <v/>
      </c>
      <c r="D78" s="47" t="inlineStr">
        <is>
          <t>τεμ.</t>
        </is>
      </c>
      <c r="E78" s="48">
        <f>"= " &amp; C29 &amp; " οπές × " &amp; C77 &amp; " λάμες/οπή = " &amp; TEXT(C78,"#,##0") &amp; " τεμ."</f>
        <v/>
      </c>
      <c r="F78" s="49">
        <f>"Συνολικός αριθμός λαμών σύνδεσης των ζευγών " &amp; C31 &amp; "."</f>
        <v/>
      </c>
    </row>
    <row r="79" ht="22" customHeight="1">
      <c r="A79" s="8" t="inlineStr">
        <is>
          <t>A.3</t>
        </is>
      </c>
      <c r="B79" s="45">
        <f>"Συνολικό Βάρος Λαμών Σύνδεσης (" &amp; C20 &amp; "×" &amp; C21 &amp; "×" &amp; C22 &amp; " mm)"</f>
        <v/>
      </c>
      <c r="C79" s="50">
        <f>ROUND(C78*C23, 2)</f>
        <v/>
      </c>
      <c r="D79" s="47" t="inlineStr">
        <is>
          <t>kg</t>
        </is>
      </c>
      <c r="E79" s="48">
        <f>"= " &amp; TEXT(C78,"#,##0") &amp; " τεμ. × " &amp; TEXT(C23,"0.0000") &amp; " kg/τεμ. = " &amp; TEXT(C79,"#,##0.00") &amp; " kg"</f>
        <v/>
      </c>
      <c r="F79" s="49">
        <f>"[!!! ΣΥΓΚΡΟΥΣΗ ΜΕΛΕΤΗΣ: 10mm vs 6mm !!!] Υπολογίστηκε με το ασφαλέστερο πάχος " &amp; C22 &amp; " mm."</f>
        <v/>
      </c>
    </row>
    <row r="80" ht="22" customHeight="1">
      <c r="A80" s="8" t="inlineStr">
        <is>
          <t>A.4</t>
        </is>
      </c>
      <c r="B80" s="45">
        <f>"Κουγκρί Πάκτωσης Βάσης Νεφκών C30/37 (H_embed = " &amp; TEXT(C36,"0.00") &amp; " m)"</f>
        <v/>
      </c>
      <c r="C80" s="50">
        <f>ROUND(C29*C36*C65, 2)</f>
        <v/>
      </c>
      <c r="D80" s="47" t="inlineStr">
        <is>
          <t>m³</t>
        </is>
      </c>
      <c r="E80" s="48">
        <f>"= " &amp; C29 &amp; " οπές × " &amp; TEXT(C36,"0.00") &amp; " m × " &amp; TEXT(C65,"0.0000") &amp; " m³/m = " &amp; TEXT(C80,"#,##0.00") &amp; " m³"</f>
        <v/>
      </c>
      <c r="F80" s="49">
        <f>"Σκυρόδεμα C30/37 πλήρωσης διατρήματος στη βάση των νεφκών (ύψος " &amp; TEXT(C36,"0.00") &amp; " m)."</f>
        <v/>
      </c>
    </row>
    <row r="81" ht="22" customHeight="1">
      <c r="A81" s="8" t="inlineStr">
        <is>
          <t>A.5α</t>
        </is>
      </c>
      <c r="B81" s="45">
        <f>"Συνολικό Μήκος Γωνιών Στήριξης Σχάρας (2 × " &amp; C25 &amp; " × H_exc)"</f>
        <v/>
      </c>
      <c r="C81" s="50">
        <f>IF(C24="ΝΑΙ", ROUND(C29*2*C35, 2), 0)</f>
        <v/>
      </c>
      <c r="D81" s="47" t="inlineStr">
        <is>
          <t>m</t>
        </is>
      </c>
      <c r="E81" s="48">
        <f>"= 2 γωνιές × " &amp; C29 &amp; " οπές × " &amp; TEXT(C35,"0.00") &amp; " m = " &amp; TEXT(C81,"#,##0.00") &amp; " m"</f>
        <v/>
      </c>
      <c r="F81" s="49">
        <f>"2 γωνιές " &amp; C25 &amp; " ανά οπή καθ' όλο το ελεύθερο ύψος εκσκαφής (" &amp; TEXT(C35,"0.00") &amp; " m)."</f>
        <v/>
      </c>
    </row>
    <row r="82" ht="22" customHeight="1">
      <c r="A82" s="8" t="inlineStr">
        <is>
          <t>A.5</t>
        </is>
      </c>
      <c r="B82" s="45">
        <f>"Συνολικό Βάρος Γωνιών Στήριξης Σχάρας (" &amp; C25 &amp; " — " &amp; TEXT(C26,"0.00") &amp; " kg/m)"</f>
        <v/>
      </c>
      <c r="C82" s="50">
        <f>ROUND(C81*C26, 2)</f>
        <v/>
      </c>
      <c r="D82" s="47" t="inlineStr">
        <is>
          <t>kg</t>
        </is>
      </c>
      <c r="E82" s="48">
        <f>"= " &amp; TEXT(C81,"#,##0.00") &amp; " m × " &amp; TEXT(C26,"0.00") &amp; " kg/m = " &amp; TEXT(C82,"#,##0.00") &amp; " kg"</f>
        <v/>
      </c>
      <c r="F82" s="49">
        <f>"Συνολικά κιλά γωνιών " &amp; C25 &amp; " για τη στήριξη/συγκόλληση της σχάρας " &amp; C12 &amp; "."</f>
        <v/>
      </c>
    </row>
    <row r="83" ht="22" customHeight="1">
      <c r="A83" s="8" t="inlineStr">
        <is>
          <t>A.6</t>
        </is>
      </c>
      <c r="B83" s="45">
        <f>"Συνολικό Βάρος Χάλυβα Σχάρας Μετώπου (" &amp; C12 &amp; " — Y" &amp; C13 &amp; " @ " &amp; C14 &amp; "×" &amp; C15 &amp; " mm)"</f>
        <v/>
      </c>
      <c r="C83" s="50">
        <f>ROUND(C73*C63, 2)</f>
        <v/>
      </c>
      <c r="D83" s="47" t="inlineStr">
        <is>
          <t>kg</t>
        </is>
      </c>
      <c r="E83" s="48">
        <f>"= " &amp; TEXT(C73,"#,##0.00") &amp; " m² × " &amp; TEXT(C63,"0.000") &amp; " kg/m² = " &amp; TEXT(C83,"#,##0.00") &amp; " kg"</f>
        <v/>
      </c>
      <c r="F83" s="49">
        <f>"Αγορά χάλυβα δομικού πλέγματος " &amp; C12 &amp; " για όλο το μέτωπο εκσκαφής."</f>
        <v/>
      </c>
    </row>
    <row r="84" ht="22" customHeight="1">
      <c r="A84" s="8" t="inlineStr">
        <is>
          <t>A.7</t>
        </is>
      </c>
      <c r="B84" s="45" t="inlineStr">
        <is>
          <t>Επιφάνεια Τοποθέτησης Σχάρας Μετώπου (Εργατικά)</t>
        </is>
      </c>
      <c r="C84" s="50">
        <f>C73</f>
        <v/>
      </c>
      <c r="D84" s="47" t="inlineStr">
        <is>
          <t>m²</t>
        </is>
      </c>
      <c r="E84" s="48">
        <f>"= " &amp; TEXT(C84,"#,##0.00") &amp; " m² (ίση με το εμβαδόν όψης A.0)"</f>
        <v/>
      </c>
      <c r="F84" s="49">
        <f>"Επιφάνεια τοποθέτησης πλέγματος " &amp; C12 &amp; " επί του μετώπου εκσκαφής."</f>
        <v/>
      </c>
    </row>
    <row r="85" ht="22" customHeight="1">
      <c r="A85" s="8" t="inlineStr">
        <is>
          <t>A.8</t>
        </is>
      </c>
      <c r="B85" s="45">
        <f>"Ονομαστικός Όγκος Σκυροδέματος Shotcrete (" &amp; C16 &amp; ", πάχος " &amp; TEXT(C17*100,"0") &amp; " cm)"</f>
        <v/>
      </c>
      <c r="C85" s="50">
        <f>ROUND(C73*C17, 2)</f>
        <v/>
      </c>
      <c r="D85" s="47" t="inlineStr">
        <is>
          <t>m³</t>
        </is>
      </c>
      <c r="E85" s="48">
        <f>"= " &amp; TEXT(C73,"#,##0.00") &amp; " m² × " &amp; TEXT(C17,"0.00") &amp; " m = " &amp; TEXT(C85,"#,##0.00") &amp; " m³"</f>
        <v/>
      </c>
      <c r="F85" s="49">
        <f>"Ονομαστικός όγκος μελέτης (η απώλεια +" &amp; TEXT(C18*100,"0") &amp; "cm χρεώνεται στην τιμή εφαρμογής €/m³)."</f>
        <v/>
      </c>
    </row>
    <row r="86" ht="22" customHeight="1">
      <c r="A86" s="60" t="inlineStr">
        <is>
          <t>A.9</t>
        </is>
      </c>
      <c r="B86" s="61">
        <f>"Συνολικό Πλήθος Προεντεταμένων Αγκυρώσεων (" &amp; C40 &amp; " Σειρές)"</f>
        <v/>
      </c>
      <c r="C86" s="66">
        <f>C41+C46+C51</f>
        <v/>
      </c>
      <c r="D86" s="63" t="inlineStr">
        <is>
          <t>τεμ.</t>
        </is>
      </c>
      <c r="E86" s="64">
        <f>"= Σειρά 1 (" &amp; C41 &amp; ") + Σειρά 2 (" &amp; C46 &amp; ") + Σειρά 3 (" &amp; C51 &amp; ") = " &amp; TEXT(C86,"#,##0") &amp; " αγκυρώσεις"</f>
        <v/>
      </c>
      <c r="F86" s="65">
        <f>"3 σειρές × " &amp; C29 &amp; " αγκυρώσεις/σειρά = " &amp; TEXT(C86,"#,##0") &amp; " πλήρεις αγκυρώσεις (κεφαλές &amp; προεντάσεις)."</f>
        <v/>
      </c>
    </row>
    <row r="87" ht="22" customHeight="1">
      <c r="A87" s="8" t="inlineStr">
        <is>
          <t>A.10</t>
        </is>
      </c>
      <c r="B87" s="45">
        <f>"Συνολικά Μέτρα Διάτρησης Αγκυρώσεων (" &amp; C86 &amp; " οπές × " &amp; TEXT(C44,"0.00") &amp; " m)"</f>
        <v/>
      </c>
      <c r="C87" s="50">
        <f>ROUND(C41*C44 + C46*C49 + C51*C54, 2)</f>
        <v/>
      </c>
      <c r="D87" s="47" t="inlineStr">
        <is>
          <t>m</t>
        </is>
      </c>
      <c r="E87" s="48">
        <f>"= (" &amp; C41 &amp; "×" &amp; TEXT(C44,"0.00") &amp; ") + (" &amp; C46 &amp; "×" &amp; TEXT(C49,"0.00") &amp; ") + (" &amp; C51 &amp; "×" &amp; TEXT(C54,"0.00") &amp; ") = " &amp; TEXT(C87,"#,##0.00") &amp; " m"</f>
        <v/>
      </c>
      <c r="F87" s="49">
        <f>"Συνολικά μέτρα διάτρησης αγκυρίων (κλίση 27°, " &amp; TEXT(C42,"0.00") &amp; "m ελεύθερο + " &amp; TEXT(C43,"0.00") &amp; "m πακτωμένο)."</f>
        <v/>
      </c>
    </row>
    <row r="88" ht="22" customHeight="1">
      <c r="A88" s="8" t="inlineStr">
        <is>
          <t>A.11</t>
        </is>
      </c>
      <c r="B88" s="45">
        <f>"Συνολικός Όγκος Grout Αγκυρώσεων (Ø" &amp; TEXT(C67*1000,"0") &amp; " mm × " &amp; TEXT(C68,"0.00") &amp; ")"</f>
        <v/>
      </c>
      <c r="C88" s="50">
        <f>ROUND(C87*C69, 2)</f>
        <v/>
      </c>
      <c r="D88" s="47" t="inlineStr">
        <is>
          <t>m³</t>
        </is>
      </c>
      <c r="E88" s="48">
        <f>"= " &amp; TEXT(C87,"#,##0.00") &amp; " m × " &amp; TEXT(C69,"0.000000") &amp; " m³/m = " &amp; TEXT(C88,"#,##0.00") &amp; " m³"</f>
        <v/>
      </c>
      <c r="F88" s="49">
        <f>"Τσιμεντένεμα πλήρωσης οπών αγκυρώσεων (fck=35MPa) με +20% υπερκατανάλωση."</f>
        <v/>
      </c>
    </row>
    <row r="89" ht="22" customHeight="1">
      <c r="A89" s="8" t="inlineStr">
        <is>
          <t>A.12</t>
        </is>
      </c>
      <c r="B89" s="45">
        <f>"Συνολικό Μήκος Τενόντων Προέντασης 0.6'' (" &amp; C45 &amp; " Strands/οπή, L+" &amp; TEXT(C66,"0.0") &amp; "m)"</f>
        <v/>
      </c>
      <c r="C89" s="50">
        <f>ROUND(C41*(C44+C66)*C45 + C46*(C49+C66)*C50 + C51*(C54+C66)*C55, 2)</f>
        <v/>
      </c>
      <c r="D89" s="47" t="inlineStr">
        <is>
          <t>m</t>
        </is>
      </c>
      <c r="E89" s="48">
        <f>"= " &amp; C86 &amp; " οπές × " &amp; C45 &amp; " strands × (" &amp; TEXT(C44,"0.00") &amp; "+" &amp; TEXT(C66,"0.00") &amp; ")m = " &amp; TEXT(C89,"#,##0.00") &amp; " m"</f>
        <v/>
      </c>
      <c r="F89" s="49">
        <f>"Συμπεριλαμβάνει +" &amp; TEXT(C66,"0.00") &amp; " m ανά τένοντα έξω από την οπή για την κεφαλή και τον γρύλο τάνυσης."</f>
        <v/>
      </c>
    </row>
    <row r="90" ht="22" customHeight="1">
      <c r="A90" s="26" t="inlineStr">
        <is>
          <t>A.12α</t>
        </is>
      </c>
      <c r="B90" s="55" t="inlineStr">
        <is>
          <t>Συνολικό Βάρος Τενόντων Προέντασης 0.6'' (1.10 kg/m)</t>
        </is>
      </c>
      <c r="C90" s="56">
        <f>ROUND(C89*C70, 2)</f>
        <v/>
      </c>
      <c r="D90" s="57" t="inlineStr">
        <is>
          <t>kg</t>
        </is>
      </c>
      <c r="E90" s="58">
        <f>"= " &amp; TEXT(C89,"#,##0.00") &amp; " m × " &amp; TEXT(C70,"0.00") &amp; " kg/m = " &amp; TEXT(C90,"#,##0.00") &amp; " kg"</f>
        <v/>
      </c>
      <c r="F90" s="59">
        <f>"Πληροφοριακό βάρος χάλυβα προέντασης S 1570/1770 (η τιμολόγηση γίνεται ανά τρ.μ. τένοντα)."</f>
        <v/>
      </c>
    </row>
    <row r="92" ht="24" customHeight="1">
      <c r="A92" s="67" t="inlineStr">
        <is>
          <t>📦 ΚΟΥΤΙ [ΣΥΝΟΛΑ]: ΣΤΡΑΤΕΣ ΜΕΤΑΚΙΝΗΣΕΩΝ (ΠΥΛΩΝΑΣ 1) &amp; ΣΥΓΚΕΝΤΡΩΤΙΚΕΣ ΠΟΣΟΤΗΤΕΣ ΕΡΓΟΥ</t>
        </is>
      </c>
      <c r="B92" s="68" t="n"/>
      <c r="C92" s="68" t="n"/>
      <c r="D92" s="68" t="n"/>
      <c r="E92" s="68" t="n"/>
      <c r="F92" s="69" t="n"/>
    </row>
    <row r="93" ht="21" customHeight="1">
      <c r="A93" s="70" t="inlineStr">
        <is>
          <t>ΣΥΝ.Μ1</t>
        </is>
      </c>
      <c r="B93" s="71" t="inlineStr">
        <is>
          <t>Στράτες Μετακίνησης Μεγάλου Τρυπανιού (Piling Rig)</t>
        </is>
      </c>
      <c r="C93" s="46" t="n">
        <v>1</v>
      </c>
      <c r="D93" s="47" t="inlineStr">
        <is>
          <t>στράτες</t>
        </is>
      </c>
      <c r="E93" s="48" t="inlineStr">
        <is>
          <t>Κανόνας Μετακινήσεων Εταιρείας</t>
        </is>
      </c>
      <c r="F93" s="72">
        <f>"1 στράτα μεταφοράς μεγάλου διατρητικού μηχανήματος (απόσταση " &amp; C9 &amp; " km — Βασική Ζώνη Λεμεσού)."</f>
        <v/>
      </c>
    </row>
    <row r="94" ht="21" customHeight="1">
      <c r="A94" s="70" t="inlineStr">
        <is>
          <t>ΣΥΝ.Μ2</t>
        </is>
      </c>
      <c r="B94" s="71" t="inlineStr">
        <is>
          <t>Στράτες Μετακίνησης Εξοπλισμού Αγκυρώσεων</t>
        </is>
      </c>
      <c r="C94" s="46">
        <f>C40</f>
        <v/>
      </c>
      <c r="D94" s="47" t="inlineStr">
        <is>
          <t>στράτες</t>
        </is>
      </c>
      <c r="E94" s="48">
        <f>"= C40 (" &amp; C40 &amp; " οριζόντιες σειρές αγκυρώσεων)"</f>
        <v/>
      </c>
      <c r="F94" s="72">
        <f>"Όσες οι οριζόντιες σειρές αγκυρώσεων (" &amp; C40 &amp; " σειρές), τόσες στράτες εξοπλισμού αγκυρώσεων."</f>
        <v/>
      </c>
    </row>
    <row r="95" ht="21" customHeight="1">
      <c r="A95" s="70" t="inlineStr">
        <is>
          <t>ΣΥΝ.Μ3</t>
        </is>
      </c>
      <c r="B95" s="71" t="inlineStr">
        <is>
          <t>Στράτες Μετακίνησης Συνεργείου &amp; Αντλίας Shotcrete</t>
        </is>
      </c>
      <c r="C95" s="46">
        <f>C40+1</f>
        <v/>
      </c>
      <c r="D95" s="47" t="inlineStr">
        <is>
          <t>στράτες</t>
        </is>
      </c>
      <c r="E95" s="48">
        <f>"= C40 + 1 (" &amp; C40 &amp; " σειρές + 1 στράτα) = " &amp; C95 &amp; " στράτες"</f>
        <v/>
      </c>
      <c r="F95" s="72">
        <f>"Σειρές αγκυρώσεων + 1 επιπλέον στράτα για τελική στάθμη/πόδι εκσκαφής = " &amp; C95 &amp; " στράτες."</f>
        <v/>
      </c>
    </row>
    <row r="96" ht="21" customHeight="1">
      <c r="A96" s="73" t="inlineStr">
        <is>
          <t>ΣΥΝ.1</t>
        </is>
      </c>
      <c r="B96" s="61" t="inlineStr">
        <is>
          <t>Συνολικό Αναπτυγμένο Μήκος Περιμέτρου Berlin Wall</t>
        </is>
      </c>
      <c r="C96" s="62">
        <f>C30</f>
        <v/>
      </c>
      <c r="D96" s="63" t="inlineStr">
        <is>
          <t>m</t>
        </is>
      </c>
      <c r="E96" s="64">
        <f>"= " &amp; TEXT(C96,"#,##0.00") &amp; " m"</f>
        <v/>
      </c>
      <c r="F96" s="74">
        <f>"Συνολική περίμετρος αντιστήριξης οικοπέδου (" &amp; C29 &amp; " οπές × " &amp; TEXT(C10,"0.00") &amp; " m c/c)."</f>
        <v/>
      </c>
    </row>
    <row r="97" ht="21" customHeight="1">
      <c r="A97" s="73" t="inlineStr">
        <is>
          <t>ΣΥΝ.2</t>
        </is>
      </c>
      <c r="B97" s="61" t="inlineStr">
        <is>
          <t>Συνολικό Εμβαδόν Όψης Εκσκαφής Έργου</t>
        </is>
      </c>
      <c r="C97" s="62">
        <f>C73</f>
        <v/>
      </c>
      <c r="D97" s="63" t="inlineStr">
        <is>
          <t>m²</t>
        </is>
      </c>
      <c r="E97" s="64">
        <f>"= " &amp; TEXT(C97,"#,##0.00") &amp; " m²"</f>
        <v/>
      </c>
      <c r="F97" s="74">
        <f>"Συνολική επιφάνεια μετώπου εκσκαφής (" &amp; TEXT(C30,"#,##0.00") &amp; " m × " &amp; TEXT(C35,"0.00") &amp; " m)."</f>
        <v/>
      </c>
    </row>
    <row r="98" ht="21" customHeight="1">
      <c r="A98" s="73" t="inlineStr">
        <is>
          <t>ΣΥΝ.3</t>
        </is>
      </c>
      <c r="B98" s="61" t="inlineStr">
        <is>
          <t>Συνολικό Πλήθος Οπών / Νεφκών (2 × UPN 240)</t>
        </is>
      </c>
      <c r="C98" s="66">
        <f>C29</f>
        <v/>
      </c>
      <c r="D98" s="63" t="inlineStr">
        <is>
          <t>οπές</t>
        </is>
      </c>
      <c r="E98" s="64">
        <f>"= " &amp; C98 &amp; " οπές"</f>
        <v/>
      </c>
      <c r="F98" s="74">
        <f>"Συνολικές οπές μεγάλου τρυπανιού Ø" &amp; TEXT(C11*1000,"0") &amp; " mm."</f>
        <v/>
      </c>
    </row>
    <row r="99" ht="21" customHeight="1">
      <c r="A99" s="73" t="inlineStr">
        <is>
          <t>ΣΥΝ.4</t>
        </is>
      </c>
      <c r="B99" s="61" t="inlineStr">
        <is>
          <t>Συνολικά Μέτρα Διάτρησης Μεγάλου Τρυπανιού Ø800 mm</t>
        </is>
      </c>
      <c r="C99" s="62">
        <f>C74</f>
        <v/>
      </c>
      <c r="D99" s="63" t="inlineStr">
        <is>
          <t>m</t>
        </is>
      </c>
      <c r="E99" s="64">
        <f>"= " &amp; TEXT(C99,"#,##0.00") &amp; " m"</f>
        <v/>
      </c>
      <c r="F99" s="74">
        <f>"Συνολικά μέτρα διάτρησης νεφκών βάσει WPL / Cut-Off Level."</f>
        <v/>
      </c>
    </row>
    <row r="100" ht="21" customHeight="1">
      <c r="A100" s="73" t="inlineStr">
        <is>
          <t>ΣΥΝ.4α</t>
        </is>
      </c>
      <c r="B100" s="61" t="inlineStr">
        <is>
          <t>Συνολικός Όγκος Εκσκαφής Οπών Νεφκών Ø800 mm</t>
        </is>
      </c>
      <c r="C100" s="62">
        <f>C75</f>
        <v/>
      </c>
      <c r="D100" s="63" t="inlineStr">
        <is>
          <t>m³</t>
        </is>
      </c>
      <c r="E100" s="64">
        <f>"= " &amp; TEXT(C100,"#,##0.00") &amp; " m³"</f>
        <v/>
      </c>
      <c r="F100" s="74">
        <f>"Συνολικός όγκος εκσκαφής οπών μεγάλου τρυπανιού βάσει WPL / Cut-Off Level."</f>
        <v/>
      </c>
    </row>
    <row r="101" ht="21" customHeight="1">
      <c r="A101" s="73" t="inlineStr">
        <is>
          <t>ΣΥΝ.5</t>
        </is>
      </c>
      <c r="B101" s="61">
        <f>"Συνολικό Βάρος Χάλυβα Νεφκών (" &amp; C32 &amp; " × " &amp; C31 &amp; ")"</f>
        <v/>
      </c>
      <c r="C101" s="62">
        <f>C76</f>
        <v/>
      </c>
      <c r="D101" s="63" t="inlineStr">
        <is>
          <t>kg</t>
        </is>
      </c>
      <c r="E101" s="64">
        <f>"= " &amp; TEXT(C101,"#,##0.00") &amp; " kg"</f>
        <v/>
      </c>
      <c r="F101" s="74">
        <f>"Συνολικά κιλά χάλυβα S275 προφίλ " &amp; C31 &amp; "."</f>
        <v/>
      </c>
    </row>
    <row r="102" ht="21" customHeight="1">
      <c r="A102" s="73" t="inlineStr">
        <is>
          <t>ΣΥΝ.6</t>
        </is>
      </c>
      <c r="B102" s="61">
        <f>"Συνολικό Βάρος Λαμών Σύνδεσης (" &amp; C20 &amp; "×" &amp; C21 &amp; "×" &amp; C22 &amp; " mm)"</f>
        <v/>
      </c>
      <c r="C102" s="62">
        <f>C79</f>
        <v/>
      </c>
      <c r="D102" s="63" t="inlineStr">
        <is>
          <t>kg</t>
        </is>
      </c>
      <c r="E102" s="64">
        <f>"= " &amp; TEXT(C102,"#,##0.00") &amp; " kg (" &amp; C78 &amp; " τεμ.)"</f>
        <v/>
      </c>
      <c r="F102" s="74">
        <f>"Συνολικά κιλά λαμών σύνδεσης των ζευγών UPN 240."</f>
        <v/>
      </c>
    </row>
    <row r="103" ht="21" customHeight="1">
      <c r="A103" s="73" t="inlineStr">
        <is>
          <t>ΣΥΝ.7</t>
        </is>
      </c>
      <c r="B103" s="61" t="inlineStr">
        <is>
          <t>Συνολικός Όγκος Κουγκριού Πάκτωσης Βάσης Νεφκών C30/37</t>
        </is>
      </c>
      <c r="C103" s="62">
        <f>C80</f>
        <v/>
      </c>
      <c r="D103" s="63" t="inlineStr">
        <is>
          <t>m³</t>
        </is>
      </c>
      <c r="E103" s="64">
        <f>"= " &amp; TEXT(C103,"#,##0.00") &amp; " m³"</f>
        <v/>
      </c>
      <c r="F103" s="74">
        <f>"Συνολικά κυβικά σκυροδέματος πάκτωσης βάσης νεφκών."</f>
        <v/>
      </c>
    </row>
    <row r="104" ht="21" customHeight="1">
      <c r="A104" s="73" t="inlineStr">
        <is>
          <t>ΣΥΝ.8</t>
        </is>
      </c>
      <c r="B104" s="61">
        <f>"Συνολικό Βάρος Γωνιών Στήριξης Σχάρας (" &amp; C25 &amp; ")"</f>
        <v/>
      </c>
      <c r="C104" s="62">
        <f>C82</f>
        <v/>
      </c>
      <c r="D104" s="63" t="inlineStr">
        <is>
          <t>kg</t>
        </is>
      </c>
      <c r="E104" s="64">
        <f>"= " &amp; TEXT(C104,"#,##0.00") &amp; " kg (" &amp; TEXT(C81,"#,##0.00") &amp; " m)"</f>
        <v/>
      </c>
      <c r="F104" s="74">
        <f>"Συνολικά κιλά γωνιών " &amp; C25 &amp; " καθ' ύψος εκσκαφής."</f>
        <v/>
      </c>
    </row>
    <row r="105" ht="21" customHeight="1">
      <c r="A105" s="73" t="inlineStr">
        <is>
          <t>ΣΥΝ.9</t>
        </is>
      </c>
      <c r="B105" s="61">
        <f>"Συνολικό Βάρος Χάλυβα Σχάρας Μετώπου (" &amp; C12 &amp; ")"</f>
        <v/>
      </c>
      <c r="C105" s="62">
        <f>C83</f>
        <v/>
      </c>
      <c r="D105" s="63" t="inlineStr">
        <is>
          <t>kg</t>
        </is>
      </c>
      <c r="E105" s="64">
        <f>"= " &amp; TEXT(C105,"#,##0.00") &amp; " kg"</f>
        <v/>
      </c>
      <c r="F105" s="74">
        <f>"Συνολικά κιλά δομικού πλέγματος " &amp; C12 &amp; "."</f>
        <v/>
      </c>
    </row>
    <row r="106" ht="21" customHeight="1">
      <c r="A106" s="73" t="inlineStr">
        <is>
          <t>ΣΥΝ.10</t>
        </is>
      </c>
      <c r="B106" s="61">
        <f>"Συνολικός Ονομαστικός Όγκος Shotcrete (" &amp; C16 &amp; ")"</f>
        <v/>
      </c>
      <c r="C106" s="62">
        <f>C85</f>
        <v/>
      </c>
      <c r="D106" s="63" t="inlineStr">
        <is>
          <t>m³</t>
        </is>
      </c>
      <c r="E106" s="64">
        <f>"= " &amp; TEXT(C106,"#,##0.00") &amp; " m³"</f>
        <v/>
      </c>
      <c r="F106" s="74">
        <f>"Συνολικά ονομαστικά κυβικά εκτοξευόμενου σκυροδέματος πάχους " &amp; TEXT(C17*100,"0") &amp; " cm."</f>
        <v/>
      </c>
    </row>
    <row r="107" ht="21" customHeight="1">
      <c r="A107" s="73" t="inlineStr">
        <is>
          <t>ΣΥΝ.11</t>
        </is>
      </c>
      <c r="B107" s="61" t="inlineStr">
        <is>
          <t>Συνολικό Πλήθος Προεντεταμένων Αγκυρώσεων (3 Σειρές)</t>
        </is>
      </c>
      <c r="C107" s="66">
        <f>C86</f>
        <v/>
      </c>
      <c r="D107" s="63" t="inlineStr">
        <is>
          <t>τεμ.</t>
        </is>
      </c>
      <c r="E107" s="64">
        <f>"= " &amp; TEXT(C107,"#,##0") &amp; " αγκυρώσεις"</f>
        <v/>
      </c>
      <c r="F107" s="74">
        <f>"Συνολικές κεφαλές και προεντάσεις αγκυρίων έργου."</f>
        <v/>
      </c>
    </row>
    <row r="108" ht="21" customHeight="1">
      <c r="A108" s="73" t="inlineStr">
        <is>
          <t>ΣΥΝ.12</t>
        </is>
      </c>
      <c r="B108" s="61" t="inlineStr">
        <is>
          <t>Συνολικά Μέτρα Διάτρησης Αγκυρώσεων Έργου</t>
        </is>
      </c>
      <c r="C108" s="62">
        <f>C87</f>
        <v/>
      </c>
      <c r="D108" s="63" t="inlineStr">
        <is>
          <t>m</t>
        </is>
      </c>
      <c r="E108" s="64">
        <f>"= " &amp; TEXT(C108,"#,##0.00") &amp; " m"</f>
        <v/>
      </c>
      <c r="F108" s="74">
        <f>"Συνολικά μέτρα διάτρησης αγκυρώσεων (3 σειρές × 120 × 16.00 m)."</f>
        <v/>
      </c>
    </row>
    <row r="109" ht="21" customHeight="1">
      <c r="A109" s="73" t="inlineStr">
        <is>
          <t>ΣΥΝ.13</t>
        </is>
      </c>
      <c r="B109" s="61" t="inlineStr">
        <is>
          <t>Συνολικός Όγκος Grout Αγκυρώσεων Έργου</t>
        </is>
      </c>
      <c r="C109" s="62">
        <f>C88</f>
        <v/>
      </c>
      <c r="D109" s="63" t="inlineStr">
        <is>
          <t>m³</t>
        </is>
      </c>
      <c r="E109" s="64">
        <f>"= " &amp; TEXT(C109,"#,##0.00") &amp; " m³"</f>
        <v/>
      </c>
      <c r="F109" s="74">
        <f>"Συνολικά κυβικά τσιμεντενέματος αγκυρώσεων."</f>
        <v/>
      </c>
    </row>
    <row r="110" ht="21" customHeight="1">
      <c r="A110" s="75" t="inlineStr">
        <is>
          <t>ΣΥΝ.14</t>
        </is>
      </c>
      <c r="B110" s="76" t="inlineStr">
        <is>
          <t>Συνολικό Μήκος Τενόντων Προέντασης 0.6'' Έργου</t>
        </is>
      </c>
      <c r="C110" s="77">
        <f>C89</f>
        <v/>
      </c>
      <c r="D110" s="78" t="inlineStr">
        <is>
          <t>m</t>
        </is>
      </c>
      <c r="E110" s="79">
        <f>"= " &amp; TEXT(C110,"#,##0.00") &amp; " m (" &amp; TEXT(C90,"#,##0.00") &amp; " kg)"</f>
        <v/>
      </c>
      <c r="F110" s="80">
        <f>"Συνολικά τρέχοντα μέτρα συρματόσχοινων 0.6'' (συμπεριλαμβανομένου +1.00 m/τένοντα)."</f>
        <v/>
      </c>
    </row>
  </sheetData>
  <mergeCells count="9">
    <mergeCell ref="A2:F2"/>
    <mergeCell ref="A28:F28"/>
    <mergeCell ref="A1:F1"/>
    <mergeCell ref="A6:F6"/>
    <mergeCell ref="A4:F4"/>
    <mergeCell ref="A92:F92"/>
    <mergeCell ref="A72:F72"/>
    <mergeCell ref="A59:F59"/>
    <mergeCell ref="A57:F57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40"/>
  <sheetViews>
    <sheetView showGridLines="1" workbookViewId="0">
      <selection activeCell="A1" sqref="A1"/>
    </sheetView>
  </sheetViews>
  <sheetFormatPr baseColWidth="8" defaultRowHeight="15" outlineLevelCol="0"/>
  <cols>
    <col width="11" customWidth="1" min="1" max="1"/>
    <col width="58" customWidth="1" min="2" max="2"/>
    <col width="15" customWidth="1" min="3" max="3"/>
    <col width="12" customWidth="1" min="4" max="4"/>
    <col width="17" customWidth="1" min="5" max="5"/>
    <col width="19" customWidth="1" min="6" max="6"/>
    <col width="21" customWidth="1" min="7" max="7"/>
    <col width="68" customWidth="1" min="8" max="8"/>
  </cols>
  <sheetData>
    <row r="1" ht="28" customHeight="1">
      <c r="A1" s="1" t="inlineStr">
        <is>
          <t>ΕΡΓΟ: THE HUB (Μ.Π. 421) — ΟΙΚΟΝΟΜΙΚΗ ΠΡΟΣΦΟΡΑ &amp; ΚΟΣΤΟΛΟΓΗΣΗ BERLIN WALL (ΣΕ ΚΟΥΤΙΑ ΑΝΑ ΤΥΠΟ — ΧΩΡΙΣ Φ.Π.Α.)</t>
        </is>
      </c>
    </row>
    <row r="2" ht="20" customHeight="1">
      <c r="A2" s="2" t="inlineStr">
        <is>
          <t>ΚΙΤΡΙΝΟ (#FFF2CC) = Τιμές Μονάδας Εταιρείας | ΠΟΡΤΟΚΑΛΙ (#FFE699) = Κουγκρί Πάκτωσης (120 €/m³) | Γενικά Έξοδα &amp; Όφελος ενσωματωμένα στις τιμές | ΧΩΡΙΣ Φ.Π.Α.</t>
        </is>
      </c>
    </row>
    <row r="4" ht="24" customHeight="1">
      <c r="A4" s="4" t="inlineStr">
        <is>
          <t>Κωδ.</t>
        </is>
      </c>
      <c r="B4" s="4" t="inlineStr">
        <is>
          <t>Περιγραφή Εργασίας / Υλικού (Δυναμική Σύνδεση)</t>
        </is>
      </c>
      <c r="C4" s="4" t="inlineStr">
        <is>
          <t>Ποσότητα</t>
        </is>
      </c>
      <c r="D4" s="4" t="inlineStr">
        <is>
          <t>Μονάδα</t>
        </is>
      </c>
      <c r="E4" s="4" t="inlineStr">
        <is>
          <t>Τιμή Μονάδας (€)</t>
        </is>
      </c>
      <c r="F4" s="4" t="inlineStr">
        <is>
          <t>Συνολικό Κόστος (€)</t>
        </is>
      </c>
      <c r="G4" s="4" t="inlineStr">
        <is>
          <t>ΤΕΛ. ΣΥΝΟΛΑ ΚΟΥΤΙΟΥ (€)</t>
        </is>
      </c>
      <c r="H4" s="4" t="inlineStr">
        <is>
          <t>Πηγή Ποσότητας &amp; Τεχνικός Κανόνας Κοστολόγησης</t>
        </is>
      </c>
    </row>
    <row r="5" ht="24" customHeight="1">
      <c r="A5" s="32">
        <f>"📦 ΚΟΥΤΙ [TYPE A]: ΠΕΡΙΜΕΤΡΙΚΟΣ ΤΟΙΧΟΣ ΑΝΤΙΣΤΗΡΙΞΗΣ ΤΥΠΟΥ 'ΒΕΡΟΛΙΝΟ' — " &amp; TEXT('1_Στοιχεία_Μελέτης_&amp;_Ποσότητες'!C30,"#,##0.00") &amp; " τρ.μ. | " &amp; TEXT(ROUND(G6/'1_Στοιχεία_Μελέτης_&amp;_Ποσότητες'!C30,2),"#,##0.00") &amp; " €/τρ.μ. | ΣΥΝΟΛΟ: " &amp; TEXT(G6,"#,##0.00") &amp; " €"</f>
        <v/>
      </c>
      <c r="B5" s="6" t="n"/>
      <c r="C5" s="6" t="n"/>
      <c r="D5" s="6" t="n"/>
      <c r="E5" s="6" t="n"/>
      <c r="F5" s="6" t="n"/>
      <c r="G5" s="6" t="n"/>
      <c r="H5" s="7" t="n"/>
    </row>
    <row r="6" ht="22" customHeight="1">
      <c r="A6" s="8" t="inlineStr">
        <is>
          <t>A.1</t>
        </is>
      </c>
      <c r="B6" s="9">
        <f>"[ΠΥΛ. 3] Διάτρηση Μεγάλου Τρυπανιού (Ø" &amp; TEXT('1_Στοιχεία_Μελέτης_&amp;_Ποσότητες'!C11*1000,"0") &amp; " mm)"</f>
        <v/>
      </c>
      <c r="C6" s="50">
        <f>'1_Στοιχεία_Μελέτης_&amp;_Ποσότητες'!C74</f>
        <v/>
      </c>
      <c r="D6" s="11" t="inlineStr">
        <is>
          <t>m</t>
        </is>
      </c>
      <c r="E6" s="81" t="n">
        <v>75</v>
      </c>
      <c r="F6" s="50">
        <f>ROUND(C6*E6, 2)</f>
        <v/>
      </c>
      <c r="G6" s="82">
        <f>SUM(F6:F19)</f>
        <v/>
      </c>
      <c r="H6" s="13">
        <f>"Από Φύλλο 1 (A.1): " &amp; '1_Στοιχεία_Μελέτης_&amp;_Ποσότητες'!C29 &amp; " οπές × " &amp; TEXT('1_Στοιχεία_Μελέτης_&amp;_Ποσότητες'!C39,"0.00") &amp; " m = " &amp; TEXT(C6,"#,##0.00") &amp; " m × " &amp; TEXT(E6,"0.00") &amp; " €/m"</f>
        <v/>
      </c>
    </row>
    <row r="7" ht="22" customHeight="1">
      <c r="A7" s="8" t="inlineStr">
        <is>
          <t>A.2</t>
        </is>
      </c>
      <c r="B7" s="9">
        <f>"[ΠΥΛ. 3] Χάλυβας Νεφκών (" &amp; '1_Στοιχεία_Μελέτης_&amp;_Ποσότητες'!C32 &amp; " × " &amp; '1_Στοιχεία_Μελέτης_&amp;_Ποσότητες'!C31 &amp; " S275 — Αγορά + Επεξεργασία)"</f>
        <v/>
      </c>
      <c r="C7" s="50">
        <f>'1_Στοιχεία_Μελέτης_&amp;_Ποσότητες'!C76</f>
        <v/>
      </c>
      <c r="D7" s="11" t="inlineStr">
        <is>
          <t>kg</t>
        </is>
      </c>
      <c r="E7" s="81" t="n">
        <v>1.4</v>
      </c>
      <c r="F7" s="50">
        <f>ROUND(C7*E7, 2)</f>
        <v/>
      </c>
      <c r="G7" s="83" t="n"/>
      <c r="H7" s="13">
        <f>"Από Φύλλο 1 (A.2): " &amp; TEXT(C7,"#,##0.00") &amp; " kg × " &amp; TEXT(E7,"0.00") &amp; " €/kg (1.00 € αγορά + 0.40 € επεξεργασία/τοποθέτηση)"</f>
        <v/>
      </c>
    </row>
    <row r="8" ht="22" customHeight="1">
      <c r="A8" s="8" t="inlineStr">
        <is>
          <t>A.3</t>
        </is>
      </c>
      <c r="B8" s="9">
        <f>"[ΠΥΛ. 3] Λάμες Σύνδεσης Νεφκών (" &amp; '1_Στοιχεία_Μελέτης_&amp;_Ποσότητες'!C20 &amp; "×" &amp; '1_Στοιχεία_Μελέτης_&amp;_Ποσότητες'!C21 &amp; "×" &amp; '1_Στοιχεία_Μελέτης_&amp;_Ποσότητες'!C22 &amp; " mm)"</f>
        <v/>
      </c>
      <c r="C8" s="50">
        <f>'1_Στοιχεία_Μελέτης_&amp;_Ποσότητες'!C79</f>
        <v/>
      </c>
      <c r="D8" s="11" t="inlineStr">
        <is>
          <t>kg</t>
        </is>
      </c>
      <c r="E8" s="81" t="n">
        <v>1.6</v>
      </c>
      <c r="F8" s="50">
        <f>ROUND(C8*E8, 2)</f>
        <v/>
      </c>
      <c r="G8" s="83" t="n"/>
      <c r="H8" s="13">
        <f>"Από Φύλλο 1 (A.3): " &amp; '1_Στοιχεία_Μελέτης_&amp;_Ποσότητες'!C78 &amp; " τεμ. (" &amp; TEXT(C8,"#,##0.00") &amp; " kg) × " &amp; TEXT(E8,"0.00") &amp; " €/kg (1.00 € αγορά + 0.60 € συγκόλληση)"</f>
        <v/>
      </c>
    </row>
    <row r="9" ht="22" customHeight="1">
      <c r="A9" s="8" t="inlineStr">
        <is>
          <t>A.4</t>
        </is>
      </c>
      <c r="B9" s="9">
        <f>"[ΠΥΛ. 3] Κουγκρί Πάκτωσης Βάσης Νεφκών C30/37 (H_embed = " &amp; TEXT('1_Στοιχεία_Μελέτης_&amp;_Ποσότητες'!C36,"0.00") &amp; " m)"</f>
        <v/>
      </c>
      <c r="C9" s="50">
        <f>'1_Στοιχεία_Μελέτης_&amp;_Ποσότητες'!C80</f>
        <v/>
      </c>
      <c r="D9" s="11" t="inlineStr">
        <is>
          <t>m³</t>
        </is>
      </c>
      <c r="E9" s="84" t="n">
        <v>120</v>
      </c>
      <c r="F9" s="50">
        <f>ROUND(C9*E9, 2)</f>
        <v/>
      </c>
      <c r="G9" s="83" t="n"/>
      <c r="H9" s="13">
        <f>"Από Φύλλο 1 (A.4): " &amp; TEXT(C9,"#,##0.00") &amp; " m³ × " &amp; TEXT(E9,"0.00") &amp; " €/m³ [ΠΟΡΤΟΚΑΛΙ ΚΕΛΙ ΓΙΑ ΕΠΙΒΕΒΑΙΩΣΗ]"</f>
        <v/>
      </c>
    </row>
    <row r="10" ht="22" customHeight="1">
      <c r="A10" s="8" t="inlineStr">
        <is>
          <t>A.5</t>
        </is>
      </c>
      <c r="B10" s="9">
        <f>"[ΠΥΛ. 3] Γωνιές Στήριξης Σχάρας (2 × " &amp; '1_Στοιχεία_Μελέτης_&amp;_Ποσότητες'!C25 &amp; " καθ' ύψος)"</f>
        <v/>
      </c>
      <c r="C10" s="50">
        <f>'1_Στοιχεία_Μελέτης_&amp;_Ποσότητες'!C82</f>
        <v/>
      </c>
      <c r="D10" s="11" t="inlineStr">
        <is>
          <t>kg</t>
        </is>
      </c>
      <c r="E10" s="81" t="n">
        <v>1.6</v>
      </c>
      <c r="F10" s="50">
        <f>ROUND(C10*E10, 2)</f>
        <v/>
      </c>
      <c r="G10" s="83" t="n"/>
      <c r="H10" s="13">
        <f>"Από Φύλλο 1 (A.5): " &amp; TEXT('1_Στοιχεία_Μελέτης_&amp;_Ποσότητες'!C81,"#,##0.00") &amp; " m (" &amp; TEXT(C10,"#,##0.00") &amp; " kg) × " &amp; TEXT(E10,"0.00") &amp; " €/kg"</f>
        <v/>
      </c>
    </row>
    <row r="11" ht="22" customHeight="1">
      <c r="A11" s="8" t="inlineStr">
        <is>
          <t>A.6</t>
        </is>
      </c>
      <c r="B11" s="9">
        <f>"[ΠΥΛ. 2] Αγορά Χάλυβα Σχάρας Μετώπου (" &amp; '1_Στοιχεία_Μελέτης_&amp;_Ποσότητες'!C12 &amp; " — Y" &amp; '1_Στοιχεία_Μελέτης_&amp;_Ποσότητες'!C13 &amp; " @ " &amp; '1_Στοιχεία_Μελέτης_&amp;_Ποσότητες'!C14 &amp; "×" &amp; '1_Στοιχεία_Μελέτης_&amp;_Ποσότητες'!C15 &amp; " mm)"</f>
        <v/>
      </c>
      <c r="C11" s="50">
        <f>'1_Στοιχεία_Μελέτης_&amp;_Ποσότητες'!C83</f>
        <v/>
      </c>
      <c r="D11" s="11" t="inlineStr">
        <is>
          <t>kg</t>
        </is>
      </c>
      <c r="E11" s="81" t="n">
        <v>2.5</v>
      </c>
      <c r="F11" s="50">
        <f>ROUND(C11*E11, 2)</f>
        <v/>
      </c>
      <c r="G11" s="83" t="n"/>
      <c r="H11" s="13">
        <f>"Από Φύλλο 1 (A.6): " &amp; TEXT(C11,"#,##0.00") &amp; " kg × " &amp; TEXT(E11,"0.00") &amp; " €/kg"</f>
        <v/>
      </c>
    </row>
    <row r="12" ht="22" customHeight="1">
      <c r="A12" s="8" t="inlineStr">
        <is>
          <t>A.7</t>
        </is>
      </c>
      <c r="B12" s="9">
        <f>"[ΠΥΛ. 2] Τοποθέτηση Σχάρας Μετώπου / Εργατικά (" &amp; '1_Στοιχεία_Μελέτης_&amp;_Ποσότητες'!C12 &amp; ")"</f>
        <v/>
      </c>
      <c r="C12" s="50">
        <f>'1_Στοιχεία_Μελέτης_&amp;_Ποσότητες'!C84</f>
        <v/>
      </c>
      <c r="D12" s="11" t="inlineStr">
        <is>
          <t>m²</t>
        </is>
      </c>
      <c r="E12" s="81" t="n">
        <v>15</v>
      </c>
      <c r="F12" s="50">
        <f>ROUND(C12*E12, 2)</f>
        <v/>
      </c>
      <c r="G12" s="83" t="n"/>
      <c r="H12" s="13">
        <f>"Από Φύλλο 1 (A.7): " &amp; TEXT(C12,"#,##0.00") &amp; " m² × " &amp; TEXT(E12,"0.00") &amp; " €/m² ενιαία τιμή τοποθέτησης"</f>
        <v/>
      </c>
    </row>
    <row r="13" ht="22" customHeight="1">
      <c r="A13" s="8" t="inlineStr">
        <is>
          <t>A.8</t>
        </is>
      </c>
      <c r="B13" s="9">
        <f>"[ΠΥΛ. 2] Αγορά Σκυροδέματος Shotcrete (" &amp; '1_Στοιχεία_Μελέτης_&amp;_Ποσότητες'!C16 &amp; ", πάχος " &amp; TEXT('1_Στοιχεία_Μελέτης_&amp;_Ποσότητες'!C17*100,"0") &amp; " cm)"</f>
        <v/>
      </c>
      <c r="C13" s="50">
        <f>'1_Στοιχεία_Μελέτης_&amp;_Ποσότητες'!C85</f>
        <v/>
      </c>
      <c r="D13" s="11" t="inlineStr">
        <is>
          <t>m³</t>
        </is>
      </c>
      <c r="E13" s="81" t="n">
        <v>90</v>
      </c>
      <c r="F13" s="50">
        <f>ROUND(C13*E13, 2)</f>
        <v/>
      </c>
      <c r="G13" s="83" t="n"/>
      <c r="H13" s="13">
        <f>"Από Φύλλο 1 (A.8): " &amp; TEXT(C13,"#,##0.00") &amp; " m³ ονομαστικός όγκος × " &amp; TEXT(E13,"0.00") &amp; " €/m³ αγορά κουγκριού"</f>
        <v/>
      </c>
    </row>
    <row r="14" ht="22" customHeight="1">
      <c r="A14" s="8" t="inlineStr">
        <is>
          <t>A.9</t>
        </is>
      </c>
      <c r="B14" s="9">
        <f>"[ΠΥΛ. 2] Εφαρμογή / Εκτόξευση Shotcrete (με +" &amp; TEXT('1_Στοιχεία_Μελέτης_&amp;_Ποσότητες'!C18*100,"0") &amp; " cm απώλεια)"</f>
        <v/>
      </c>
      <c r="C14" s="50">
        <f>'1_Στοιχεία_Μελέτης_&amp;_Ποσότητες'!C85</f>
        <v/>
      </c>
      <c r="D14" s="11" t="inlineStr">
        <is>
          <t>m³</t>
        </is>
      </c>
      <c r="E14" s="81">
        <f>ROUND((IF(C13&gt;7, 200, 250)*(1+'1_Στοιχεία_Μελέτης_&amp;_Ποσότητες'!C64))-E13, 2)</f>
        <v/>
      </c>
      <c r="F14" s="50">
        <f>ROUND(C14*E14, 2)</f>
        <v/>
      </c>
      <c r="G14" s="83" t="n"/>
      <c r="H14" s="13">
        <f>"Βάση " &amp; IF(C13&gt;7,200,250) &amp; "€ × (1 + " &amp; TEXT('1_Στοιχεία_Μελέτης_&amp;_Ποσότητες'!C64,"0.0%") &amp; " απώλεια) - " &amp; TEXT(E13,"0.00") &amp; "€ αγορά = " &amp; TEXT(E14,"0.00") &amp; " €/m³"</f>
        <v/>
      </c>
    </row>
    <row r="15" ht="22" customHeight="1">
      <c r="A15" s="8" t="inlineStr">
        <is>
          <t>A.10</t>
        </is>
      </c>
      <c r="B15" s="9">
        <f>"[ΠΥΛ. 4] Διάτρηση Προεντεταμένων Αγκυρώσεων (" &amp; '1_Στοιχεία_Μελέτης_&amp;_Ποσότητες'!C40 &amp; " Σειρές × " &amp; '1_Στοιχεία_Μελέτης_&amp;_Ποσότητες'!C29 &amp; " οπές × " &amp; TEXT('1_Στοιχεία_Μελέτης_&amp;_Ποσότητες'!C44,"0.00") &amp; " m)"</f>
        <v/>
      </c>
      <c r="C15" s="50">
        <f>'1_Στοιχεία_Μελέτης_&amp;_Ποσότητες'!C87</f>
        <v/>
      </c>
      <c r="D15" s="11" t="inlineStr">
        <is>
          <t>m</t>
        </is>
      </c>
      <c r="E15" s="81" t="n">
        <v>30</v>
      </c>
      <c r="F15" s="50">
        <f>ROUND(C15*E15, 2)</f>
        <v/>
      </c>
      <c r="G15" s="83" t="n"/>
      <c r="H15" s="13">
        <f>"Από Φύλλο 1 (A.10): " &amp; TEXT(C15,"#,##0.00") &amp; " m × " &amp; TEXT(E15,"0.00") &amp; " €/m (κλίση 27°, 4m ελεύθερο + 12m πακτωμένο)"</f>
        <v/>
      </c>
    </row>
    <row r="16" ht="22" customHeight="1">
      <c r="A16" s="8" t="inlineStr">
        <is>
          <t>A.11</t>
        </is>
      </c>
      <c r="B16" s="9">
        <f>"[ΠΥΛ. 4] Grout Τσιμεντένεμα Αγκυρώσεων (Ø" &amp; TEXT('1_Στοιχεία_Μελέτης_&amp;_Ποσότητες'!C67*1000,"0") &amp; " mm × " &amp; TEXT('1_Στοιχεία_Μελέτης_&amp;_Ποσότητες'!C68,"0.00") &amp; ")"</f>
        <v/>
      </c>
      <c r="C16" s="50">
        <f>'1_Στοιχεία_Μελέτης_&amp;_Ποσότητες'!C88</f>
        <v/>
      </c>
      <c r="D16" s="11" t="inlineStr">
        <is>
          <t>m³</t>
        </is>
      </c>
      <c r="E16" s="81" t="n">
        <v>500</v>
      </c>
      <c r="F16" s="50">
        <f>ROUND(C16*E16, 2)</f>
        <v/>
      </c>
      <c r="G16" s="83" t="n"/>
      <c r="H16" s="13">
        <f>"Από Φύλλο 1 (A.11): " &amp; TEXT(C16,"#,##0.00") &amp; " m³ × " &amp; TEXT(E16,"0.00") &amp; " €/m³ (fck=35MPa)"</f>
        <v/>
      </c>
    </row>
    <row r="17" ht="22" customHeight="1">
      <c r="A17" s="8" t="inlineStr">
        <is>
          <t>A.12</t>
        </is>
      </c>
      <c r="B17" s="9">
        <f>"[ΠΥΛ. 4] Τένοντες Προέντασης 0.6'' (" &amp; '1_Στοιχεία_Μελέτης_&amp;_Ποσότητες'!C45 &amp; " Strands/οπή, S 1570/1770)"</f>
        <v/>
      </c>
      <c r="C17" s="50">
        <f>'1_Στοιχεία_Μελέτης_&amp;_Ποσότητες'!C89</f>
        <v/>
      </c>
      <c r="D17" s="11" t="inlineStr">
        <is>
          <t>m</t>
        </is>
      </c>
      <c r="E17" s="81" t="n">
        <v>2.28</v>
      </c>
      <c r="F17" s="50">
        <f>ROUND(C17*E17, 2)</f>
        <v/>
      </c>
      <c r="G17" s="83" t="n"/>
      <c r="H17" s="13">
        <f>"Από Φύλλο 1 (A.12): " &amp; TEXT(C17,"#,##0.00") &amp; " m τενόντων (συμπερ. +" &amp; TEXT('1_Στοιχεία_Μελέτης_&amp;_Ποσότητες'!C66,"0.0") &amp; "m) × " &amp; TEXT(E17,"0.00") &amp; " €/m"</f>
        <v/>
      </c>
    </row>
    <row r="18" ht="22" customHeight="1">
      <c r="A18" s="8" t="inlineStr">
        <is>
          <t>A.13</t>
        </is>
      </c>
      <c r="B18" s="9" t="inlineStr">
        <is>
          <t>[ΠΥΛ. 4] Προένταση Αγκυρώσεων (Stressing &amp; Lock-off: 150kN / 270kN / 300kN)</t>
        </is>
      </c>
      <c r="C18" s="46">
        <f>'1_Στοιχεία_Μελέτης_&amp;_Ποσότητες'!C86</f>
        <v/>
      </c>
      <c r="D18" s="11" t="inlineStr">
        <is>
          <t>τεμ.</t>
        </is>
      </c>
      <c r="E18" s="81" t="n">
        <v>18</v>
      </c>
      <c r="F18" s="50">
        <f>ROUND(C18*E18, 2)</f>
        <v/>
      </c>
      <c r="G18" s="83" t="n"/>
      <c r="H18" s="13">
        <f>"Από Φύλλο 1 (A.9): " &amp; TEXT(C18,"#,##0") &amp; " αγκυρώσεις × " &amp; TEXT(E18,"0.00") &amp; " €/τεμ. (τάνυση, δοκιμή &amp; κλείδωμα)"</f>
        <v/>
      </c>
    </row>
    <row r="19" ht="22" customHeight="1">
      <c r="A19" s="26" t="inlineStr">
        <is>
          <t>A.14</t>
        </is>
      </c>
      <c r="B19" s="40" t="inlineStr">
        <is>
          <t>[ΠΥΛ. 4] Κεφαλές Αγκύρωσης (Anchor Head, Wedges, Bearing Plate Λεπτ. 4–7)</t>
        </is>
      </c>
      <c r="C19" s="85">
        <f>'1_Στοιχεία_Μελέτης_&amp;_Ποσότητες'!C86</f>
        <v/>
      </c>
      <c r="D19" s="42" t="inlineStr">
        <is>
          <t>τεμ.</t>
        </is>
      </c>
      <c r="E19" s="86" t="n">
        <v>55</v>
      </c>
      <c r="F19" s="56">
        <f>ROUND(C19*E19, 2)</f>
        <v/>
      </c>
      <c r="G19" s="87" t="n"/>
      <c r="H19" s="44">
        <f>"Από Φύλλο 1 (A.9): " &amp; TEXT(C19,"#,##0") &amp; " πλήρη σετ κεφαλών, σφηνών &amp; πλακών × " &amp; TEXT(E19,"0.00") &amp; " €/τεμ."</f>
        <v/>
      </c>
    </row>
    <row r="21" ht="24" customHeight="1">
      <c r="A21" s="67">
        <f>"📦 ΚΟΥΤΙ [ΠΥΛ. 1]: ΜΕΤΑΚΙΝΗΣΕΙΣ ΕΞΟΠΛΙΣΜΟΥ &amp; ΣΥΝΕΡΓΕΙΩΝ (Απόσταση: " &amp; '1_Στοιχεία_Μελέτης_&amp;_Ποσότητες'!C9 &amp; " km — Λεμεσός) | ΣΥΝΟΛΟ: " &amp; TEXT(G22,"#,##0.00") &amp; " €"</f>
        <v/>
      </c>
      <c r="B21" s="68" t="n"/>
      <c r="C21" s="68" t="n"/>
      <c r="D21" s="68" t="n"/>
      <c r="E21" s="68" t="n"/>
      <c r="F21" s="68" t="n"/>
      <c r="G21" s="68" t="n"/>
      <c r="H21" s="69" t="n"/>
    </row>
    <row r="22" ht="22" customHeight="1">
      <c r="A22" s="70" t="inlineStr">
        <is>
          <t>M.1</t>
        </is>
      </c>
      <c r="B22" s="9">
        <f>"Μετακίνηση Μεγάλου Τρυπανιού (Piling Rig — Απόσταση " &amp; '1_Στοιχεία_Μελέτης_&amp;_Ποσότητες'!C9 &amp; " km)"</f>
        <v/>
      </c>
      <c r="C22" s="46">
        <f>'1_Στοιχεία_Μελέτης_&amp;_Ποσότητες'!C93</f>
        <v/>
      </c>
      <c r="D22" s="11" t="inlineStr">
        <is>
          <t>στράτες</t>
        </is>
      </c>
      <c r="E22" s="81">
        <f>1500+IF('1_Στοιχεία_Μελέτης_&amp;_Ποσότητες'!C9&gt;80,1500,IF('1_Στοιχεία_Μελέτης_&amp;_Ποσότητες'!C9&gt;40,500,0))</f>
        <v/>
      </c>
      <c r="F22" s="50">
        <f>ROUND(C22*E22, 2)</f>
        <v/>
      </c>
      <c r="G22" s="82">
        <f>SUM(F22:F24)</f>
        <v/>
      </c>
      <c r="H22" s="88">
        <f>"Βασική ζώνη Λεμεσού (0–40 km): 1,500.00 € / στράτα (+500€ για 40–80km, +1500€ για &gt;80km)"</f>
        <v/>
      </c>
    </row>
    <row r="23" ht="22" customHeight="1">
      <c r="A23" s="70" t="inlineStr">
        <is>
          <t>M.2</t>
        </is>
      </c>
      <c r="B23" s="9">
        <f>"Μετακινήσεις Εξοπλισμού Αγκυρώσεων (" &amp; '1_Στοιχεία_Μελέτης_&amp;_Ποσότητες'!C40 &amp; " οριζόντιες σειρές)"</f>
        <v/>
      </c>
      <c r="C23" s="46">
        <f>'1_Στοιχεία_Μελέτης_&amp;_Ποσότητες'!C94</f>
        <v/>
      </c>
      <c r="D23" s="11" t="inlineStr">
        <is>
          <t>στράτες</t>
        </is>
      </c>
      <c r="E23" s="81">
        <f>300+MAX(0,ROUNDUP(('1_Στοιχεία_Μελέτης_&amp;_Ποσότητες'!C9-40)/40,0))*50</f>
        <v/>
      </c>
      <c r="F23" s="50">
        <f>ROUND(C23*E23, 2)</f>
        <v/>
      </c>
      <c r="G23" s="83" t="n"/>
      <c r="H23" s="88">
        <f>"1 στράτα ανά οριζόντια σειρά αγκυρώσεων = " &amp; C23 &amp; " στράτες × " &amp; TEXT(E23,"0.00") &amp; " €"</f>
        <v/>
      </c>
    </row>
    <row r="24" ht="22" customHeight="1">
      <c r="A24" s="89" t="inlineStr">
        <is>
          <t>M.3</t>
        </is>
      </c>
      <c r="B24" s="90">
        <f>"Μετακινήσεις Συνεργείου &amp; Αντλίας Shotcrete (" &amp; '1_Στοιχεία_Μελέτης_&amp;_Ποσότητες'!C40 &amp; " + 1 στράτες)"</f>
        <v/>
      </c>
      <c r="C24" s="91">
        <f>'1_Στοιχεία_Μελέτης_&amp;_Ποσότητες'!C95</f>
        <v/>
      </c>
      <c r="D24" s="92" t="inlineStr">
        <is>
          <t>στράτες</t>
        </is>
      </c>
      <c r="E24" s="93">
        <f>200+MAX(0,ROUNDUP(('1_Στοιχεία_Μελέτης_&amp;_Ποσότητες'!C9-40)/40,0))*50</f>
        <v/>
      </c>
      <c r="F24" s="94">
        <f>ROUND(C24*E24, 2)</f>
        <v/>
      </c>
      <c r="G24" s="95" t="n"/>
      <c r="H24" s="96">
        <f>"Σειρές αγκυρώσεων + 1 = " &amp; C24 &amp; " στράτες × " &amp; TEXT(E24,"0.00") &amp; " €"</f>
        <v/>
      </c>
    </row>
    <row r="26" ht="24" customHeight="1">
      <c r="A26" s="32" t="inlineStr">
        <is>
          <t>📊 ΣΥΓΚΕΝΤΡΩΤΙΚΟΣ ΠΙΝΑΚΑΣ ΑΝΑ ΤΥΠΟ ΤΟΙΧΟΥ, CROSS-CHECK 4 ΠΥΛΩΝΩΝ &amp; ΤΕΛΙΚΟ ΣΥΝΟΛΟ ΠΡΟΣΦΟΡΑΣ (ΧΩΡΙΣ Φ.Π.Α.)</t>
        </is>
      </c>
      <c r="B26" s="6" t="n"/>
      <c r="C26" s="6" t="n"/>
      <c r="D26" s="6" t="n"/>
      <c r="E26" s="6" t="n"/>
      <c r="F26" s="6" t="n"/>
      <c r="G26" s="6" t="n"/>
      <c r="H26" s="7" t="n"/>
    </row>
    <row r="27" ht="22" customHeight="1">
      <c r="A27" s="60" t="inlineStr">
        <is>
          <t>ΣΥΝ.Α</t>
        </is>
      </c>
      <c r="B27" s="61">
        <f>"Σύνολο Κουτιού [TYPE A] — Περιμετρικός Τοίχος Βερολίνου (" &amp; TEXT('1_Στοιχεία_Μελέτης_&amp;_Ποσότητες'!C30,"#,##0.00") &amp; " τρ.μ. / " &amp; TEXT('1_Στοιχεία_Μελέτης_&amp;_Ποσότητες'!C73,"#,##0.00") &amp; " m²)"</f>
        <v/>
      </c>
      <c r="C27" s="97" t="n"/>
      <c r="D27" s="97" t="n"/>
      <c r="E27" s="97" t="n"/>
      <c r="F27" s="62">
        <f>G6</f>
        <v/>
      </c>
      <c r="G27" s="98">
        <f>G6/F33</f>
        <v/>
      </c>
      <c r="H27" s="65">
        <f>"Πλήρες κόστος H-Beams, Σχάρας/Shotcrete &amp; Αγκυρώσεων Type A (" &amp; TEXT(ROUND(G6/'1_Στοιχεία_Μελέτης_&amp;_Ποσότητες'!C30,2),"#,##0.00") &amp; " €/τρ.μ.)"</f>
        <v/>
      </c>
    </row>
    <row r="28" ht="22" customHeight="1">
      <c r="A28" s="60" t="inlineStr">
        <is>
          <t>ΠΥΛ.1</t>
        </is>
      </c>
      <c r="B28" s="61" t="inlineStr">
        <is>
          <t>Πυλώνας 1: Μετακινήσεις Εξοπλισμού &amp; Συνεργείων (Piling Rig, Αγκυρώσεις, Shotcrete)</t>
        </is>
      </c>
      <c r="C28" s="97" t="n"/>
      <c r="D28" s="97" t="n"/>
      <c r="E28" s="97" t="n"/>
      <c r="F28" s="62">
        <f>G22</f>
        <v/>
      </c>
      <c r="G28" s="98">
        <f>G22/F33</f>
        <v/>
      </c>
      <c r="H28" s="65">
        <f>"Σύνολο Κουτιού Μετακινήσεων (" &amp; (C22+C23+C24) &amp; " στράτες συνολικά στη Λεμεσό)"</f>
        <v/>
      </c>
    </row>
    <row r="29" ht="22" customHeight="1">
      <c r="A29" s="8" t="inlineStr">
        <is>
          <t>ΠΥΛ.2</t>
        </is>
      </c>
      <c r="B29" s="45">
        <f>"[Cross-Check] Πυλώνας 2: Σχάρες (" &amp; '1_Στοιχεία_Μελέτης_&amp;_Ποσότητες'!C12 &amp; ") &amp; Shotcrete (" &amp; '1_Στοιχεία_Μελέτης_&amp;_Ποσότητες'!C16 &amp; ", " &amp; TEXT('1_Στοιχεία_Μελέτης_&amp;_Ποσότητες'!C17*100,"0") &amp; " cm)"</f>
        <v/>
      </c>
      <c r="C29" s="99" t="n"/>
      <c r="D29" s="99" t="n"/>
      <c r="E29" s="99" t="n"/>
      <c r="F29" s="50">
        <f>SUM(F11:F14)</f>
        <v/>
      </c>
      <c r="G29" s="100">
        <f>F29/F33</f>
        <v/>
      </c>
      <c r="H29" s="49">
        <f>"= Αγορά Σχάρας (" &amp; TEXT(F11,"#,##0.00") &amp; "€) + Τοποθέτηση (" &amp; TEXT(F12,"#,##0.00") &amp; "€) + Shotcrete (" &amp; TEXT(F13+F14,"#,##0.00") &amp; "€)"</f>
        <v/>
      </c>
    </row>
    <row r="30" ht="22" customHeight="1">
      <c r="A30" s="8" t="inlineStr">
        <is>
          <t>ΠΥΛ.3</t>
        </is>
      </c>
      <c r="B30" s="45">
        <f>"[Cross-Check] Πυλώνας 3: Νέφκες (" &amp; '1_Στοιχεία_Μελέτης_&amp;_Ποσότητες'!C32 &amp; "×" &amp; '1_Στοιχεία_Μελέτης_&amp;_Ποσότητες'!C31 &amp; "), Διάτρηση Ø" &amp; TEXT('1_Στοιχεία_Μελέτης_&amp;_Ποσότητες'!C11*1000,"0") &amp; ", Λάμες, Κουγκρί &amp; Γωνιές"</f>
        <v/>
      </c>
      <c r="C30" s="99" t="n"/>
      <c r="D30" s="99" t="n"/>
      <c r="E30" s="99" t="n"/>
      <c r="F30" s="50">
        <f>SUM(F6:F10)</f>
        <v/>
      </c>
      <c r="G30" s="100">
        <f>F30/F33</f>
        <v/>
      </c>
      <c r="H30" s="49">
        <f>"= Διάτρηση (" &amp; TEXT(F6,"#,##0.00") &amp; "€) + UPN (" &amp; TEXT(F7,"#,##0.00") &amp; "€) + Λάμες (" &amp; TEXT(F8,"#,##0.00") &amp; "€) + Κουγκρί (" &amp; TEXT(F9,"#,##0.00") &amp; "€) + Γωνιές (" &amp; TEXT(F10,"#,##0.00") &amp; "€)"</f>
        <v/>
      </c>
    </row>
    <row r="31" ht="22" customHeight="1">
      <c r="A31" s="8" t="inlineStr">
        <is>
          <t>ΠΥΛ.4</t>
        </is>
      </c>
      <c r="B31" s="45">
        <f>"[Cross-Check] Πυλώνας 4: Προεντεταμένες Αγκυρώσεις (" &amp; '1_Στοιχεία_Μελέτης_&amp;_Ποσότητες'!C86 &amp; " οπές × " &amp; TEXT('1_Στοιχεία_Μελέτης_&amp;_Ποσότητες'!C44,"0.00") &amp; " m, " &amp; '1_Στοιχεία_Μελέτης_&amp;_Ποσότητες'!C45 &amp; " Strands)"</f>
        <v/>
      </c>
      <c r="C31" s="99" t="n"/>
      <c r="D31" s="99" t="n"/>
      <c r="E31" s="99" t="n"/>
      <c r="F31" s="50">
        <f>SUM(F15:F19)</f>
        <v/>
      </c>
      <c r="G31" s="100">
        <f>F31/F33</f>
        <v/>
      </c>
      <c r="H31" s="49">
        <f>"= Διάτρηση (" &amp; TEXT(F15,"#,##0.00") &amp; "€) + Grout (" &amp; TEXT(F16,"#,##0.00") &amp; "€) + Τένοντες (" &amp; TEXT(F17,"#,##0.00") &amp; "€) + Τάνυση &amp; Κεφαλές (" &amp; TEXT(F18+F19,"#,##0.00") &amp; "€)"</f>
        <v/>
      </c>
    </row>
    <row r="32" ht="22" customHeight="1">
      <c r="A32" s="8" t="inlineStr">
        <is>
          <t>ΕΛΕΓΧΟΣ</t>
        </is>
      </c>
      <c r="B32" s="45" t="inlineStr">
        <is>
          <t>Επαλήθευση Ισότητας (Κουτιά Type A + Μετακινήσεις == Άθροισμα 4 Πυλώνων)</t>
        </is>
      </c>
      <c r="C32" s="99" t="n"/>
      <c r="D32" s="99" t="n"/>
      <c r="E32" s="99" t="n"/>
      <c r="F32" s="50">
        <f>ROUND((F27+F28)-(F28+F29+F30+F31), 2)</f>
        <v/>
      </c>
      <c r="G32" s="100" t="n">
        <v>0</v>
      </c>
      <c r="H32" s="49">
        <f>IF(F32=0, "[OK — 100% ΤΑΥΤΙΣΗ ΚΟΥΤΙΩΝ &amp; 4 ΠΥΛΩΝΩΝ]", "[ΣΦΑΛΜΑ ΑΘΡΟΙΣΗΣ]")</f>
        <v/>
      </c>
    </row>
    <row r="33" ht="26" customHeight="1">
      <c r="A33" s="101" t="inlineStr">
        <is>
          <t>ΣΥΝΟΛΟ</t>
        </is>
      </c>
      <c r="B33" s="102" t="inlineStr">
        <is>
          <t>ΤΕΛΙΚΟ ΣΥΝΟΛΟ ΠΡΟΣΦΟΡΑΣ BERLIN WALL (ΧΩΡΙΣ Φ.Π.Α.)</t>
        </is>
      </c>
      <c r="C33" s="103" t="n"/>
      <c r="D33" s="103" t="n"/>
      <c r="E33" s="103" t="n"/>
      <c r="F33" s="104">
        <f>F27+F28</f>
        <v/>
      </c>
      <c r="G33" s="105" t="n">
        <v>1</v>
      </c>
      <c r="H33" s="106" t="inlineStr">
        <is>
          <t>Καθαρό Σύνολο Έργου (Περιλαμβάνει Γενικά Έξοδα &amp; Εργολαβικό Όφελος — Χωρίς Φ.Π.Α. βάσει Κανόνα 3.7.2)</t>
        </is>
      </c>
    </row>
    <row r="35" ht="24" customHeight="1">
      <c r="A35" s="5" t="inlineStr">
        <is>
          <t>📈 ΒΑΣΙΚΟΙ ΔΕΙΚΤΕΣ ΚΟΣΤΟΥΣ &amp; VALUE ENGINEERING (KPIs)</t>
        </is>
      </c>
      <c r="B35" s="6" t="n"/>
      <c r="C35" s="6" t="n"/>
      <c r="D35" s="6" t="n"/>
      <c r="E35" s="6" t="n"/>
      <c r="F35" s="6" t="n"/>
      <c r="G35" s="6" t="n"/>
      <c r="H35" s="7" t="n"/>
    </row>
    <row r="36" ht="22" customHeight="1">
      <c r="A36" s="107" t="inlineStr">
        <is>
          <t>KPI 1</t>
        </is>
      </c>
      <c r="B36" s="21" t="inlineStr">
        <is>
          <t>Συνολικό Κόστος ανά m² Μετώπου Εκσκαφής (€ / m²)</t>
        </is>
      </c>
      <c r="C36" s="108" t="n"/>
      <c r="D36" s="108" t="n"/>
      <c r="E36" s="108" t="n"/>
      <c r="F36" s="109">
        <f>ROUND(F33/'1_Στοιχεία_Μελέτης_&amp;_Ποσότητες'!C97, 2)</f>
        <v/>
      </c>
      <c r="G36" s="110" t="inlineStr">
        <is>
          <t>€ / m²</t>
        </is>
      </c>
      <c r="H36" s="25">
        <f>"= Τελικό Σύνολο (" &amp; TEXT(F33,"#,##0.00") &amp; " €) / " &amp; TEXT('1_Στοιχεία_Μελέτης_&amp;_Ποσότητες'!C97,"#,##0.00") &amp; " m² μετώπου"</f>
        <v/>
      </c>
    </row>
    <row r="37" ht="22" customHeight="1">
      <c r="A37" s="107" t="inlineStr">
        <is>
          <t>KPI 2</t>
        </is>
      </c>
      <c r="B37" s="21" t="inlineStr">
        <is>
          <t>Συνολικό Κόστος ανά Τρέχον Μέτρο Περιμέτρου (€ / τρ.μ.)</t>
        </is>
      </c>
      <c r="C37" s="108" t="n"/>
      <c r="D37" s="108" t="n"/>
      <c r="E37" s="108" t="n"/>
      <c r="F37" s="109">
        <f>ROUND(F33/'1_Στοιχεία_Μελέτης_&amp;_Ποσότητες'!C96, 2)</f>
        <v/>
      </c>
      <c r="G37" s="110" t="inlineStr">
        <is>
          <t>€ / τρ.μ.</t>
        </is>
      </c>
      <c r="H37" s="25">
        <f>"= Τελικό Σύνολο (" &amp; TEXT(F33,"#,##0.00") &amp; " €) / " &amp; TEXT('1_Στοιχεία_Μελέτης_&amp;_Ποσότητες'!C96,"#,##0.00") &amp; " m περιμέτρου"</f>
        <v/>
      </c>
    </row>
    <row r="38" ht="22" customHeight="1">
      <c r="A38" s="107" t="inlineStr">
        <is>
          <t>KPI 3</t>
        </is>
      </c>
      <c r="B38" s="21" t="inlineStr">
        <is>
          <t>Κόστος Πυλώνα 3 (H-Beams / Νέφκες) ανά Πάσσαλο / Οπή (€ / πάσσαλο)</t>
        </is>
      </c>
      <c r="C38" s="108" t="n"/>
      <c r="D38" s="108" t="n"/>
      <c r="E38" s="108" t="n"/>
      <c r="F38" s="109">
        <f>ROUND(F30/'1_Στοιχεία_Μελέτης_&amp;_Ποσότητες'!C98, 2)</f>
        <v/>
      </c>
      <c r="G38" s="110" t="inlineStr">
        <is>
          <t>€ / πάσσαλο</t>
        </is>
      </c>
      <c r="H38" s="25">
        <f>"= Σύνολο Πυλώνα 3 (" &amp; TEXT(F30,"#,##0.00") &amp; " €) / " &amp; '1_Στοιχεία_Μελέτης_&amp;_Ποσότητες'!C98 &amp; " οπές (Συνολικό έργο/πάσσαλο = " &amp; TEXT(ROUND(F33/'1_Στοιχεία_Μελέτης_&amp;_Ποσότητες'!C98,2),"#,##0.00") &amp; " €)"</f>
        <v/>
      </c>
    </row>
    <row r="39" ht="22" customHeight="1">
      <c r="A39" s="107" t="inlineStr">
        <is>
          <t>KPI 4</t>
        </is>
      </c>
      <c r="B39" s="21" t="inlineStr">
        <is>
          <t>Κόστος Πυλώνα 4 (Αγκυρώσεις) ανά Πλήρη Αγκύρωση (€ / αγκύρωση)</t>
        </is>
      </c>
      <c r="C39" s="108" t="n"/>
      <c r="D39" s="108" t="n"/>
      <c r="E39" s="108" t="n"/>
      <c r="F39" s="109">
        <f>ROUND(F31/'1_Στοιχεία_Μελέτης_&amp;_Ποσότητες'!C107, 2)</f>
        <v/>
      </c>
      <c r="G39" s="110" t="inlineStr">
        <is>
          <t>€ / αγκύρωση</t>
        </is>
      </c>
      <c r="H39" s="25">
        <f>"= Σύνολο Πυλώνα 4 (" &amp; TEXT(F31,"#,##0.00") &amp; " €) / " &amp; '1_Στοιχεία_Μελέτης_&amp;_Ποσότητες'!C107 &amp; " αγκυρώσεις (16.00 m, 3 Strands)"</f>
        <v/>
      </c>
    </row>
    <row r="40" ht="22" customHeight="1">
      <c r="A40" s="111" t="inlineStr">
        <is>
          <t>KPI 5</t>
        </is>
      </c>
      <c r="B40" s="27" t="inlineStr">
        <is>
          <t>Κόστος Πυλώνα 2 (Σχάρα A252 &amp; Shotcrete 12cm) ανά m² Μετώπου (€ / m²)</t>
        </is>
      </c>
      <c r="C40" s="112" t="n"/>
      <c r="D40" s="112" t="n"/>
      <c r="E40" s="112" t="n"/>
      <c r="F40" s="113">
        <f>ROUND(F29/'1_Στοιχεία_Μελέτης_&amp;_Ποσότητες'!C97, 2)</f>
        <v/>
      </c>
      <c r="G40" s="114" t="inlineStr">
        <is>
          <t>€ / m²</t>
        </is>
      </c>
      <c r="H40" s="31">
        <f>"= Σύνολο Πυλώνα 2 (" &amp; TEXT(F29,"#,##0.00") &amp; " €) / " &amp; TEXT('1_Στοιχεία_Μελέτης_&amp;_Ποσότητες'!C97,"#,##0.00") &amp; " m² μετώπου"</f>
        <v/>
      </c>
    </row>
  </sheetData>
  <mergeCells count="20">
    <mergeCell ref="B40:E40"/>
    <mergeCell ref="B30:E30"/>
    <mergeCell ref="B33:E33"/>
    <mergeCell ref="A1:H1"/>
    <mergeCell ref="B36:E36"/>
    <mergeCell ref="B32:E32"/>
    <mergeCell ref="G22:G24"/>
    <mergeCell ref="B31:E31"/>
    <mergeCell ref="A26:H26"/>
    <mergeCell ref="A21:H21"/>
    <mergeCell ref="B27:E27"/>
    <mergeCell ref="A2:H2"/>
    <mergeCell ref="B39:E39"/>
    <mergeCell ref="A5:H5"/>
    <mergeCell ref="A35:H35"/>
    <mergeCell ref="B38:E38"/>
    <mergeCell ref="B29:E29"/>
    <mergeCell ref="G6:G19"/>
    <mergeCell ref="B37:E37"/>
    <mergeCell ref="B28:E28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48"/>
  <sheetViews>
    <sheetView showGridLines="1" workbookViewId="0">
      <selection activeCell="A1" sqref="A1"/>
    </sheetView>
  </sheetViews>
  <sheetFormatPr baseColWidth="8" defaultRowHeight="15" outlineLevelCol="0"/>
  <cols>
    <col width="22" customWidth="1" min="1" max="1"/>
    <col width="16" customWidth="1" min="2" max="2"/>
    <col width="16" customWidth="1" min="3" max="3"/>
    <col width="16" customWidth="1" min="4" max="4"/>
    <col width="16" customWidth="1" min="5" max="5"/>
    <col width="18" customWidth="1" min="6" max="6"/>
    <col width="18" customWidth="1" min="7" max="7"/>
  </cols>
  <sheetData>
    <row r="1" ht="20" customHeight="1">
      <c r="A1" s="115" t="inlineStr">
        <is>
          <t>ΒΙΒΛΙΟΘΗΚΗ ΔΙΑΤΟΜΩΝ ΧΑΛΥΒΑ (EUROPEAN STRUCTURAL STEEL PROFILES)</t>
        </is>
      </c>
    </row>
    <row r="2" ht="20" customHeight="1">
      <c r="A2" s="116" t="inlineStr">
        <is>
          <t>Τεχνικά χαρακτηριστικά &amp; βάρη ανά μέτρο για διατομές HEA, HEB, UPN &amp; Γωνιών (L)</t>
        </is>
      </c>
    </row>
    <row r="3" ht="20" customHeight="1"/>
    <row r="4" ht="20" customHeight="1">
      <c r="A4" s="3" t="inlineStr">
        <is>
          <t>1. ΔΙΑΤΟΜΕΣ HEA (Ευρωπαϊκά Πλατύπελμα Ελαφρού Τύπου)</t>
        </is>
      </c>
    </row>
    <row r="5" ht="20" customHeight="1">
      <c r="A5" s="4" t="inlineStr">
        <is>
          <t>Ονομασία Διατομής</t>
        </is>
      </c>
      <c r="B5" s="4" t="inlineStr">
        <is>
          <t>Ύψος h (mm)</t>
        </is>
      </c>
      <c r="C5" s="4" t="inlineStr">
        <is>
          <t>Πλάτος b (mm)</t>
        </is>
      </c>
      <c r="D5" s="4" t="inlineStr">
        <is>
          <t>Πάχος tw (mm)</t>
        </is>
      </c>
      <c r="E5" s="4" t="inlineStr">
        <is>
          <t>Πάχος tf (mm)</t>
        </is>
      </c>
      <c r="F5" s="4" t="inlineStr">
        <is>
          <t>Διατομή A (cm²)</t>
        </is>
      </c>
      <c r="G5" s="4" t="inlineStr">
        <is>
          <t>Βάρος (kg / m)</t>
        </is>
      </c>
    </row>
    <row r="6" ht="20" customHeight="1">
      <c r="A6" s="117" t="inlineStr">
        <is>
          <t>HEA 140</t>
        </is>
      </c>
      <c r="B6" s="118" t="n">
        <v>133</v>
      </c>
      <c r="C6" s="118" t="n">
        <v>140</v>
      </c>
      <c r="D6" s="118" t="n">
        <v>5.5</v>
      </c>
      <c r="E6" s="118" t="n">
        <v>8.5</v>
      </c>
      <c r="F6" s="119" t="n">
        <v>31.4</v>
      </c>
      <c r="G6" s="50" t="n">
        <v>24.7</v>
      </c>
    </row>
    <row r="7" ht="20" customHeight="1">
      <c r="A7" s="117" t="inlineStr">
        <is>
          <t>HEA 160</t>
        </is>
      </c>
      <c r="B7" s="118" t="n">
        <v>152</v>
      </c>
      <c r="C7" s="118" t="n">
        <v>160</v>
      </c>
      <c r="D7" s="118" t="n">
        <v>6</v>
      </c>
      <c r="E7" s="118" t="n">
        <v>9</v>
      </c>
      <c r="F7" s="119" t="n">
        <v>38.8</v>
      </c>
      <c r="G7" s="50" t="n">
        <v>30.4</v>
      </c>
    </row>
    <row r="8" ht="20" customHeight="1">
      <c r="A8" s="117" t="inlineStr">
        <is>
          <t>HEA 180</t>
        </is>
      </c>
      <c r="B8" s="118" t="n">
        <v>171</v>
      </c>
      <c r="C8" s="118" t="n">
        <v>180</v>
      </c>
      <c r="D8" s="118" t="n">
        <v>6</v>
      </c>
      <c r="E8" s="118" t="n">
        <v>9.5</v>
      </c>
      <c r="F8" s="119" t="n">
        <v>45.3</v>
      </c>
      <c r="G8" s="50" t="n">
        <v>35.5</v>
      </c>
    </row>
    <row r="9" ht="20" customHeight="1">
      <c r="A9" s="117" t="inlineStr">
        <is>
          <t>HEA 200</t>
        </is>
      </c>
      <c r="B9" s="118" t="n">
        <v>190</v>
      </c>
      <c r="C9" s="118" t="n">
        <v>200</v>
      </c>
      <c r="D9" s="118" t="n">
        <v>6.5</v>
      </c>
      <c r="E9" s="118" t="n">
        <v>10</v>
      </c>
      <c r="F9" s="119" t="n">
        <v>53.8</v>
      </c>
      <c r="G9" s="50" t="n">
        <v>42.3</v>
      </c>
    </row>
    <row r="10" ht="20" customHeight="1">
      <c r="A10" s="117" t="inlineStr">
        <is>
          <t>HEA 220</t>
        </is>
      </c>
      <c r="B10" s="118" t="n">
        <v>210</v>
      </c>
      <c r="C10" s="118" t="n">
        <v>220</v>
      </c>
      <c r="D10" s="118" t="n">
        <v>7</v>
      </c>
      <c r="E10" s="118" t="n">
        <v>11</v>
      </c>
      <c r="F10" s="119" t="n">
        <v>64.3</v>
      </c>
      <c r="G10" s="50" t="n">
        <v>50.5</v>
      </c>
    </row>
    <row r="11" ht="20" customHeight="1">
      <c r="A11" s="117" t="inlineStr">
        <is>
          <t>HEA 240</t>
        </is>
      </c>
      <c r="B11" s="118" t="n">
        <v>230</v>
      </c>
      <c r="C11" s="118" t="n">
        <v>240</v>
      </c>
      <c r="D11" s="118" t="n">
        <v>7.5</v>
      </c>
      <c r="E11" s="118" t="n">
        <v>12</v>
      </c>
      <c r="F11" s="119" t="n">
        <v>76.8</v>
      </c>
      <c r="G11" s="50" t="n">
        <v>60.3</v>
      </c>
    </row>
    <row r="12" ht="20" customHeight="1">
      <c r="A12" s="117" t="inlineStr">
        <is>
          <t>HEA 260</t>
        </is>
      </c>
      <c r="B12" s="118" t="n">
        <v>250</v>
      </c>
      <c r="C12" s="118" t="n">
        <v>260</v>
      </c>
      <c r="D12" s="118" t="n">
        <v>7.5</v>
      </c>
      <c r="E12" s="118" t="n">
        <v>12.5</v>
      </c>
      <c r="F12" s="119" t="n">
        <v>86.8</v>
      </c>
      <c r="G12" s="50" t="n">
        <v>68.2</v>
      </c>
    </row>
    <row r="13" ht="20" customHeight="1">
      <c r="A13" s="117" t="inlineStr">
        <is>
          <t>HEA 280</t>
        </is>
      </c>
      <c r="B13" s="118" t="n">
        <v>270</v>
      </c>
      <c r="C13" s="118" t="n">
        <v>280</v>
      </c>
      <c r="D13" s="118" t="n">
        <v>8</v>
      </c>
      <c r="E13" s="118" t="n">
        <v>13</v>
      </c>
      <c r="F13" s="119" t="n">
        <v>97.3</v>
      </c>
      <c r="G13" s="50" t="n">
        <v>76.40000000000001</v>
      </c>
    </row>
    <row r="14" ht="20" customHeight="1">
      <c r="A14" s="117" t="inlineStr">
        <is>
          <t>HEA 300</t>
        </is>
      </c>
      <c r="B14" s="118" t="n">
        <v>290</v>
      </c>
      <c r="C14" s="118" t="n">
        <v>300</v>
      </c>
      <c r="D14" s="118" t="n">
        <v>8.5</v>
      </c>
      <c r="E14" s="118" t="n">
        <v>14</v>
      </c>
      <c r="F14" s="119" t="n">
        <v>112.5</v>
      </c>
      <c r="G14" s="50" t="n">
        <v>88.3</v>
      </c>
    </row>
    <row r="15" ht="20" customHeight="1"/>
    <row r="16" ht="20" customHeight="1">
      <c r="A16" s="3" t="inlineStr">
        <is>
          <t>2. ΔΙΑΤΟΜΕΣ HEB (Ευρωπαϊκά Πλατύπελμα Κανονικού Τύπου)</t>
        </is>
      </c>
    </row>
    <row r="17" ht="20" customHeight="1">
      <c r="A17" s="4" t="inlineStr">
        <is>
          <t>Ονομασία Διατομής</t>
        </is>
      </c>
      <c r="B17" s="4" t="inlineStr">
        <is>
          <t>Ύψος h (mm)</t>
        </is>
      </c>
      <c r="C17" s="4" t="inlineStr">
        <is>
          <t>Πλάτος b (mm)</t>
        </is>
      </c>
      <c r="D17" s="4" t="inlineStr">
        <is>
          <t>Πάχος tw (mm)</t>
        </is>
      </c>
      <c r="E17" s="4" t="inlineStr">
        <is>
          <t>Πάχος tf (mm)</t>
        </is>
      </c>
      <c r="F17" s="4" t="inlineStr">
        <is>
          <t>Διατομή A (cm²)</t>
        </is>
      </c>
      <c r="G17" s="4" t="inlineStr">
        <is>
          <t>Βάρος (kg / m)</t>
        </is>
      </c>
    </row>
    <row r="18" ht="20" customHeight="1">
      <c r="A18" s="117" t="inlineStr">
        <is>
          <t>HEB 140</t>
        </is>
      </c>
      <c r="B18" s="118" t="n">
        <v>140</v>
      </c>
      <c r="C18" s="118" t="n">
        <v>140</v>
      </c>
      <c r="D18" s="118" t="n">
        <v>7</v>
      </c>
      <c r="E18" s="118" t="n">
        <v>12</v>
      </c>
      <c r="F18" s="119" t="n">
        <v>43</v>
      </c>
      <c r="G18" s="50" t="n">
        <v>33.7</v>
      </c>
    </row>
    <row r="19" ht="20" customHeight="1">
      <c r="A19" s="117" t="inlineStr">
        <is>
          <t>HEB 160</t>
        </is>
      </c>
      <c r="B19" s="118" t="n">
        <v>160</v>
      </c>
      <c r="C19" s="118" t="n">
        <v>160</v>
      </c>
      <c r="D19" s="118" t="n">
        <v>8</v>
      </c>
      <c r="E19" s="118" t="n">
        <v>13</v>
      </c>
      <c r="F19" s="119" t="n">
        <v>54.3</v>
      </c>
      <c r="G19" s="50" t="n">
        <v>42.6</v>
      </c>
    </row>
    <row r="20" ht="20" customHeight="1">
      <c r="A20" s="117" t="inlineStr">
        <is>
          <t>HEB 180</t>
        </is>
      </c>
      <c r="B20" s="118" t="n">
        <v>180</v>
      </c>
      <c r="C20" s="118" t="n">
        <v>180</v>
      </c>
      <c r="D20" s="118" t="n">
        <v>8.5</v>
      </c>
      <c r="E20" s="118" t="n">
        <v>14</v>
      </c>
      <c r="F20" s="119" t="n">
        <v>65.3</v>
      </c>
      <c r="G20" s="50" t="n">
        <v>51.2</v>
      </c>
    </row>
    <row r="21" ht="20" customHeight="1">
      <c r="A21" s="117" t="inlineStr">
        <is>
          <t>HEB 200</t>
        </is>
      </c>
      <c r="B21" s="118" t="n">
        <v>200</v>
      </c>
      <c r="C21" s="118" t="n">
        <v>200</v>
      </c>
      <c r="D21" s="118" t="n">
        <v>9</v>
      </c>
      <c r="E21" s="118" t="n">
        <v>15</v>
      </c>
      <c r="F21" s="119" t="n">
        <v>78.09999999999999</v>
      </c>
      <c r="G21" s="50" t="n">
        <v>61.3</v>
      </c>
    </row>
    <row r="22" ht="20" customHeight="1">
      <c r="A22" s="117" t="inlineStr">
        <is>
          <t>HEB 220</t>
        </is>
      </c>
      <c r="B22" s="118" t="n">
        <v>220</v>
      </c>
      <c r="C22" s="118" t="n">
        <v>220</v>
      </c>
      <c r="D22" s="118" t="n">
        <v>9.5</v>
      </c>
      <c r="E22" s="118" t="n">
        <v>16</v>
      </c>
      <c r="F22" s="119" t="n">
        <v>91</v>
      </c>
      <c r="G22" s="50" t="n">
        <v>71.5</v>
      </c>
    </row>
    <row r="23" ht="20" customHeight="1">
      <c r="A23" s="117" t="inlineStr">
        <is>
          <t>HEB 240</t>
        </is>
      </c>
      <c r="B23" s="118" t="n">
        <v>240</v>
      </c>
      <c r="C23" s="118" t="n">
        <v>240</v>
      </c>
      <c r="D23" s="118" t="n">
        <v>10</v>
      </c>
      <c r="E23" s="118" t="n">
        <v>17</v>
      </c>
      <c r="F23" s="119" t="n">
        <v>106</v>
      </c>
      <c r="G23" s="50" t="n">
        <v>83.2</v>
      </c>
    </row>
    <row r="24" ht="20" customHeight="1">
      <c r="A24" s="117" t="inlineStr">
        <is>
          <t>HEB 260</t>
        </is>
      </c>
      <c r="B24" s="118" t="n">
        <v>260</v>
      </c>
      <c r="C24" s="118" t="n">
        <v>260</v>
      </c>
      <c r="D24" s="118" t="n">
        <v>10</v>
      </c>
      <c r="E24" s="118" t="n">
        <v>17.5</v>
      </c>
      <c r="F24" s="119" t="n">
        <v>118.4</v>
      </c>
      <c r="G24" s="50" t="n">
        <v>93</v>
      </c>
    </row>
    <row r="25" ht="20" customHeight="1">
      <c r="A25" s="117" t="inlineStr">
        <is>
          <t>HEB 280</t>
        </is>
      </c>
      <c r="B25" s="118" t="n">
        <v>280</v>
      </c>
      <c r="C25" s="118" t="n">
        <v>280</v>
      </c>
      <c r="D25" s="118" t="n">
        <v>10.5</v>
      </c>
      <c r="E25" s="118" t="n">
        <v>18</v>
      </c>
      <c r="F25" s="119" t="n">
        <v>131.4</v>
      </c>
      <c r="G25" s="50" t="n">
        <v>103</v>
      </c>
    </row>
    <row r="26" ht="20" customHeight="1">
      <c r="A26" s="117" t="inlineStr">
        <is>
          <t>HEB 300</t>
        </is>
      </c>
      <c r="B26" s="118" t="n">
        <v>300</v>
      </c>
      <c r="C26" s="118" t="n">
        <v>300</v>
      </c>
      <c r="D26" s="118" t="n">
        <v>11</v>
      </c>
      <c r="E26" s="118" t="n">
        <v>19</v>
      </c>
      <c r="F26" s="119" t="n">
        <v>149.1</v>
      </c>
      <c r="G26" s="50" t="n">
        <v>117</v>
      </c>
    </row>
    <row r="27" ht="20" customHeight="1"/>
    <row r="28" ht="20" customHeight="1">
      <c r="A28" s="3" t="inlineStr">
        <is>
          <t>3. ΔΙΑΤΟΜΕΣ UPN (Ευρωπαϊκά Κοίλα Προφίλ U)</t>
        </is>
      </c>
    </row>
    <row r="29" ht="20" customHeight="1">
      <c r="A29" s="4" t="inlineStr">
        <is>
          <t>Ονομασία Διατομής</t>
        </is>
      </c>
      <c r="B29" s="4" t="inlineStr">
        <is>
          <t>Ύψος h (mm)</t>
        </is>
      </c>
      <c r="C29" s="4" t="inlineStr">
        <is>
          <t>Πλάτος b (mm)</t>
        </is>
      </c>
      <c r="D29" s="4" t="inlineStr">
        <is>
          <t>Πάχος tw (mm)</t>
        </is>
      </c>
      <c r="E29" s="4" t="inlineStr">
        <is>
          <t>Πάχος tf (mm)</t>
        </is>
      </c>
      <c r="F29" s="4" t="inlineStr">
        <is>
          <t>Διατομή A (cm²)</t>
        </is>
      </c>
      <c r="G29" s="4" t="inlineStr">
        <is>
          <t>Βάρος (kg / m)</t>
        </is>
      </c>
    </row>
    <row r="30" ht="20" customHeight="1">
      <c r="A30" s="117" t="inlineStr">
        <is>
          <t>UPN 140</t>
        </is>
      </c>
      <c r="B30" s="118" t="n">
        <v>140</v>
      </c>
      <c r="C30" s="118" t="n">
        <v>60</v>
      </c>
      <c r="D30" s="118" t="n">
        <v>7</v>
      </c>
      <c r="E30" s="118" t="n">
        <v>10</v>
      </c>
      <c r="F30" s="119" t="n">
        <v>20.4</v>
      </c>
      <c r="G30" s="50" t="n">
        <v>16</v>
      </c>
    </row>
    <row r="31" ht="20" customHeight="1">
      <c r="A31" s="117" t="inlineStr">
        <is>
          <t>UPN 160</t>
        </is>
      </c>
      <c r="B31" s="118" t="n">
        <v>160</v>
      </c>
      <c r="C31" s="118" t="n">
        <v>65</v>
      </c>
      <c r="D31" s="118" t="n">
        <v>7.5</v>
      </c>
      <c r="E31" s="118" t="n">
        <v>10.5</v>
      </c>
      <c r="F31" s="119" t="n">
        <v>24</v>
      </c>
      <c r="G31" s="50" t="n">
        <v>18.8</v>
      </c>
    </row>
    <row r="32" ht="20" customHeight="1">
      <c r="A32" s="117" t="inlineStr">
        <is>
          <t>UPN 180</t>
        </is>
      </c>
      <c r="B32" s="118" t="n">
        <v>180</v>
      </c>
      <c r="C32" s="118" t="n">
        <v>70</v>
      </c>
      <c r="D32" s="118" t="n">
        <v>8</v>
      </c>
      <c r="E32" s="118" t="n">
        <v>11</v>
      </c>
      <c r="F32" s="119" t="n">
        <v>28</v>
      </c>
      <c r="G32" s="50" t="n">
        <v>22</v>
      </c>
    </row>
    <row r="33" ht="20" customHeight="1">
      <c r="A33" s="117" t="inlineStr">
        <is>
          <t>UPN 200</t>
        </is>
      </c>
      <c r="B33" s="118" t="n">
        <v>200</v>
      </c>
      <c r="C33" s="118" t="n">
        <v>75</v>
      </c>
      <c r="D33" s="118" t="n">
        <v>8.5</v>
      </c>
      <c r="E33" s="118" t="n">
        <v>11.5</v>
      </c>
      <c r="F33" s="119" t="n">
        <v>32.2</v>
      </c>
      <c r="G33" s="50" t="n">
        <v>25.3</v>
      </c>
    </row>
    <row r="34" ht="20" customHeight="1">
      <c r="A34" s="117" t="inlineStr">
        <is>
          <t>UPN 220</t>
        </is>
      </c>
      <c r="B34" s="118" t="n">
        <v>220</v>
      </c>
      <c r="C34" s="118" t="n">
        <v>80</v>
      </c>
      <c r="D34" s="118" t="n">
        <v>9</v>
      </c>
      <c r="E34" s="118" t="n">
        <v>12.5</v>
      </c>
      <c r="F34" s="119" t="n">
        <v>37.4</v>
      </c>
      <c r="G34" s="50" t="n">
        <v>29.4</v>
      </c>
    </row>
    <row r="35" ht="20" customHeight="1">
      <c r="A35" s="63" t="inlineStr">
        <is>
          <t>UPN 240</t>
        </is>
      </c>
      <c r="B35" s="118" t="n">
        <v>240</v>
      </c>
      <c r="C35" s="118" t="n">
        <v>85</v>
      </c>
      <c r="D35" s="118" t="n">
        <v>9.5</v>
      </c>
      <c r="E35" s="118" t="n">
        <v>13</v>
      </c>
      <c r="F35" s="119" t="n">
        <v>42.3</v>
      </c>
      <c r="G35" s="50" t="n">
        <v>33.2</v>
      </c>
    </row>
    <row r="36" ht="20" customHeight="1">
      <c r="A36" s="117" t="inlineStr">
        <is>
          <t>UPN 260</t>
        </is>
      </c>
      <c r="B36" s="118" t="n">
        <v>260</v>
      </c>
      <c r="C36" s="118" t="n">
        <v>90</v>
      </c>
      <c r="D36" s="118" t="n">
        <v>10</v>
      </c>
      <c r="E36" s="118" t="n">
        <v>14</v>
      </c>
      <c r="F36" s="119" t="n">
        <v>48.3</v>
      </c>
      <c r="G36" s="50" t="n">
        <v>37.9</v>
      </c>
    </row>
    <row r="37" ht="20" customHeight="1">
      <c r="A37" s="117" t="inlineStr">
        <is>
          <t>UPN 280</t>
        </is>
      </c>
      <c r="B37" s="118" t="n">
        <v>280</v>
      </c>
      <c r="C37" s="118" t="n">
        <v>95</v>
      </c>
      <c r="D37" s="118" t="n">
        <v>10</v>
      </c>
      <c r="E37" s="118" t="n">
        <v>15</v>
      </c>
      <c r="F37" s="119" t="n">
        <v>53.3</v>
      </c>
      <c r="G37" s="50" t="n">
        <v>41.8</v>
      </c>
    </row>
    <row r="38" ht="20" customHeight="1">
      <c r="A38" s="117" t="inlineStr">
        <is>
          <t>UPN 300</t>
        </is>
      </c>
      <c r="B38" s="118" t="n">
        <v>300</v>
      </c>
      <c r="C38" s="118" t="n">
        <v>100</v>
      </c>
      <c r="D38" s="118" t="n">
        <v>10</v>
      </c>
      <c r="E38" s="118" t="n">
        <v>16</v>
      </c>
      <c r="F38" s="119" t="n">
        <v>58.8</v>
      </c>
      <c r="G38" s="50" t="n">
        <v>46.2</v>
      </c>
    </row>
    <row r="39" ht="20" customHeight="1"/>
    <row r="40" ht="20" customHeight="1">
      <c r="A40" s="3" t="inlineStr">
        <is>
          <t>4. ΙΣΟΣΚΕΛΕΙΣ ΓΩΝΙΕΣ (Equal Angles L)</t>
        </is>
      </c>
    </row>
    <row r="41" ht="20" customHeight="1">
      <c r="A41" s="4" t="inlineStr">
        <is>
          <t>Ονομασία Διατομής</t>
        </is>
      </c>
      <c r="B41" s="4" t="inlineStr">
        <is>
          <t>Ύψος h (mm)</t>
        </is>
      </c>
      <c r="C41" s="4" t="inlineStr">
        <is>
          <t>Πλάτος b (mm)</t>
        </is>
      </c>
      <c r="D41" s="4" t="inlineStr">
        <is>
          <t>Πάχος tw (mm)</t>
        </is>
      </c>
      <c r="E41" s="4" t="inlineStr">
        <is>
          <t>Πάχος tf (mm)</t>
        </is>
      </c>
      <c r="F41" s="4" t="inlineStr">
        <is>
          <t>Διατομή A (cm²)</t>
        </is>
      </c>
      <c r="G41" s="4" t="inlineStr">
        <is>
          <t>Βάρος (kg / m)</t>
        </is>
      </c>
    </row>
    <row r="42" ht="20" customHeight="1">
      <c r="A42" s="117" t="inlineStr">
        <is>
          <t>L 50x50x5</t>
        </is>
      </c>
      <c r="B42" s="118" t="n">
        <v>50</v>
      </c>
      <c r="C42" s="118" t="n">
        <v>50</v>
      </c>
      <c r="D42" s="118" t="n">
        <v>5</v>
      </c>
      <c r="E42" s="118" t="n">
        <v>5</v>
      </c>
      <c r="F42" s="119" t="n">
        <v>4.8</v>
      </c>
      <c r="G42" s="50" t="n">
        <v>3.77</v>
      </c>
    </row>
    <row r="43" ht="20" customHeight="1">
      <c r="A43" s="117" t="inlineStr">
        <is>
          <t>L 60x60x6</t>
        </is>
      </c>
      <c r="B43" s="118" t="n">
        <v>60</v>
      </c>
      <c r="C43" s="118" t="n">
        <v>60</v>
      </c>
      <c r="D43" s="118" t="n">
        <v>6</v>
      </c>
      <c r="E43" s="118" t="n">
        <v>6</v>
      </c>
      <c r="F43" s="119" t="n">
        <v>6.91</v>
      </c>
      <c r="G43" s="50" t="n">
        <v>5.42</v>
      </c>
    </row>
    <row r="44" ht="20" customHeight="1">
      <c r="A44" s="63" t="inlineStr">
        <is>
          <t>L 70x70x6</t>
        </is>
      </c>
      <c r="B44" s="118" t="n">
        <v>70</v>
      </c>
      <c r="C44" s="118" t="n">
        <v>70</v>
      </c>
      <c r="D44" s="118" t="n">
        <v>6</v>
      </c>
      <c r="E44" s="118" t="n">
        <v>6</v>
      </c>
      <c r="F44" s="119" t="n">
        <v>8.130000000000001</v>
      </c>
      <c r="G44" s="50" t="n">
        <v>6.38</v>
      </c>
    </row>
    <row r="45" ht="20" customHeight="1">
      <c r="A45" s="117" t="inlineStr">
        <is>
          <t>L 70x70x7</t>
        </is>
      </c>
      <c r="B45" s="118" t="n">
        <v>70</v>
      </c>
      <c r="C45" s="118" t="n">
        <v>70</v>
      </c>
      <c r="D45" s="118" t="n">
        <v>7</v>
      </c>
      <c r="E45" s="118" t="n">
        <v>7</v>
      </c>
      <c r="F45" s="119" t="n">
        <v>9.4</v>
      </c>
      <c r="G45" s="50" t="n">
        <v>7.38</v>
      </c>
    </row>
    <row r="46" ht="20" customHeight="1">
      <c r="A46" s="117" t="inlineStr">
        <is>
          <t>L 80x80x8</t>
        </is>
      </c>
      <c r="B46" s="118" t="n">
        <v>80</v>
      </c>
      <c r="C46" s="118" t="n">
        <v>80</v>
      </c>
      <c r="D46" s="118" t="n">
        <v>8</v>
      </c>
      <c r="E46" s="118" t="n">
        <v>8</v>
      </c>
      <c r="F46" s="119" t="n">
        <v>12.3</v>
      </c>
      <c r="G46" s="50" t="n">
        <v>9.630000000000001</v>
      </c>
    </row>
    <row r="47" ht="20" customHeight="1">
      <c r="A47" s="117" t="inlineStr">
        <is>
          <t>L 90x90x9</t>
        </is>
      </c>
      <c r="B47" s="118" t="n">
        <v>90</v>
      </c>
      <c r="C47" s="118" t="n">
        <v>90</v>
      </c>
      <c r="D47" s="118" t="n">
        <v>9</v>
      </c>
      <c r="E47" s="118" t="n">
        <v>9</v>
      </c>
      <c r="F47" s="119" t="n">
        <v>15.5</v>
      </c>
      <c r="G47" s="50" t="n">
        <v>12.2</v>
      </c>
    </row>
    <row r="48" ht="20" customHeight="1">
      <c r="A48" s="117" t="inlineStr">
        <is>
          <t>L 100x100x10</t>
        </is>
      </c>
      <c r="B48" s="118" t="n">
        <v>100</v>
      </c>
      <c r="C48" s="118" t="n">
        <v>100</v>
      </c>
      <c r="D48" s="118" t="n">
        <v>10</v>
      </c>
      <c r="E48" s="118" t="n">
        <v>10</v>
      </c>
      <c r="F48" s="119" t="n">
        <v>19.2</v>
      </c>
      <c r="G48" s="50" t="n">
        <v>15</v>
      </c>
    </row>
  </sheetData>
  <mergeCells count="6">
    <mergeCell ref="A1:G1"/>
    <mergeCell ref="A40:G40"/>
    <mergeCell ref="A4:G4"/>
    <mergeCell ref="A16:G16"/>
    <mergeCell ref="A2:G2"/>
    <mergeCell ref="A28:G28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2026-10-23T10:33:13Z</dcterms:created>
  <dcterms:modified xmlns:dcterms="http://purl.org/dc/terms/" xmlns:xsi="http://www.w3.org/2001/XMLSchema-instance" xsi:type="dcterms:W3CDTF">2026-10-23T10:33:13Z</dcterms:modified>
</cp:coreProperties>
</file>